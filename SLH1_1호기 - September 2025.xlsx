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8_{DBC5251C-D332-7E48-B720-2C854EA5867D}" xr6:coauthVersionLast="47" xr6:coauthVersionMax="47" xr10:uidLastSave="{00000000-0000-0000-0000-000000000000}"/>
  <bookViews>
    <workbookView xWindow="-120" yWindow="-120" windowWidth="29040" windowHeight="15720" tabRatio="480" xr2:uid="{F4E9136B-6F53-469B-820F-03F8DA840E89}"/>
  </bookViews>
  <sheets>
    <sheet name="#SLH1" sheetId="67" r:id="rId1"/>
    <sheet name="Summary" sheetId="26" r:id="rId2"/>
    <sheet name="Daily Activity" sheetId="68" r:id="rId3"/>
    <sheet name="Error Master List" sheetId="6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3" i="67" l="1"/>
  <c r="C23" i="67"/>
  <c r="C24" i="67"/>
  <c r="E23" i="67"/>
  <c r="F23" i="67"/>
  <c r="G23" i="67"/>
  <c r="H23" i="67"/>
  <c r="I23" i="67"/>
  <c r="J23" i="67"/>
  <c r="K23" i="67"/>
  <c r="L23" i="67"/>
  <c r="M23" i="67"/>
  <c r="N23" i="67"/>
  <c r="O23" i="67"/>
  <c r="O36" i="67"/>
  <c r="O24" i="67"/>
  <c r="P23" i="67"/>
  <c r="Q23" i="67"/>
  <c r="R23" i="67"/>
  <c r="S23" i="67"/>
  <c r="T23" i="67"/>
  <c r="U23" i="67"/>
  <c r="V23" i="67"/>
  <c r="W23" i="67"/>
  <c r="X23" i="67"/>
  <c r="Y23" i="67"/>
  <c r="Z23" i="67"/>
  <c r="AA23" i="67"/>
  <c r="AA24" i="67"/>
  <c r="AB23" i="67"/>
  <c r="AC23" i="67"/>
  <c r="AC24" i="67"/>
  <c r="AD23" i="67"/>
  <c r="AD24" i="67"/>
  <c r="AE36" i="67"/>
  <c r="AE24" i="67"/>
  <c r="AF23" i="67"/>
  <c r="AF36" i="67"/>
  <c r="AF24" i="67"/>
  <c r="AG23" i="67"/>
  <c r="AG36" i="67"/>
  <c r="AG24" i="67"/>
  <c r="E24" i="67"/>
  <c r="F24" i="67"/>
  <c r="G24" i="67"/>
  <c r="J24" i="67"/>
  <c r="K24" i="67"/>
  <c r="L24" i="67"/>
  <c r="M24" i="67"/>
  <c r="N24" i="67"/>
  <c r="S36" i="67"/>
  <c r="S24" i="67"/>
  <c r="T24" i="67"/>
  <c r="U24" i="67"/>
  <c r="V24" i="67"/>
  <c r="W24" i="67"/>
  <c r="X24" i="67"/>
  <c r="Y24" i="67"/>
  <c r="Z24" i="67"/>
  <c r="AB24" i="67"/>
  <c r="D36" i="67"/>
  <c r="D24" i="67"/>
  <c r="H36" i="67"/>
  <c r="H24" i="67"/>
  <c r="I36" i="67"/>
  <c r="I24" i="67"/>
  <c r="P36" i="67"/>
  <c r="P24" i="67"/>
  <c r="Q36" i="67"/>
  <c r="Q24" i="67"/>
  <c r="R36" i="67"/>
  <c r="R24" i="67"/>
  <c r="B38" i="67"/>
  <c r="F104" i="26"/>
  <c r="B104" i="26"/>
  <c r="F98" i="26"/>
  <c r="F99" i="26"/>
  <c r="B98" i="26"/>
  <c r="B99" i="26"/>
  <c r="F88" i="26"/>
  <c r="B88" i="26"/>
  <c r="F82" i="26"/>
  <c r="F83" i="26"/>
  <c r="B82" i="26"/>
  <c r="B83" i="26"/>
  <c r="F72" i="26"/>
  <c r="F66" i="26"/>
  <c r="F67" i="26"/>
  <c r="B72" i="26"/>
  <c r="B66" i="26"/>
  <c r="B67" i="26"/>
  <c r="B56" i="26"/>
  <c r="B50" i="26"/>
  <c r="B51" i="26"/>
  <c r="B40" i="26"/>
  <c r="B34" i="26"/>
  <c r="B35" i="26"/>
  <c r="B24" i="26"/>
  <c r="B18" i="26"/>
  <c r="B19" i="26"/>
  <c r="H38" i="67"/>
  <c r="AH34" i="67"/>
  <c r="AH32" i="67"/>
  <c r="AH31" i="67"/>
  <c r="AH30" i="67"/>
  <c r="AH29" i="67"/>
  <c r="AH28" i="67"/>
  <c r="AH27" i="67"/>
  <c r="AH26" i="67"/>
  <c r="AH25" i="67"/>
  <c r="AH36" i="67"/>
  <c r="AI34" i="67"/>
  <c r="AI23" i="67"/>
  <c r="AI25" i="67"/>
  <c r="AI27" i="67"/>
  <c r="AI28" i="67"/>
  <c r="AI26" i="67"/>
  <c r="AI24" i="67"/>
  <c r="F38" i="67"/>
  <c r="D38" i="67"/>
  <c r="AI30" i="67"/>
  <c r="AI29" i="67"/>
  <c r="AI32" i="67"/>
  <c r="AI31" i="67"/>
</calcChain>
</file>

<file path=xl/sharedStrings.xml><?xml version="1.0" encoding="utf-8"?>
<sst xmlns="http://schemas.openxmlformats.org/spreadsheetml/2006/main" count="4698" uniqueCount="3046">
  <si>
    <t>Day</t>
  </si>
  <si>
    <t>Date</t>
  </si>
  <si>
    <t>Remark</t>
  </si>
  <si>
    <t>Error code</t>
  </si>
  <si>
    <t>PPJ</t>
  </si>
  <si>
    <t>Total Unit</t>
  </si>
  <si>
    <t>Fri</t>
  </si>
  <si>
    <t>Sat</t>
  </si>
  <si>
    <t>Sun</t>
  </si>
  <si>
    <t>Mon</t>
  </si>
  <si>
    <t>Tue</t>
  </si>
  <si>
    <t>Wed</t>
  </si>
  <si>
    <t>Thu</t>
  </si>
  <si>
    <t>Total Jam</t>
  </si>
  <si>
    <t>N/A</t>
  </si>
  <si>
    <t>Stacker</t>
  </si>
  <si>
    <t>Error Massage</t>
  </si>
  <si>
    <t>Remark : Top 3 Error Station</t>
  </si>
  <si>
    <t>Description</t>
  </si>
  <si>
    <t xml:space="preserve">Finding/Action </t>
    <phoneticPr fontId="3" type="noConversion"/>
  </si>
  <si>
    <t>Transfer</t>
  </si>
  <si>
    <t>Load Hand</t>
  </si>
  <si>
    <t>Unload Hand</t>
  </si>
  <si>
    <t>No Jam</t>
  </si>
  <si>
    <t>No Production</t>
  </si>
  <si>
    <t>Machine No</t>
  </si>
  <si>
    <t>Total No of Error</t>
  </si>
  <si>
    <t>Percentage</t>
  </si>
  <si>
    <t>Status</t>
  </si>
  <si>
    <t>Software Ver.</t>
  </si>
  <si>
    <t>Product</t>
  </si>
  <si>
    <t>Location</t>
  </si>
  <si>
    <t>B1L1</t>
  </si>
  <si>
    <t>BIN 4</t>
  </si>
  <si>
    <t>TOTAL QTY JAM</t>
  </si>
  <si>
    <t xml:space="preserve">Total </t>
  </si>
  <si>
    <t>12019UC</t>
  </si>
  <si>
    <t>12018UC</t>
  </si>
  <si>
    <t>Machine ID</t>
  </si>
  <si>
    <t>Issue/ Finding</t>
  </si>
  <si>
    <t>CODE</t>
  </si>
  <si>
    <t>PARTS</t>
  </si>
  <si>
    <t xml:space="preserve">STACKER </t>
  </si>
  <si>
    <t xml:space="preserve"> Stacker #1 Forward Sensor #1  Sensor detected.</t>
  </si>
  <si>
    <t xml:space="preserve"> Stacker #1 Backward Sensor #1  Sensor detected.</t>
  </si>
  <si>
    <t xml:space="preserve"> Stacker #1 Forward Sensor #2  Sensor detected.</t>
  </si>
  <si>
    <t xml:space="preserve"> Stacker #1 Backward Sensor #2  Sensor detected.</t>
  </si>
  <si>
    <t xml:space="preserve"> Stacker #1 Up Sensor  Sensor detected.</t>
  </si>
  <si>
    <t xml:space="preserve"> Stacker #1 Down Sensor  Sensor detected.</t>
  </si>
  <si>
    <t xml:space="preserve"> Stacker #1 Tray Clmap Sensor  Sensor detected.</t>
  </si>
  <si>
    <t xml:space="preserve"> Stacker #1 Tray Unclamp Sensor  Sensor detected.</t>
  </si>
  <si>
    <t xml:space="preserve"> Stacker #1 Tray Empty Check  Sensor detected.</t>
  </si>
  <si>
    <t xml:space="preserve"> Stacker #1 Tray Full Check  Sensor detected.</t>
  </si>
  <si>
    <t xml:space="preserve"> Stacker #1 Buffer Tray Empty Check  Sensor detected.</t>
  </si>
  <si>
    <t xml:space="preserve"> Stacker #2 Forward Sensor #1  Sensor detected.</t>
  </si>
  <si>
    <t xml:space="preserve"> Stacker #2 Backward Sensor #1  Sensor detected.</t>
  </si>
  <si>
    <t xml:space="preserve"> Stacker #2 Forward Sensor #2  Sensor detected.</t>
  </si>
  <si>
    <t xml:space="preserve"> Stacker #2 Backward Sensor #2  Sensor detected.</t>
  </si>
  <si>
    <t xml:space="preserve"> Stacker #2 Up Sensor  Sensor detected.</t>
  </si>
  <si>
    <t xml:space="preserve"> Stacker #2 Down Sensor  Sensor detected.</t>
  </si>
  <si>
    <t xml:space="preserve"> Stacker #2 Tray Clamp Sensor  Sensor detected.</t>
  </si>
  <si>
    <t xml:space="preserve"> Stacker #2 Tray Unclamp Sensor  Sensor detected.</t>
  </si>
  <si>
    <t xml:space="preserve"> Stacker #2 Tray Empty Check  Sensor detected.</t>
  </si>
  <si>
    <t xml:space="preserve"> Stacker #2 Tray Full Check  Sensor detected.</t>
  </si>
  <si>
    <t xml:space="preserve"> Stacker #2 Buffer Tray Empty Check  Sensor detected.</t>
  </si>
  <si>
    <t xml:space="preserve"> Stacker #3 Forward Sensor #1  Sensor detected.</t>
  </si>
  <si>
    <t xml:space="preserve"> Stacker #3 Backward Sensor #1  Sensor detected.</t>
  </si>
  <si>
    <t xml:space="preserve"> Stacker #3 Forward Sensor #2  Sensor detected.</t>
  </si>
  <si>
    <t xml:space="preserve"> Stacker #3 Backward Sensor #2  Sensor detected.</t>
  </si>
  <si>
    <t xml:space="preserve"> Stacker #3 Up Sensor  Sensor detected.</t>
  </si>
  <si>
    <t xml:space="preserve"> Stacker #3 Down Sensor  Sensor detected.</t>
  </si>
  <si>
    <t xml:space="preserve"> Stacker #3 Tray Clamp Sensor  Sensor detected.</t>
  </si>
  <si>
    <t xml:space="preserve"> Stacker #3 Tray Unclamp Sensor  Sensor detected.</t>
  </si>
  <si>
    <t xml:space="preserve"> Stacker #3 Tray Empty Check  Sensor detected.</t>
  </si>
  <si>
    <t xml:space="preserve"> Stacker #3 Tray Full Check  Sensor detected.</t>
  </si>
  <si>
    <t xml:space="preserve"> Stacker #3 Buffer Tray Empty Check  Sensor detected.</t>
  </si>
  <si>
    <t xml:space="preserve"> Stacker #4 Forward Sensor #1  Sensor detected.</t>
  </si>
  <si>
    <t xml:space="preserve"> Stacker #4 Backward Sensor #1  Sensor detected.</t>
  </si>
  <si>
    <t xml:space="preserve"> Stacker #4 Forward Sensor #2  Sensor detected.</t>
  </si>
  <si>
    <t xml:space="preserve"> Stacker #4 Backward Sensor #2  Sensor detected.</t>
  </si>
  <si>
    <t xml:space="preserve"> Stacker #4 Up Sensor  Sensor detected.</t>
  </si>
  <si>
    <t xml:space="preserve"> Stacker #4 Down Sensor  Sensor detected.</t>
  </si>
  <si>
    <t xml:space="preserve"> Stacker #4 Tray Clamp Sensor  Sensor detected.</t>
  </si>
  <si>
    <t xml:space="preserve"> Stacker #4 Tray Unclamp Sensor  Sensor detected.</t>
  </si>
  <si>
    <t xml:space="preserve"> Stacker #4 Tray Empty Check  Sensor detected.</t>
  </si>
  <si>
    <t xml:space="preserve"> Stacker #4 Tray Full Check  Sensor detected.</t>
  </si>
  <si>
    <t xml:space="preserve"> Stacker #4 Buffer Tray Empty Check  Sensor detected.</t>
  </si>
  <si>
    <t xml:space="preserve"> Stacker #5 Forward Sensor #1  Sensor detected.</t>
  </si>
  <si>
    <t xml:space="preserve"> Stacker #5 Backward Sensor #1  Sensor detected.</t>
  </si>
  <si>
    <t xml:space="preserve"> Stacker #5 Forward Sensor #2  Sensor detected.</t>
  </si>
  <si>
    <t xml:space="preserve"> Stacker #5 Backward Sensor #2  Sensor detected.</t>
  </si>
  <si>
    <t xml:space="preserve"> Stacker #5 Up Sensor  Sensor detected.</t>
  </si>
  <si>
    <t xml:space="preserve"> Stacker #5 Down Sensor  Sensor detected.</t>
  </si>
  <si>
    <t xml:space="preserve"> Stacker #5 Tray Clamp Sensor  Sensor detected.</t>
  </si>
  <si>
    <t xml:space="preserve"> Stacker #5 Tray Unclamp Sensor  Sensor detected.</t>
  </si>
  <si>
    <t xml:space="preserve"> Stacker #5 Tray Empty Check  Sensor detected.</t>
  </si>
  <si>
    <t xml:space="preserve"> Stacker #5 Tray Full Check  Sensor detected.</t>
  </si>
  <si>
    <t xml:space="preserve"> Stacker #5 Buffer Tray Empty Check  Sensor detected.</t>
  </si>
  <si>
    <t xml:space="preserve"> Stacker #6 Forward Sensor #1  Sensor detected.</t>
  </si>
  <si>
    <t xml:space="preserve"> Stacker #6 Backward Sensor #1  Sensor detected.</t>
  </si>
  <si>
    <t xml:space="preserve"> Stacker #6 Forward Sensor #2  Sensor detected.</t>
  </si>
  <si>
    <t xml:space="preserve"> Stacker #6 Backward Sensor #2  Sensor detected.</t>
  </si>
  <si>
    <t xml:space="preserve"> Stacker #6 Up Sensor  Sensor detected.</t>
  </si>
  <si>
    <t xml:space="preserve"> Stacker #6 Down Sensor  Sensor detected.</t>
  </si>
  <si>
    <t xml:space="preserve"> Stacker #6 Tray Clamp Sensor  Sensor detected.</t>
  </si>
  <si>
    <t xml:space="preserve"> Stacker #6 Tray Unclamp Sensor  Sensor detected.</t>
  </si>
  <si>
    <t xml:space="preserve"> Stacker #6 Tray Empty Check  Sensor detected.</t>
  </si>
  <si>
    <t xml:space="preserve"> Stacker #6 Tray Full Check  Sensor detected.</t>
  </si>
  <si>
    <t xml:space="preserve"> Stacker #6 Buffer Tray Empty Check  Sensor detected.</t>
  </si>
  <si>
    <t xml:space="preserve"> Stacker #1 Forward Sensor #1  recognition failed.</t>
  </si>
  <si>
    <t xml:space="preserve"> Stacker #1 Backward Sensor #1  recognition failed.</t>
  </si>
  <si>
    <t xml:space="preserve"> Stacker #1 Forward Sensor #2  recognition failed.</t>
  </si>
  <si>
    <t xml:space="preserve"> Stacker #1 Backward Sensor #2  recognition failed.</t>
  </si>
  <si>
    <t xml:space="preserve"> Stacker #1 Up Sensor  recognition failed.</t>
  </si>
  <si>
    <t xml:space="preserve"> Stacker #1 Down Sensor  recognition failed.</t>
  </si>
  <si>
    <t xml:space="preserve"> Stacker #1 Tray Clmap Sensor  recognition failed.</t>
  </si>
  <si>
    <t xml:space="preserve"> Stacker #1 Tray Unclamp Sensor  recognition failed.</t>
  </si>
  <si>
    <t xml:space="preserve"> Stacker #1 Tray Empty Check  recognition failed.</t>
  </si>
  <si>
    <t xml:space="preserve"> Stacker #1 Tray Full Check  recognition failed.</t>
  </si>
  <si>
    <t xml:space="preserve"> Stacker #1 Buffer Tray Empty Check  recognition failed.</t>
  </si>
  <si>
    <t xml:space="preserve"> Stacker #2 Forward Sensor #1  recognition failed.</t>
  </si>
  <si>
    <t xml:space="preserve"> Stacker #2 Backward Sensor #1  recognition failed.</t>
  </si>
  <si>
    <t xml:space="preserve"> Stacker #2 Forward Sensor #2  recognition failed.</t>
  </si>
  <si>
    <t xml:space="preserve"> Stacker #2 Backward Sensor #2  recognition failed.</t>
  </si>
  <si>
    <t xml:space="preserve"> Stacker #2 Up Sensor  recognition failed.</t>
  </si>
  <si>
    <t xml:space="preserve"> Stacker #2 Down Sensor  recognition failed.</t>
  </si>
  <si>
    <t xml:space="preserve"> Stacker #2 Tray Clamp Sensor  recognition failed.</t>
  </si>
  <si>
    <t xml:space="preserve"> Stacker #2 Tray Unclamp Sensor  recognition failed.</t>
  </si>
  <si>
    <t xml:space="preserve"> Stacker #2 Tray Empty Check  recognition failed.</t>
  </si>
  <si>
    <t xml:space="preserve"> Stacker #2 Tray Full Check  recognition failed.</t>
  </si>
  <si>
    <t xml:space="preserve"> Stacker #2 Buffer Tray Empty Check  recognition failed.</t>
  </si>
  <si>
    <t xml:space="preserve"> Stacker #3 Forward Sensor #1  recognition failed.</t>
  </si>
  <si>
    <t xml:space="preserve"> Stacker #3 Backward Sensor #1  recognition failed.</t>
  </si>
  <si>
    <t xml:space="preserve"> Stacker #3 Forward Sensor #2  recognition failed.</t>
  </si>
  <si>
    <t xml:space="preserve"> Stacker #3 Backward Sensor #2  recognition failed.</t>
  </si>
  <si>
    <t xml:space="preserve"> Stacker #3 Up Sensor  recognition failed.</t>
  </si>
  <si>
    <t xml:space="preserve"> Stacker #3 Down Sensor  recognition failed.</t>
  </si>
  <si>
    <t xml:space="preserve"> Stacker #3 Tray Clamp Sensor  recognition failed.</t>
  </si>
  <si>
    <t xml:space="preserve"> Stacker #3 Tray Unclamp Sensor  recognition failed.</t>
  </si>
  <si>
    <t xml:space="preserve"> Stacker #3 Tray Empty Check  recognition failed.</t>
  </si>
  <si>
    <t xml:space="preserve"> Stacker #3 Tray Full Check  recognition failed.</t>
  </si>
  <si>
    <t xml:space="preserve"> Stacker #3 Buffer Tray Empty Check  recognition failed.</t>
  </si>
  <si>
    <t xml:space="preserve"> Stacker #4 Forward Sensor #1  recognition failed.</t>
  </si>
  <si>
    <t xml:space="preserve"> Stacker #4 Backward Sensor #1  recognition failed.</t>
  </si>
  <si>
    <t xml:space="preserve"> Stacker #4 Forward Sensor #2  recognition failed.</t>
  </si>
  <si>
    <t xml:space="preserve"> Stacker #4 Backward Sensor #2  recognition failed.</t>
  </si>
  <si>
    <t xml:space="preserve"> Stacker #4 Up Sensor  recognition failed.</t>
  </si>
  <si>
    <t xml:space="preserve"> Stacker #4 Down Sensor  recognition failed.</t>
  </si>
  <si>
    <t xml:space="preserve"> Stacker #4 Tray Clamp Sensor  recognition failed.</t>
  </si>
  <si>
    <t xml:space="preserve"> Stacker #4 Tray Unclamp Sensor  recognition failed.</t>
  </si>
  <si>
    <t xml:space="preserve"> Stacker #4 Tray Empty Check  recognition failed.</t>
  </si>
  <si>
    <t xml:space="preserve"> Stacker #4 Tray Full Check  recognition failed.</t>
  </si>
  <si>
    <t xml:space="preserve"> Stacker #4 Buffer Tray Empty Check  recognition failed.</t>
  </si>
  <si>
    <t xml:space="preserve"> Stacker #5 Forward Sensor #1  recognition failed.</t>
  </si>
  <si>
    <t xml:space="preserve"> Stacker #5 Backward Sensor #1  recognition failed.</t>
  </si>
  <si>
    <t xml:space="preserve"> Stacker #5 Forward Sensor #2  recognition failed.</t>
  </si>
  <si>
    <t xml:space="preserve"> Stacker #5 Backward Sensor #2  recognition failed.</t>
  </si>
  <si>
    <t xml:space="preserve"> Stacker #5 Up Sensor  recognition failed.</t>
  </si>
  <si>
    <t xml:space="preserve"> Stacker #5 Down Sensor  recognition failed.</t>
  </si>
  <si>
    <t xml:space="preserve"> Stacker #5 Tray Clamp Sensor  recognition failed.</t>
  </si>
  <si>
    <t xml:space="preserve"> Stacker #5 Tray Unclamp Sensor  recognition failed.</t>
  </si>
  <si>
    <t xml:space="preserve"> Stacker #5 Tray Empty Check  recognition failed.</t>
  </si>
  <si>
    <t xml:space="preserve"> Stacker #5 Tray Full Check  recognition failed.</t>
  </si>
  <si>
    <t xml:space="preserve"> Stacker #5 Buffer Tray Empty Check  recognition failed.</t>
  </si>
  <si>
    <t xml:space="preserve"> Stacker #6 Forward Sensor #1  recognition failed.</t>
  </si>
  <si>
    <t xml:space="preserve"> Stacker #6 Backward Sensor #1  recognition failed.</t>
  </si>
  <si>
    <t xml:space="preserve"> Stacker #6 Forward Sensor #2  recognition failed.</t>
  </si>
  <si>
    <t xml:space="preserve"> Stacker #6 Backward Sensor #2  recognition failed.</t>
  </si>
  <si>
    <t xml:space="preserve"> Stacker #6 Up Sensor  recognition failed.</t>
  </si>
  <si>
    <t xml:space="preserve"> Stacker #6 Down Sensor  recognition failed.</t>
  </si>
  <si>
    <t xml:space="preserve"> Stacker #6 Tray Clamp Sensor  recognition failed.</t>
  </si>
  <si>
    <t xml:space="preserve"> Stacker #6 Tray Unclamp Sensor  recognition failed.</t>
  </si>
  <si>
    <t xml:space="preserve"> Stacker #6 Tray Empty Check  recognition failed.</t>
  </si>
  <si>
    <t xml:space="preserve"> Stacker #6 Tray Full Check  recognition failed.</t>
  </si>
  <si>
    <t xml:space="preserve"> Stacker #6 Buffer Tray Empty Check  recognition failed.</t>
  </si>
  <si>
    <t xml:space="preserve"> The cover tray Stacker is Empty.</t>
  </si>
  <si>
    <t xml:space="preserve"> The empty tray Stacker is Empty.</t>
  </si>
  <si>
    <t xml:space="preserve"> The process tray is not add in stacker.</t>
  </si>
  <si>
    <t xml:space="preserve"> The process tray remain in unload stacker.</t>
  </si>
  <si>
    <t xml:space="preserve"> The Load tray Stacker is Empty.</t>
  </si>
  <si>
    <t xml:space="preserve"> The empty tray Stacker is be short of quantity (3ea More).</t>
  </si>
  <si>
    <t xml:space="preserve"> The Cover tray Stacker is be short of quantity (3ea More).</t>
  </si>
  <si>
    <t xml:space="preserve"> The process tray remain in load stacker. (STACKER 1)</t>
  </si>
  <si>
    <t xml:space="preserve"> The process tray remain in cover stacker. (STACKER 2)</t>
  </si>
  <si>
    <t xml:space="preserve"> The process tray remain in empty stacker. (STACKER 3)</t>
  </si>
  <si>
    <t xml:space="preserve"> The process tray is out.</t>
  </si>
  <si>
    <t xml:space="preserve"> Check the stacker status.</t>
  </si>
  <si>
    <t xml:space="preserve">TRANSFER </t>
  </si>
  <si>
    <t xml:space="preserve"> Transfer #1 Z-Axis Safety Position Check  Sensor detected.</t>
  </si>
  <si>
    <t xml:space="preserve"> Transfer #1 Tray Layer Check   Sensor detected.</t>
  </si>
  <si>
    <t xml:space="preserve"> Transfer #1 Existence Check #1  Sensor detected.</t>
  </si>
  <si>
    <t xml:space="preserve"> Transfer #1 Left Clamp Sensor  Sensor detected.</t>
  </si>
  <si>
    <t xml:space="preserve"> Transfer #1 Left Unclamp Sensor  Sensor detected.</t>
  </si>
  <si>
    <t xml:space="preserve"> Transfer #1 Right Clamp Sensor  Sensor detected.</t>
  </si>
  <si>
    <t xml:space="preserve"> Transfer #1 Right Unclamp Sensor  Sensor detected.</t>
  </si>
  <si>
    <t xml:space="preserve"> Transfer #2 Z-Axis Safety Position Sensor  Sensor detected.</t>
  </si>
  <si>
    <t xml:space="preserve"> Transfer #2 Tray Layer Check  Sensor detected.</t>
  </si>
  <si>
    <t xml:space="preserve"> Transfer #2 Existence Check #1  Sensor detected.</t>
  </si>
  <si>
    <t xml:space="preserve"> Transfer #2 Left Clamp Sensor  Sensor detected.</t>
  </si>
  <si>
    <t xml:space="preserve"> Transfer #2 Left Unclamp Sensor  Sensor detected.</t>
  </si>
  <si>
    <t xml:space="preserve"> Transfer #2 Right Clamp Sensor  Sensor detected.</t>
  </si>
  <si>
    <t xml:space="preserve"> Transfer #2 Right Unclamp Sensor  Sensor detected.</t>
  </si>
  <si>
    <t xml:space="preserve"> Transfer #1 Z-Axis Safety Position Check  recognition failed.</t>
  </si>
  <si>
    <t xml:space="preserve"> Transfer #1 Tray Layer Check   recognition failed.</t>
  </si>
  <si>
    <t xml:space="preserve"> Transfer #1 Existence Check #1  recognition failed.</t>
  </si>
  <si>
    <t xml:space="preserve"> Transfer #1 Left Clamp Sensor  recognition failed.</t>
  </si>
  <si>
    <t xml:space="preserve"> Transfer #1 Left Unclamp Sensor  recognition failed.</t>
  </si>
  <si>
    <t xml:space="preserve"> Transfer #1 Right Clamp Sensor  recognition failed.</t>
  </si>
  <si>
    <t xml:space="preserve"> Transfer #1 Right Unclamp Sensor  recognition failed.</t>
  </si>
  <si>
    <t xml:space="preserve"> Transfer #2 Z-Axis Safety Position Sensor  recognition failed.</t>
  </si>
  <si>
    <t xml:space="preserve"> Transfer #2 Tray Layer Check  recognition failed.</t>
  </si>
  <si>
    <t xml:space="preserve"> Transfer #2 Existence Check #1  recognition failed.</t>
  </si>
  <si>
    <t xml:space="preserve"> Transfer #2 Left Clamp Sensor  recognition failed.</t>
  </si>
  <si>
    <t xml:space="preserve"> Transfer #2 Left Unclamp Sensor  recognition failed.</t>
  </si>
  <si>
    <t xml:space="preserve"> Transfer #2 Right Clamp Sensor  recognition failed.</t>
  </si>
  <si>
    <t xml:space="preserve"> Transfer #2 Right Unclamp Sensor  recognition failed.</t>
  </si>
  <si>
    <t xml:space="preserve"> Transfer 1 Barcode Read Fail. </t>
  </si>
  <si>
    <t xml:space="preserve"> Transfer 1 Step Check Fail. </t>
  </si>
  <si>
    <t xml:space="preserve"> Transfer 2 Barcode Read Fail. </t>
  </si>
  <si>
    <t xml:space="preserve"> Transfer 2 Step Check Fail. </t>
  </si>
  <si>
    <t xml:space="preserve">SETPLATE </t>
  </si>
  <si>
    <t xml:space="preserve"> Setplate #1 Left Dimm Check  Sensor detected.</t>
  </si>
  <si>
    <t xml:space="preserve"> Setplate #1 Right Dimm Check  Sensor detected.</t>
  </si>
  <si>
    <t xml:space="preserve"> Setplate #2 Left Dimm Check  Sensor detected.</t>
  </si>
  <si>
    <t xml:space="preserve"> Setplate #2 Right Dimm Check  Sensor detected.</t>
  </si>
  <si>
    <t xml:space="preserve"> Setplate #3 Left Dimm Check  Sensor detected.</t>
  </si>
  <si>
    <t xml:space="preserve"> Setplate #3 Right Dimm Check  Sensor detected.</t>
  </si>
  <si>
    <t xml:space="preserve"> Setplate #4 Left Dimm Check  Sensor detected.</t>
  </si>
  <si>
    <t xml:space="preserve"> Setplate #4 Right Dimm Check  Sensor detected.</t>
  </si>
  <si>
    <t xml:space="preserve"> Setplate #5 Left Dimm Check  Sensor detected.</t>
  </si>
  <si>
    <t xml:space="preserve"> Setplate #5 Right Dimm Check  Sensor detected.</t>
  </si>
  <si>
    <t xml:space="preserve"> Setplate #1 Support Lock Sensor  Sensor detected.</t>
  </si>
  <si>
    <t xml:space="preserve"> Setplate #1 Support Unlock Sensor  Sensor detected.</t>
  </si>
  <si>
    <t xml:space="preserve"> Setplate #2 Support Lock Sensor  Sensor detected.</t>
  </si>
  <si>
    <t xml:space="preserve"> Setplate #2 Support Unlock Sensor  Sensor detected.</t>
  </si>
  <si>
    <t xml:space="preserve"> Setplate #3 Support Lock Sensor  Sensor detected.</t>
  </si>
  <si>
    <t xml:space="preserve"> Setplate #3 Support Unlock Sensor  Sensor detected.</t>
  </si>
  <si>
    <t xml:space="preserve"> Setplate #4 Support Lock Sensor  Sensor detected.</t>
  </si>
  <si>
    <t xml:space="preserve"> Setplate #4 Support Unlock Sensor  Sensor detected.</t>
  </si>
  <si>
    <t xml:space="preserve"> Setplate #5 Support Lock Sensor  Sensor detected.</t>
  </si>
  <si>
    <t xml:space="preserve"> Setplate #5 Support Unlock Sensor  Sensor detected.</t>
  </si>
  <si>
    <t xml:space="preserve"> Setplate #1 Up Sensor  Sensor detected.</t>
  </si>
  <si>
    <t xml:space="preserve"> Setplate #1 Down Sensor  Sensor detected.</t>
  </si>
  <si>
    <t xml:space="preserve"> Setplate #2 Up Sensor  Sensor detected.</t>
  </si>
  <si>
    <t xml:space="preserve"> Setplate #2 Down Sensor  Sensor detected.</t>
  </si>
  <si>
    <t xml:space="preserve"> Setplate #3 Up Sensor  Sensor detected.</t>
  </si>
  <si>
    <t xml:space="preserve"> Setplate #3 Down Sensor  Sensor detected.</t>
  </si>
  <si>
    <t xml:space="preserve"> Setplate #4 Up Sensor  Sensor detected.</t>
  </si>
  <si>
    <t xml:space="preserve"> Setplate #4 Down Sensor  Sensor detected.</t>
  </si>
  <si>
    <t xml:space="preserve"> Setplate #5 Up Sensor  Sensor detected.</t>
  </si>
  <si>
    <t xml:space="preserve"> Setplate #5 Down Sensor  Sensor detected.</t>
  </si>
  <si>
    <t xml:space="preserve"> Setplate #1 Tray Empty Check  Sensor detected.</t>
  </si>
  <si>
    <t xml:space="preserve"> Setplate #2 Tray Empty Check  Sensor detected.</t>
  </si>
  <si>
    <t xml:space="preserve"> Setplate #3 Tray Empty Check  Sensor detected.</t>
  </si>
  <si>
    <t xml:space="preserve"> Setplate #4 Tray Empty Check  Sensor detected.</t>
  </si>
  <si>
    <t xml:space="preserve"> Setplate #5 Tray Empty Check  Sensor detected.</t>
  </si>
  <si>
    <t xml:space="preserve"> Setplate #1 Left Dimm Check  recognition failed.</t>
  </si>
  <si>
    <t xml:space="preserve"> Setplate #1 Right Dimm Check  recognition failed.</t>
  </si>
  <si>
    <t xml:space="preserve"> Setplate #2 Left Dimm Check  recognition failed.</t>
  </si>
  <si>
    <t xml:space="preserve"> Setplate #2 Right Dimm Check  recognition failed.</t>
  </si>
  <si>
    <t xml:space="preserve"> Setplate #3 Left Dimm Check  recognition failed.</t>
  </si>
  <si>
    <t xml:space="preserve"> Setplate #3 Right Dimm Check  recognition failed.</t>
  </si>
  <si>
    <t xml:space="preserve"> Setplate #4 Left Dimm Check  recognition failed.</t>
  </si>
  <si>
    <t xml:space="preserve"> Setplate #4 Right Dimm Check  recognition failed.</t>
  </si>
  <si>
    <t xml:space="preserve"> Setplate #5 Left Dimm Check  recognition failed.</t>
  </si>
  <si>
    <t xml:space="preserve"> Setplate #5 Right Dimm Check  recognition failed.</t>
  </si>
  <si>
    <t xml:space="preserve"> Setplate #1 Support Lock Sensor  recognition failed.</t>
  </si>
  <si>
    <t xml:space="preserve"> Setplate #1 Support Unlock Sensor  recognition failed.</t>
  </si>
  <si>
    <t xml:space="preserve"> Setplate #2 Support Lock Sensor  recognition failed.</t>
  </si>
  <si>
    <t xml:space="preserve"> Setplate #2 Support Unlock Sensor  recognition failed.</t>
  </si>
  <si>
    <t xml:space="preserve"> Setplate #3 Support Lock Sensor  recognition failed.</t>
  </si>
  <si>
    <t xml:space="preserve"> Setplate #3 Support Unlock Sensor  recognition failed.</t>
  </si>
  <si>
    <t xml:space="preserve"> Setplate #4 Support Lock Sensor  recognition failed.</t>
  </si>
  <si>
    <t xml:space="preserve"> Setplate #4 Support Unlock Sensor  recognition failed.</t>
  </si>
  <si>
    <t xml:space="preserve"> Setplate #5 Support Lock Sensor  recognition failed.</t>
  </si>
  <si>
    <t xml:space="preserve"> Setplate #5 Support Unlock Sensor  recognition failed.</t>
  </si>
  <si>
    <t xml:space="preserve"> Setplate #1 Up Sensor  recognition failed.</t>
  </si>
  <si>
    <t xml:space="preserve"> Setplate #1 Down Sensor  recognition failed.</t>
  </si>
  <si>
    <t xml:space="preserve"> Setplate #2 Up Sensor  recognition failed.</t>
  </si>
  <si>
    <t xml:space="preserve"> Setplate #2 Down Sensor  recognition failed.</t>
  </si>
  <si>
    <t xml:space="preserve"> Setplate #3 Up Sensor  recognition failed.</t>
  </si>
  <si>
    <t xml:space="preserve"> Setplate #3 Down Sensor  recognition failed.</t>
  </si>
  <si>
    <t xml:space="preserve"> Setplate #4 Up Sensor  recognition failed.</t>
  </si>
  <si>
    <t xml:space="preserve"> Setplate #4 Down Sensor  recognition failed.</t>
  </si>
  <si>
    <t xml:space="preserve"> Setplate #5 Up Sensor  recognition failed.</t>
  </si>
  <si>
    <t xml:space="preserve"> Setplate #5 Down Sensor  recognition failed.</t>
  </si>
  <si>
    <t xml:space="preserve"> Setplate #1 Tray Empty Check  recognition failed.</t>
  </si>
  <si>
    <t xml:space="preserve"> Setplate #2 Tray Empty Check  recognition failed.</t>
  </si>
  <si>
    <t xml:space="preserve"> Setplate #3 Tray Empty Check  recognition failed.</t>
  </si>
  <si>
    <t xml:space="preserve"> Setplate #4 Tray Empty Check  recognition failed.</t>
  </si>
  <si>
    <t xml:space="preserve"> Setplate #5 Tray Empty Check  recognition failed.</t>
  </si>
  <si>
    <t xml:space="preserve">LOAD TRAY FLOW </t>
  </si>
  <si>
    <t xml:space="preserve"> Loader Tray Flow Up #1 Sensor  Sensor detected.</t>
  </si>
  <si>
    <t xml:space="preserve"> Loader Tray Flow Down #1 Sensor  Sensor detected.</t>
  </si>
  <si>
    <t xml:space="preserve"> Loader Tray Flow Left T-Tray Insert Open Sensor  Sensor detected.</t>
  </si>
  <si>
    <t xml:space="preserve"> Loader Tray Flow Left T-Tray Insert Close Sensor  Sensor detected.</t>
  </si>
  <si>
    <t xml:space="preserve"> Loader Tray Flow Left Micro Dimm Up Sensor #1  Sensor detected.</t>
  </si>
  <si>
    <t xml:space="preserve"> Loader Tray Flow Left Micro Dimm Down Sensor #1  Sensor detected.</t>
  </si>
  <si>
    <t xml:space="preserve"> Loader Tray Flow Left Micro Dimm Up Sensor #2  Sensor detected.</t>
  </si>
  <si>
    <t xml:space="preserve"> Loader Tray Flow Left Micro Dimm Down Sensor #2  Sensor detected.</t>
  </si>
  <si>
    <t xml:space="preserve"> Loader Tray Flow Right T-Tray Insert Open Sensor  Sensor detected.</t>
  </si>
  <si>
    <t xml:space="preserve"> Loader Tray Flow Right T-Tray Insert Close Sensor  Sensor detected.</t>
  </si>
  <si>
    <t xml:space="preserve"> Loader Tray Flow Right Micro Dimm Up Sensor #1  Sensor detected.</t>
  </si>
  <si>
    <t xml:space="preserve"> Loader Tray Flow Right Micro Dimm Down Sensor #1  Sensor detected.</t>
  </si>
  <si>
    <t xml:space="preserve"> Loader Tray Flow Right Micro Dimm Up Sensor #2  Sensor detected.</t>
  </si>
  <si>
    <t xml:space="preserve"> Loader Tray Flow Right Micro Dimm Down Sensor #2  Sensor detected.</t>
  </si>
  <si>
    <t xml:space="preserve"> Loader Tray Flow Tray Upper Check  Sensor detected.</t>
  </si>
  <si>
    <t xml:space="preserve"> Loader Tray Flow Tray Middle Check  Sensor detected.</t>
  </si>
  <si>
    <t xml:space="preserve"> Loader Tray Flow Tray Bottom Check  Sensor detected.</t>
  </si>
  <si>
    <t xml:space="preserve"> Loader Tray Flow Roller For Sensor #1  Sensor detected.</t>
  </si>
  <si>
    <t xml:space="preserve"> Loader Tray Flow Roller Back Sensor #1  Sensor detected.</t>
  </si>
  <si>
    <t xml:space="preserve"> Loader Tray Flow Roller For Sensor #2  Sensor detected.</t>
  </si>
  <si>
    <t xml:space="preserve"> Loader Tray Flow Roller Back Sensor #2  Sensor detected.</t>
  </si>
  <si>
    <t xml:space="preserve"> Loader Tray Flow Roller For Sensor #3  Sensor detected.</t>
  </si>
  <si>
    <t xml:space="preserve"> Loader Tray Flow Roller Back Sensor #3  Sensor detected.</t>
  </si>
  <si>
    <t xml:space="preserve"> Loader Tray Flow Roller For Sensor #4  Sensor detected.</t>
  </si>
  <si>
    <t xml:space="preserve"> Loader Tray Flow Roller Back Sensor #4  Sensor detected.</t>
  </si>
  <si>
    <t xml:space="preserve"> Loader Tray Flow Tray Guide Long Dimm Position Check #1-1  Sensor detected.</t>
  </si>
  <si>
    <t xml:space="preserve"> Loader Tray Flow Tray Guide Short Dimm Position Check #1-1  Sensor detected.</t>
  </si>
  <si>
    <t xml:space="preserve"> Loader Tray Flow Tray Guide Mini Dimm Position Check #1-1  Sensor detected.</t>
  </si>
  <si>
    <t xml:space="preserve"> Loader Tray Flow Tray Guide Long Dimm Position Check #1-2  Sensor detected.</t>
  </si>
  <si>
    <t xml:space="preserve"> Loader Tray Flow Tray Guide Short Dimm Position Check #1-2  Sensor detected.</t>
  </si>
  <si>
    <t xml:space="preserve"> Loader Tray Flow Tray Guide Mini Dimm Position Check #1-2  Sensor detected.</t>
  </si>
  <si>
    <t xml:space="preserve"> Loader Tray Flow Tray Guide Long Dimm Position Check #2-1  Sensor detected.</t>
  </si>
  <si>
    <t xml:space="preserve"> Loader Tray Flow Tray Guide Short Dimm Position Check #2-1  Sensor detected.</t>
  </si>
  <si>
    <t xml:space="preserve"> Loader Tray Flow Tray Guide Mini Dimm Position Check #2-1  Sensor detected.</t>
  </si>
  <si>
    <t xml:space="preserve"> Loader Tray Flow Tray Guide Long Dimm Position Check #2-2  Sensor detected.</t>
  </si>
  <si>
    <t xml:space="preserve"> Loader Tray Flow Tray Guide Short Dimm Position Check #2-2  Sensor detected.</t>
  </si>
  <si>
    <t xml:space="preserve"> Loader Tray Flow Tray Guide Mini Dimm Position Check #2-2  Sensor detected.</t>
  </si>
  <si>
    <t xml:space="preserve"> Loader Tray Flow Insert Bottom Check #1  Sensor detected.</t>
  </si>
  <si>
    <t xml:space="preserve"> Loader Tray Flow Insert Bottom Check #2  Sensor detected.</t>
  </si>
  <si>
    <t xml:space="preserve"> Loader Tray Flow Insert Bottom Check #3  Sensor detected.</t>
  </si>
  <si>
    <t xml:space="preserve"> Loader Tray Flow Insert Bottom Check #4  Sensor detected.</t>
  </si>
  <si>
    <t xml:space="preserve"> Loader Tray Flow Up #1 Sensor  recognition failed.</t>
  </si>
  <si>
    <t xml:space="preserve"> Loader Tray Flow Down #1 Sensor  recognition failed.</t>
  </si>
  <si>
    <t xml:space="preserve"> Loader Tray Flow Left T-Tray Insert Open Sensor  recognition failed.</t>
  </si>
  <si>
    <t xml:space="preserve"> Loader Tray Flow Left T-Tray Insert Close Sensor  recognition failed.</t>
  </si>
  <si>
    <t xml:space="preserve"> Loader Tray Flow Left Micro Dimm Up Sensor #1  recognition failed.</t>
  </si>
  <si>
    <t xml:space="preserve"> Loader Tray Flow Left Micro Dimm Down Sensor #1  recognition failed.</t>
  </si>
  <si>
    <t xml:space="preserve"> Loader Tray Flow Left Micro Dimm Up Sensor #2  recognition failed.</t>
  </si>
  <si>
    <t xml:space="preserve"> Loader Tray Flow Left Micro Dimm Down Sensor #2  recognition failed.</t>
  </si>
  <si>
    <t xml:space="preserve"> Loader Tray Flow Right T-Tray Insert Open Sensor  recognition failed.</t>
  </si>
  <si>
    <t xml:space="preserve"> Loader Tray Flow Right T-Tray Insert Close Sensor  recognition failed.</t>
  </si>
  <si>
    <t xml:space="preserve"> Loader Tray Flow Right Micro Dimm Up Sensor #1  recognition failed.</t>
  </si>
  <si>
    <t xml:space="preserve"> Loader Tray Flow Right Micro Dimm Down Sensor #1  recognition failed.</t>
  </si>
  <si>
    <t xml:space="preserve"> Loader Tray Flow Right Micro Dimm Up Sensor #2  recognition failed.</t>
  </si>
  <si>
    <t xml:space="preserve"> Loader Tray Flow Right Micro Dimm Down Sensor #2  recognition failed.</t>
  </si>
  <si>
    <t xml:space="preserve"> Loader Tray Flow Tray Upper Check  recognition failed.</t>
  </si>
  <si>
    <t xml:space="preserve"> Loader Tray Flow Tray Middle Check  recognition failed.</t>
  </si>
  <si>
    <t xml:space="preserve"> Loader Tray Flow Tray Bottom Check  recognition failed.</t>
  </si>
  <si>
    <t xml:space="preserve"> Loader Tray Flow Roller For Sensor #1  recognition failed.</t>
  </si>
  <si>
    <t xml:space="preserve"> Loader Tray Flow Roller Back Sensor #1  recognition failed.</t>
  </si>
  <si>
    <t xml:space="preserve"> Loader Tray Flow Roller For Sensor #2  recognition failed.</t>
  </si>
  <si>
    <t xml:space="preserve"> Loader Tray Flow Roller Back Sensor #2  recognition failed.</t>
  </si>
  <si>
    <t xml:space="preserve"> Loader Tray Flow Roller For Sensor #3  recognition failed.</t>
  </si>
  <si>
    <t xml:space="preserve"> Loader Tray Flow Roller Back Sensor #3  recognition failed.</t>
  </si>
  <si>
    <t xml:space="preserve"> Loader Tray Flow Roller For Sensor #4  recognition failed.</t>
  </si>
  <si>
    <t xml:space="preserve"> Loader Tray Flow Roller Back Sensor #4  recognition failed.</t>
  </si>
  <si>
    <t xml:space="preserve"> Loader Tray Flow Tray Guide Long Dimm Position Check #1-1  recognition failed.</t>
  </si>
  <si>
    <t xml:space="preserve"> Loader Tray Flow Tray Guide Short Dimm Position Check #1-1  recognition failed.</t>
  </si>
  <si>
    <t xml:space="preserve"> Loader Tray Flow Tray Guide Mini Dimm Position Check #1-1  recognition failed.</t>
  </si>
  <si>
    <t xml:space="preserve"> Loader Tray Flow Tray Guide Long Dimm Position Check #1-2  recognition failed.</t>
  </si>
  <si>
    <t xml:space="preserve"> Loader Tray Flow Tray Guide Short Dimm Position Check #1-2  recognition failed.</t>
  </si>
  <si>
    <t xml:space="preserve"> Loader Tray Flow Tray Guide Mini Dimm Position Check #1-2  recognition failed.</t>
  </si>
  <si>
    <t xml:space="preserve"> Loader Tray Flow Tray Guide Long Dimm Position Check #2-1  recognition failed.</t>
  </si>
  <si>
    <t xml:space="preserve"> Loader Tray Flow Tray Guide Short Dimm Position Check #2-1  recognition failed.</t>
  </si>
  <si>
    <t xml:space="preserve"> Loader Tray Flow Tray Guide Mini Dimm Position Check #2-1  recognition failed.</t>
  </si>
  <si>
    <t xml:space="preserve"> Loader Tray Flow Tray Guide Long Dimm Position Check #2-2  recognition failed.</t>
  </si>
  <si>
    <t xml:space="preserve"> Loader Tray Flow Tray Guide Short Dimm Position Check #2-2  recognition failed.</t>
  </si>
  <si>
    <t xml:space="preserve"> Loader Tray Flow Tray Guide Mini Dimm Position Check #2-2  recognition failed.</t>
  </si>
  <si>
    <t xml:space="preserve"> Loader Tray Flow Insert Bottom Check #1  recognition failed.</t>
  </si>
  <si>
    <t xml:space="preserve"> Loader Tray Flow Insert Bottom Check #2  recognition failed.</t>
  </si>
  <si>
    <t xml:space="preserve"> Loader Tray Flow Insert Bottom Check #3  recognition failed.</t>
  </si>
  <si>
    <t xml:space="preserve"> Loader Tray Flow Insert Bottom Check #4  recognition failed.</t>
  </si>
  <si>
    <t xml:space="preserve">BUFFER TRAY FLOW </t>
  </si>
  <si>
    <t xml:space="preserve"> Buffer Tray Flow Tray Module Empty Check #1  Sensor detected.</t>
  </si>
  <si>
    <t xml:space="preserve"> Buffer Tray Flow Tray Module Empty Check #2  Sensor detected.</t>
  </si>
  <si>
    <t xml:space="preserve"> Moving Buffer Tray Empty Check  Sensor detected.</t>
  </si>
  <si>
    <t xml:space="preserve"> Fix Buffer Tray Empty Check  Sensor detected.</t>
  </si>
  <si>
    <t xml:space="preserve"> Buffer Tray Flow Stopper Open Sensor #1  Sensor detected.</t>
  </si>
  <si>
    <t xml:space="preserve"> Buffer Tray Flow Stopper Close Sensor #1  Sensor detected.</t>
  </si>
  <si>
    <t xml:space="preserve"> Buffer Tray Flow Stopper Open Sensor #2  Sensor detected.</t>
  </si>
  <si>
    <t xml:space="preserve"> Buffer Tray Flow Stopper Close Sensor #2  Sensor detected.</t>
  </si>
  <si>
    <t xml:space="preserve"> Buffer Tray Flow Feeder #2 Up Sensor  Sensor detected.</t>
  </si>
  <si>
    <t xml:space="preserve"> Buffer Tray Flow Feeder #2 Down Sensor  Sensor detected.</t>
  </si>
  <si>
    <t xml:space="preserve"> Buffer Tray Flow Feeder #2 For Sensor  Sensor detected.</t>
  </si>
  <si>
    <t xml:space="preserve"> Buffer Tray Flow Feeder #2 Back Sensor  Sensor detected.</t>
  </si>
  <si>
    <t xml:space="preserve"> Buffer Tray Flow Tray Module Empty Check #1  recognition failed.</t>
  </si>
  <si>
    <t xml:space="preserve"> Buffer Tray Flow Tray Module Empty Check #2  recognition failed.</t>
  </si>
  <si>
    <t xml:space="preserve"> Moving Buffer Tray Empty Check  recognition failed.</t>
  </si>
  <si>
    <t xml:space="preserve"> Fix Buffer Tray Empty Check  recognition failed.</t>
  </si>
  <si>
    <t xml:space="preserve"> Buffer Tray Flow Stopper Open Sensor #1  recognition failed.</t>
  </si>
  <si>
    <t xml:space="preserve"> Buffer Tray Flow Stopper Close Sensor #1  recognition failed.</t>
  </si>
  <si>
    <t xml:space="preserve"> Buffer Tray Flow Stopper Open Sensor #2  recognition failed.</t>
  </si>
  <si>
    <t xml:space="preserve"> Buffer Tray Flow Stopper Close Sensor #2  recognition failed.</t>
  </si>
  <si>
    <t xml:space="preserve"> Buffer Tray Flow Feeder #2 Up Sensor  recognition failed.</t>
  </si>
  <si>
    <t xml:space="preserve"> Buffer Tray Flow Feeder #2 Down Sensor  recognition failed.</t>
  </si>
  <si>
    <t xml:space="preserve"> Buffer Tray Flow Feeder #2 For Sensor  recognition failed.</t>
  </si>
  <si>
    <t xml:space="preserve"> Buffer Tray Flow Feeder #2 Back Sensor  recognition failed.</t>
  </si>
  <si>
    <t xml:space="preserve"> It was exist module in the test tray. </t>
  </si>
  <si>
    <t xml:space="preserve">UNLOAD TRAY FLOW </t>
  </si>
  <si>
    <t xml:space="preserve"> Unloader Tray Flow Up Sensor #1  Sensor detected.</t>
  </si>
  <si>
    <t xml:space="preserve"> Unloader Tray Flow Down Sensor #1  Sensor detected.</t>
  </si>
  <si>
    <t xml:space="preserve"> Unloader Tray Flow Left T-Tray Insert Open Sensor  Sensor detected.</t>
  </si>
  <si>
    <t xml:space="preserve"> Unloader Tray Flow Left T-Tray Insert Close Sensor  Sensor detected.</t>
  </si>
  <si>
    <t xml:space="preserve"> Unloader Tray Flow Left Micro Dimm Up Sensor #1  Sensor detected.</t>
  </si>
  <si>
    <t xml:space="preserve"> Unloader Tray Flow Left Micro Dimm Down Sensor #1  Sensor detected.</t>
  </si>
  <si>
    <t xml:space="preserve"> Unloader Tray Flow Left Micro Dimm Up Sensor #2  Sensor detected.</t>
  </si>
  <si>
    <t xml:space="preserve"> Unloader Tray Flow Left Micro Dimm Down Sensor #2  Sensor detected.</t>
  </si>
  <si>
    <t xml:space="preserve"> Unloader Tray Flow Right T-Tray Insert Open Sensor  Sensor detected.</t>
  </si>
  <si>
    <t xml:space="preserve"> Unloader Tray Flow Right T-Tray Insert Close Sensor  Sensor detected.</t>
  </si>
  <si>
    <t xml:space="preserve"> Unloader Tray Flow Right Micro Dimm Up Sensor #1  Sensor detected.</t>
  </si>
  <si>
    <t xml:space="preserve"> Unloader Tray Flow Right Micro Dimm Down Sensor #1  Sensor detected.</t>
  </si>
  <si>
    <t xml:space="preserve"> Unloader Tray Flow Right Micro Dimm Up Sensor #2  Sensor detected.</t>
  </si>
  <si>
    <t xml:space="preserve"> Unloader Tray Flow Right Micro Dimm Down Sensor #2  Sensor detected.</t>
  </si>
  <si>
    <t xml:space="preserve"> Buffer Tray Flow Feeder #1 For Sensor  Sensor detected.</t>
  </si>
  <si>
    <t xml:space="preserve"> Buffer Tray Flow Feeder #1 Back Sensor  Sensor detected.</t>
  </si>
  <si>
    <t xml:space="preserve"> Unloader Tray Flow Roller For Sensor #1  Sensor detected.</t>
  </si>
  <si>
    <t xml:space="preserve"> Unloader Tray Flow Roller Back Sensor #1  Sensor detected.</t>
  </si>
  <si>
    <t xml:space="preserve"> Unloader Tray Flow Roller For Sensor #2  Sensor detected.</t>
  </si>
  <si>
    <t xml:space="preserve"> Unloader Tray Flow Roller Back Sensor #2  Sensor detected.</t>
  </si>
  <si>
    <t xml:space="preserve"> Unloader Tray Flow Roller For Sensor #3  Sensor detected.</t>
  </si>
  <si>
    <t xml:space="preserve"> Unloader Tray Flow Roller Back Sensor #3  Sensor detected.</t>
  </si>
  <si>
    <t xml:space="preserve"> Unloader Tray Flow Roller For Sensor #4  Sensor detected.</t>
  </si>
  <si>
    <t xml:space="preserve"> Unloader Tray Flow Roller Back Sensor #4  Sensor detected.</t>
  </si>
  <si>
    <t xml:space="preserve"> Unloader Tray Flow Tray Upper Check  Sensor detected.</t>
  </si>
  <si>
    <t xml:space="preserve"> Unloader Tray Flow Tray Middle Check  Sensor detected.</t>
  </si>
  <si>
    <t xml:space="preserve"> Unloader Tray Flow Tray Bottom Check  Sensor detected.</t>
  </si>
  <si>
    <t xml:space="preserve"> Buffer Tray Flow Arrival Check #1  Sensor detected.</t>
  </si>
  <si>
    <t xml:space="preserve"> Buffer Tray Flow Arrival Check #2  Sensor detected.</t>
  </si>
  <si>
    <t xml:space="preserve"> Unloader Tray Flow Tray Guide Long Dimm Position Check #1-1  Sensor detected.</t>
  </si>
  <si>
    <t xml:space="preserve"> Unloader Tray Flow Tray Guide Short Dimm Position Check #1-1  Sensor detected.</t>
  </si>
  <si>
    <t xml:space="preserve"> Unloader Tray Flow Tray Guide Mini Dimm Position Check #1-1  Sensor detected.</t>
  </si>
  <si>
    <t xml:space="preserve"> Unloader Tray Flow Tray Guide Long Dimm Position Check #1-2  Sensor detected.</t>
  </si>
  <si>
    <t xml:space="preserve"> Unloader Tray Flow Tray Guide Short Dimm Position Check #1-2  Sensor detected.</t>
  </si>
  <si>
    <t xml:space="preserve"> Unloader Tray Flow Tray Guide Mini Dimm Position Check #1-2  Sensor detected.</t>
  </si>
  <si>
    <t xml:space="preserve"> Unloader Tray Flow Tray Guide Long Dimm Position Check #2-1  Sensor detected.</t>
  </si>
  <si>
    <t xml:space="preserve"> Unloader Tray Flow Tray Guide Short Dimm Position Check #2-1  Sensor detected.</t>
  </si>
  <si>
    <t xml:space="preserve"> Unloader Tray Flow Tray Guide Mini Dimm Position Check #2-1  Sensor detected.</t>
  </si>
  <si>
    <t xml:space="preserve"> Unloader Tray Flow Tray Guide Long Dimm Position Check #2-2  Sensor detected.</t>
  </si>
  <si>
    <t xml:space="preserve"> Unloader Tray Flow Tray Guide Short Dimm Position Check #2-2  Sensor detected.</t>
  </si>
  <si>
    <t xml:space="preserve"> Unloader Tray Flow Tray Guide Mini Dimm Position Check #2-2  Sensor detected.</t>
  </si>
  <si>
    <t xml:space="preserve"> Unloader Tray Flow Up Sensor #1  recognition failed.</t>
  </si>
  <si>
    <t xml:space="preserve"> Unloader Tray Flow Down Sensor #1  recognition failed.</t>
  </si>
  <si>
    <t xml:space="preserve"> Unloader Tray Flow Left T-Tray Insert Open Sensor  recognition failed.</t>
  </si>
  <si>
    <t xml:space="preserve"> Unloader Tray Flow Left T-Tray Insert Close Sensor  recognition failed.</t>
  </si>
  <si>
    <t xml:space="preserve"> Unloader Tray Flow Left Micro Dimm Up Sensor #1  recognition failed.</t>
  </si>
  <si>
    <t xml:space="preserve"> Unloader Tray Flow Left Micro Dimm Down Sensor #1  recognition failed.</t>
  </si>
  <si>
    <t xml:space="preserve"> Unloader Tray Flow Left Micro Dimm Up Sensor #2  recognition failed.</t>
  </si>
  <si>
    <t xml:space="preserve"> Unloader Tray Flow Left Micro Dimm Down Sensor #2  recognition failed.</t>
  </si>
  <si>
    <t xml:space="preserve"> Unloader Tray Flow Right T-Tray Insert Open Sensor  recognition failed.</t>
  </si>
  <si>
    <t xml:space="preserve"> Unloader Tray Flow Right T-Tray Insert Close Sensor  recognition failed.</t>
  </si>
  <si>
    <t xml:space="preserve"> Unloader Tray Flow Right Micro Dimm Up Sensor #1  recognition failed.</t>
  </si>
  <si>
    <t xml:space="preserve"> Unloader Tray Flow Right Micro Dimm Down Sensor #1  recognition failed.</t>
  </si>
  <si>
    <t xml:space="preserve"> Unloader Tray Flow Right Micro Dimm Up Sensor #2  recognition failed.</t>
  </si>
  <si>
    <t xml:space="preserve"> Unloader Tray Flow Right Micro Dimm Down Sensor #2  recognition failed.</t>
  </si>
  <si>
    <t xml:space="preserve"> Buffer Tray Flow Feeder #1 For Sensor  recognition failed.</t>
  </si>
  <si>
    <t xml:space="preserve"> Buffer Tray Flow Feeder #1 Back Sensor  recognition failed.</t>
  </si>
  <si>
    <t xml:space="preserve"> Unloader Tray Flow Roller For Sensor #1  recognition failed.</t>
  </si>
  <si>
    <t xml:space="preserve"> Unloader Tray Flow Roller Back Sensor #1  recognition failed.</t>
  </si>
  <si>
    <t xml:space="preserve"> Unloader Tray Flow Roller For Sensor #2  recognition failed.</t>
  </si>
  <si>
    <t xml:space="preserve"> Unloader Tray Flow Roller Back Sensor #2  recognition failed.</t>
  </si>
  <si>
    <t xml:space="preserve"> Unloader Tray Flow Roller For Sensor #3  recognition failed.</t>
  </si>
  <si>
    <t xml:space="preserve"> Unloader Tray Flow Roller Back Sensor #3  recognition failed.</t>
  </si>
  <si>
    <t xml:space="preserve"> Unloader Tray Flow Roller For Sensor #4  recognition failed.</t>
  </si>
  <si>
    <t xml:space="preserve"> Unloader Tray Flow Roller Back Sensor #4  recognition failed.</t>
  </si>
  <si>
    <t xml:space="preserve"> Unloader Tray Flow Tray Upper Check  recognition failed.</t>
  </si>
  <si>
    <t xml:space="preserve"> Unloader Tray Flow Tray Middle Check  recognition failed.</t>
  </si>
  <si>
    <t xml:space="preserve"> Unloader Tray Flow Tray Bottom Check  recognition failed.</t>
  </si>
  <si>
    <t xml:space="preserve"> Buffer Tray Flow Arrival Check #1  recognition failed.</t>
  </si>
  <si>
    <t xml:space="preserve"> Buffer Tray Flow Arrival Check #2  recognition failed.</t>
  </si>
  <si>
    <t xml:space="preserve"> Unloader Tray Flow Tray Guide Long Dimm Position Check #1-1  recognition failed.</t>
  </si>
  <si>
    <t xml:space="preserve"> Unloader Tray Flow Tray Guide Short Dimm Position Check #1-1  recognition failed.</t>
  </si>
  <si>
    <t xml:space="preserve"> Unloader Tray Flow Tray Guide Mini Dimm Position Check #1-1  recognition failed.</t>
  </si>
  <si>
    <t xml:space="preserve"> Unloader Tray Flow Tray Guide Long Dimm Position Check #1-2  recognition failed.</t>
  </si>
  <si>
    <t xml:space="preserve"> Unloader Tray Flow Tray Guide Short Dimm Position Check #1-2  recognition failed.</t>
  </si>
  <si>
    <t xml:space="preserve"> Unloader Tray Flow Tray Guide Mini Dimm Position Check #1-2  recognition failed.</t>
  </si>
  <si>
    <t xml:space="preserve"> Unloader Tray Flow Tray Guide Long Dimm Position Check #2-1  recognition failed.</t>
  </si>
  <si>
    <t xml:space="preserve"> Unloader Tray Flow Tray Guide Short Dimm Position Check #2-1  recognition failed.</t>
  </si>
  <si>
    <t xml:space="preserve"> Unloader Tray Flow Tray Guide Mini Dimm Position Check #2-1  recognition failed.</t>
  </si>
  <si>
    <t xml:space="preserve"> Unloader Tray Flow Tray Guide Long Dimm Position Check #2-2  recognition failed.</t>
  </si>
  <si>
    <t xml:space="preserve"> Unloader Tray Flow Tray Guide Short Dimm Position Check #2-2  recognition failed.</t>
  </si>
  <si>
    <t xml:space="preserve"> Unloader Tray Flow Tray Guide Mini Dimm Position Check #2-2  recognition failed.</t>
  </si>
  <si>
    <t xml:space="preserve"> The test tray id Data was not received!. (Time out)</t>
  </si>
  <si>
    <t xml:space="preserve"> The test tray id data is different.</t>
  </si>
  <si>
    <t xml:space="preserve"> The test tray id data is not format.</t>
  </si>
  <si>
    <t xml:space="preserve"> There is the same test tray id.</t>
  </si>
  <si>
    <t xml:space="preserve">LOAD HAND </t>
  </si>
  <si>
    <t xml:space="preserve"> Loader Picker Module #1 Up Sensor  Sensor detected.</t>
  </si>
  <si>
    <t xml:space="preserve"> Loader Picker Module #1 Down Sensor  Sensor detected.</t>
  </si>
  <si>
    <t xml:space="preserve"> Loader Picker Module #2 Up Sensor  Sensor detected.</t>
  </si>
  <si>
    <t xml:space="preserve"> Loader Picker Module #2 Down Sensor  Sensor detected.</t>
  </si>
  <si>
    <t xml:space="preserve"> Loader Picker Module #3 Up Sensor  Sensor detected.</t>
  </si>
  <si>
    <t xml:space="preserve"> Loader Picker Module #3 Down Sensor  Sensor detected.</t>
  </si>
  <si>
    <t xml:space="preserve"> Loader Picker Module #4 Up Sensor  Sensor detected.</t>
  </si>
  <si>
    <t xml:space="preserve"> Loader Picker Module #4 Down Sensor  Sensor detected.</t>
  </si>
  <si>
    <t xml:space="preserve"> Loader Picker Module Existence Check #1  Sensor detected.</t>
  </si>
  <si>
    <t xml:space="preserve"> Loader Picker Module Existence Check #2  Sensor detected.</t>
  </si>
  <si>
    <t xml:space="preserve"> Loader Picker Module Existence Check #3  Sensor detected.</t>
  </si>
  <si>
    <t xml:space="preserve"> Loader Picker Module Existence Check #4  Sensor detected.</t>
  </si>
  <si>
    <t xml:space="preserve"> Loader Hand Pitch Wide Sensor #1  Sensor detected.</t>
  </si>
  <si>
    <t xml:space="preserve"> Loader Hand Pitch Narrow Sensor #1  Sensor detected.</t>
  </si>
  <si>
    <t xml:space="preserve"> Loader Picker Module #5 Up Sensor  Sensor detected.</t>
  </si>
  <si>
    <t xml:space="preserve"> Loader Picker Module #5 Down Sensor  Sensor detected.</t>
  </si>
  <si>
    <t xml:space="preserve"> Loader Picker Module #6 Up Sensor  Sensor detected.</t>
  </si>
  <si>
    <t xml:space="preserve"> Loader Picker Module #6 Down Sensor  Sensor detected.</t>
  </si>
  <si>
    <t xml:space="preserve"> Loader Picker Module #7 Up Sensor  Sensor detected.</t>
  </si>
  <si>
    <t xml:space="preserve"> Loader Picker Module #7 Down Sensor  Sensor detected.</t>
  </si>
  <si>
    <t xml:space="preserve"> Loader Picker Module #8 Up Sensor  Sensor detected.</t>
  </si>
  <si>
    <t xml:space="preserve"> Loader Picker Module #8 Down Sensor  Sensor detected.</t>
  </si>
  <si>
    <t xml:space="preserve"> Loader Picker Module Existence Check #5  Sensor detected.</t>
  </si>
  <si>
    <t xml:space="preserve"> Loader Picker Module Existence Check #6  Sensor detected.</t>
  </si>
  <si>
    <t xml:space="preserve"> Loader Picker Module Existence Check #7  Sensor detected.</t>
  </si>
  <si>
    <t xml:space="preserve"> Loader Picker Module Existence Check #8  Sensor detected.</t>
  </si>
  <si>
    <t xml:space="preserve"> Loader Hand Pitch Wide Sensor #2  Sensor detected.</t>
  </si>
  <si>
    <t xml:space="preserve"> Loader Hand Pitch Narrow Sensor #2  Sensor detected.</t>
  </si>
  <si>
    <t xml:space="preserve"> Loader Picker Module #1 Up Sensor  recognition failed.</t>
  </si>
  <si>
    <t xml:space="preserve"> Loader Picker Module #1 Down Sensor  recognition failed.</t>
  </si>
  <si>
    <t xml:space="preserve"> Loader Picker Module #2 Up Sensor  recognition failed.</t>
  </si>
  <si>
    <t xml:space="preserve"> Loader Picker Module #2 Down Sensor  recognition failed.</t>
  </si>
  <si>
    <t xml:space="preserve"> Loader Picker Module #3 Up Sensor  recognition failed.</t>
  </si>
  <si>
    <t xml:space="preserve"> Loader Picker Module #3 Down Sensor  recognition failed.</t>
  </si>
  <si>
    <t xml:space="preserve"> Loader Picker Module #4 Up Sensor  recognition failed.</t>
  </si>
  <si>
    <t xml:space="preserve"> Loader Picker Module #4 Down Sensor  recognition failed.</t>
  </si>
  <si>
    <t xml:space="preserve"> Loader Picker Module Existence Check #1  recognition failed.</t>
  </si>
  <si>
    <t xml:space="preserve"> Loader Picker Module Existence Check #2  recognition failed.</t>
  </si>
  <si>
    <t xml:space="preserve"> Loader Picker Module Existence Check #3  recognition failed.</t>
  </si>
  <si>
    <t xml:space="preserve"> Loader Picker Module Existence Check #4  recognition failed.</t>
  </si>
  <si>
    <t xml:space="preserve"> Loader Hand Pitch Wide Sensor #1  recognition failed.</t>
  </si>
  <si>
    <t xml:space="preserve"> Loader Hand Pitch Narrow Sensor #1  recognition failed.</t>
  </si>
  <si>
    <t xml:space="preserve"> Loader Picker Module #5 Up Sensor  recognition failed.</t>
  </si>
  <si>
    <t xml:space="preserve"> Loader Picker Module #5 Down Sensor  recognition failed.</t>
  </si>
  <si>
    <t xml:space="preserve"> Loader Picker Module #6 Up Sensor  recognition failed.</t>
  </si>
  <si>
    <t xml:space="preserve"> Loader Picker Module #6 Down Sensor  recognition failed.</t>
  </si>
  <si>
    <t xml:space="preserve"> Loader Picker Module #7 Up Sensor  recognition failed.</t>
  </si>
  <si>
    <t xml:space="preserve"> Loader Picker Module #7 Down Sensor  recognition failed.</t>
  </si>
  <si>
    <t xml:space="preserve"> Loader Picker Module #8 Up Sensor  recognition failed.</t>
  </si>
  <si>
    <t xml:space="preserve"> Loader Picker Module #8 Down Sensor  recognition failed.</t>
  </si>
  <si>
    <t xml:space="preserve"> Loader Picker Module Existence Check #5  recognition failed.</t>
  </si>
  <si>
    <t xml:space="preserve"> Loader Picker Module Existence Check #6  recognition failed.</t>
  </si>
  <si>
    <t xml:space="preserve"> Loader Picker Module Existence Check #7  recognition failed.</t>
  </si>
  <si>
    <t xml:space="preserve"> Loader Picker Module Existence Check #8  recognition failed.</t>
  </si>
  <si>
    <t xml:space="preserve"> Loader Hand Pitch Wide Sensor #2  recognition failed.</t>
  </si>
  <si>
    <t xml:space="preserve"> Loader Hand Pitch Narrow Sensor #2  recognition failed.</t>
  </si>
  <si>
    <t xml:space="preserve"> Module detected on Load Hand.</t>
  </si>
  <si>
    <t>Hand Module information is different Please check the module of the hand-picker and operate it.</t>
  </si>
  <si>
    <t xml:space="preserve"> Load Hand Barcode Read All Fail.</t>
  </si>
  <si>
    <t>Hand Module is not. Check the Exist Sensor. Please check the module of the hand-picker and operate it.</t>
  </si>
  <si>
    <t>Hand Module is exist. Check the Exist Sensor. Please check the module of the hand-picker and operate it.</t>
  </si>
  <si>
    <t xml:space="preserve"> Load Hand Barcode is duplicated.</t>
  </si>
  <si>
    <t xml:space="preserve"> No matching ID found in BindMID list.</t>
  </si>
  <si>
    <t xml:space="preserve"> Barcode data does not match.</t>
  </si>
  <si>
    <t xml:space="preserve"> The barcode was read outside the barcode reading area.</t>
  </si>
  <si>
    <t xml:space="preserve"> Module barcode information does not match.</t>
  </si>
  <si>
    <t xml:space="preserve"> [RETEST]Module barcode information does not match.</t>
  </si>
  <si>
    <t xml:space="preserve">UNLOAD HAND </t>
  </si>
  <si>
    <t xml:space="preserve"> Unloader Picker Module #1 Up Sensor  Sensor detected.</t>
  </si>
  <si>
    <t xml:space="preserve"> Unloader Picker Module #1 Down Sensor  Sensor detected.</t>
  </si>
  <si>
    <t xml:space="preserve"> Unloader Picker Module #2 Up Sensor  Sensor detected.</t>
  </si>
  <si>
    <t xml:space="preserve"> Unloader Picker Module #2 Down Sensor  Sensor detected.</t>
  </si>
  <si>
    <t xml:space="preserve"> Unloader Picker Module #3 Up Sensor  Sensor detected.</t>
  </si>
  <si>
    <t xml:space="preserve"> Unloader Picker Module #3 Down Sensor  Sensor detected.</t>
  </si>
  <si>
    <t xml:space="preserve"> Unloader Picker Module #4 Up Sensor  Sensor detected.</t>
  </si>
  <si>
    <t xml:space="preserve"> Unloader Picker Module #4 Down Sensor  Sensor detected.</t>
  </si>
  <si>
    <t xml:space="preserve"> Unloader Picker Module Existence Check #1  Sensor detected.</t>
  </si>
  <si>
    <t xml:space="preserve"> Unloader Picker Module Existence Check #2  Sensor detected.</t>
  </si>
  <si>
    <t xml:space="preserve"> Unloader Picker Module Existence Check #3  Sensor detected.</t>
  </si>
  <si>
    <t xml:space="preserve"> Unloader Picker Module Existence Check #4  Sensor detected.</t>
  </si>
  <si>
    <t xml:space="preserve"> Unloader Hand Pitch Wide Sensor #1  Sensor detected.</t>
  </si>
  <si>
    <t xml:space="preserve"> Unloader Hand Pitch Narrow Sensor #1  Sensor detected.</t>
  </si>
  <si>
    <t xml:space="preserve"> Unloader Picker Module #5 Up Sensor  Sensor detected.</t>
  </si>
  <si>
    <t xml:space="preserve"> Unloader Picker Module #5 Down Sensor  Sensor detected.</t>
  </si>
  <si>
    <t xml:space="preserve"> Unloader Picker Module #6 Up Sensor  Sensor detected.</t>
  </si>
  <si>
    <t xml:space="preserve"> Unloader Picker Module #6 Down Sensor  Sensor detected.</t>
  </si>
  <si>
    <t xml:space="preserve"> Unloader Picker Module #7 Up Sensor  Sensor detected.</t>
  </si>
  <si>
    <t xml:space="preserve"> Unloader Picker Module #7 Down Sensor  Sensor detected.</t>
  </si>
  <si>
    <t xml:space="preserve"> Unloader Picker Module #8 Up Sensor  Sensor detected.</t>
  </si>
  <si>
    <t xml:space="preserve"> Unloader Picker Module #8 Down Sensor  Sensor detected.</t>
  </si>
  <si>
    <t xml:space="preserve"> Unloader Picker Module Existence Check #5  Sensor detected.</t>
  </si>
  <si>
    <t xml:space="preserve"> Unloader Picker Module Existence Check #6  Sensor detected.</t>
  </si>
  <si>
    <t xml:space="preserve"> Unloader Picker Module Existence Check #7  Sensor detected.</t>
  </si>
  <si>
    <t xml:space="preserve"> Unloader Picker Module Existence Check #8  Sensor detected.</t>
  </si>
  <si>
    <t xml:space="preserve"> Unloader Hand Pitch Wide Sensor #2  Sensor detected.</t>
  </si>
  <si>
    <t xml:space="preserve"> Unloader Hand Pitch Narrow Sensor #2  Sensor detected.</t>
  </si>
  <si>
    <t xml:space="preserve"> Unloader Picker Module #1 Up Sensor  recognition failed.</t>
  </si>
  <si>
    <t xml:space="preserve"> Unloader Picker Module #1 Down Sensor  recognition failed.</t>
  </si>
  <si>
    <t xml:space="preserve"> Unloader Picker Module #2 Up Sensor  recognition failed.</t>
  </si>
  <si>
    <t xml:space="preserve"> Unloader Picker Module #2 Down Sensor  recognition failed.</t>
  </si>
  <si>
    <t xml:space="preserve"> Unloader Picker Module #3 Up Sensor  recognition failed.</t>
  </si>
  <si>
    <t xml:space="preserve"> Unloader Picker Module #3 Down Sensor  recognition failed.</t>
  </si>
  <si>
    <t xml:space="preserve"> Unloader Picker Module #4 Up Sensor  recognition failed.</t>
  </si>
  <si>
    <t xml:space="preserve"> Unloader Picker Module #4 Down Sensor  recognition failed.</t>
  </si>
  <si>
    <t xml:space="preserve"> Unloader Picker Module Existence Check #1  recognition failed.</t>
  </si>
  <si>
    <t xml:space="preserve"> Unloader Picker Module Existence Check #2  recognition failed.</t>
  </si>
  <si>
    <t xml:space="preserve"> Unloader Picker Module Existence Check #3  recognition failed.</t>
  </si>
  <si>
    <t xml:space="preserve"> Unloader Picker Module Existence Check #4  recognition failed.</t>
  </si>
  <si>
    <t xml:space="preserve"> Unloader Hand Pitch Wide Sensor #1  recognition failed.</t>
  </si>
  <si>
    <t xml:space="preserve"> Unloader Hand Pitch Narrow Sensor #1  recognition failed.</t>
  </si>
  <si>
    <t xml:space="preserve"> Unloader Picker Module #5 Up Sensor  recognition failed.</t>
  </si>
  <si>
    <t xml:space="preserve"> Unloader Picker Module #5 Down Sensor  recognition failed.</t>
  </si>
  <si>
    <t xml:space="preserve"> Unloader Picker Module #6 Up Sensor  recognition failed.</t>
  </si>
  <si>
    <t xml:space="preserve"> Unloader Picker Module #6 Down Sensor  recognition failed.</t>
  </si>
  <si>
    <t xml:space="preserve"> Unloader Picker Module #7 Up Sensor  recognition failed.</t>
  </si>
  <si>
    <t xml:space="preserve"> Unloader Picker Module #7 Down Sensor  recognition failed.</t>
  </si>
  <si>
    <t xml:space="preserve"> Unloader Picker Module #8 Up Sensor  recognition failed.</t>
  </si>
  <si>
    <t xml:space="preserve"> Unloader Picker Module #8 Down Sensor  recognition failed.</t>
  </si>
  <si>
    <t xml:space="preserve"> Unloader Picker Module Existence Check #5  recognition failed.</t>
  </si>
  <si>
    <t xml:space="preserve"> Unloader Picker Module Existence Check #6  recognition failed.</t>
  </si>
  <si>
    <t xml:space="preserve"> Unloader Picker Module Existence Check #7  recognition failed.</t>
  </si>
  <si>
    <t xml:space="preserve"> Unloader Picker Module Existence Check #8  recognition failed.</t>
  </si>
  <si>
    <t xml:space="preserve"> Unloader Hand Pitch Wide Sensor #2  recognition failed.</t>
  </si>
  <si>
    <t xml:space="preserve"> Unloader Hand Pitch Narrow Sensor #2  recognition failed.</t>
  </si>
  <si>
    <t xml:space="preserve"> Module detected on Unload Hand.</t>
  </si>
  <si>
    <t xml:space="preserve"> Unload Hand Module information is different.</t>
  </si>
  <si>
    <t xml:space="preserve"> Unload Hand Module is not. Check the Exist Sensor.</t>
  </si>
  <si>
    <t xml:space="preserve"> Unload Hand Module is exst.Check the Exist Sensor</t>
  </si>
  <si>
    <t xml:space="preserve"> Unload Barcode ID Data Mismatch!</t>
  </si>
  <si>
    <t xml:space="preserve"> Unload Hand Barcode is duplicated.</t>
  </si>
  <si>
    <t xml:space="preserve">SOAK CHAMBER </t>
  </si>
  <si>
    <t xml:space="preserve"> Soak#1 Tray Corner Guide Open #1 Sensor  Sensor detected.</t>
  </si>
  <si>
    <t xml:space="preserve"> Soak#1 Tray Corner Guide Close #1 Sensor  Sensor detected.</t>
  </si>
  <si>
    <t xml:space="preserve"> Soak#1 Tray Corner Guide Open #2 Sensor  Sensor detected.</t>
  </si>
  <si>
    <t xml:space="preserve"> Soak#1 Tray Corner Guide Close #2 Sensor  Sensor detected.</t>
  </si>
  <si>
    <t xml:space="preserve"> Soak#1 Tray Corner Guide Open #3 Sensor  Sensor detected.</t>
  </si>
  <si>
    <t xml:space="preserve"> Soak#1 Tray Corner Guide Close #3 Sensor  Sensor detected.</t>
  </si>
  <si>
    <t xml:space="preserve"> Soak#1 Tray Corner Guide Open #4 Sensor  Sensor detected.</t>
  </si>
  <si>
    <t xml:space="preserve"> Soak#1 Tray Corner Guide Close #4 Sensor  Sensor detected.</t>
  </si>
  <si>
    <t xml:space="preserve"> Soak#1 Corner Guide 10mm Up Sensor #1  Sensor detected.</t>
  </si>
  <si>
    <t xml:space="preserve"> Soak#1 Corner Guide 10mm Down Sensor #1   Sensor detected.</t>
  </si>
  <si>
    <t xml:space="preserve"> Soak#1 Corner Guide 101mm Up  Sensor #1  Sensor detected.</t>
  </si>
  <si>
    <t xml:space="preserve"> Soak#1 Corner Guide 101mm Down Sensor #1  Sensor detected.</t>
  </si>
  <si>
    <t xml:space="preserve"> Soak#1 Corner Guide 10mm Up Sensor #2  Sensor detected.</t>
  </si>
  <si>
    <t xml:space="preserve"> Soak#1 Corner Guide 10mm Down Sensor #2  Sensor detected.</t>
  </si>
  <si>
    <t xml:space="preserve"> Soak#1 Corner Guide 101mm Up  Sensor #2  Sensor detected.</t>
  </si>
  <si>
    <t xml:space="preserve"> Soak#1 Corner Guide 101mm Down Sensor #2  Sensor detected.</t>
  </si>
  <si>
    <t xml:space="preserve"> Soak#2 Tray Corner Guide Open #1 Sensor  Sensor detected.</t>
  </si>
  <si>
    <t xml:space="preserve"> Soak#2 Tray Corner Guide Close #1 Sensor  Sensor detected.</t>
  </si>
  <si>
    <t xml:space="preserve"> Soak#2 Tray Corner Guide Open #2 Sensor  Sensor detected.</t>
  </si>
  <si>
    <t xml:space="preserve"> Soak#2 Tray Corner Guide Close #2 Sensor  Sensor detected.</t>
  </si>
  <si>
    <t xml:space="preserve"> Soak#2 Tray Corner Guide Open #3 Sensor  Sensor detected.</t>
  </si>
  <si>
    <t xml:space="preserve"> Soak#2 Tray Corner Guide Close #3 Sensor  Sensor detected.</t>
  </si>
  <si>
    <t xml:space="preserve"> Soak#2 Tray Corner Guide Open #4 Sensor  Sensor detected.</t>
  </si>
  <si>
    <t xml:space="preserve"> Soak#2 Tray Corner Guide Close #4 Sensor  Sensor detected.</t>
  </si>
  <si>
    <t xml:space="preserve"> Soak#2 Corner Guide 10mm Up Sensor #1  Sensor detected.</t>
  </si>
  <si>
    <t xml:space="preserve"> Soak#2 Corner Guide 10mm Down Sensor #1   Sensor detected.</t>
  </si>
  <si>
    <t xml:space="preserve"> Soak#2 Corner Guide 101mm Up  Sensor #1  Sensor detected.</t>
  </si>
  <si>
    <t xml:space="preserve"> Soak#2 Corner Guide 101mm Down Sensor #1  Sensor detected.</t>
  </si>
  <si>
    <t xml:space="preserve"> Soak#2 Corner Guide 10mm Up Sensor #2  Sensor detected.</t>
  </si>
  <si>
    <t xml:space="preserve"> Soak#2 Corner Guide 10mm Down Sensor #2  Sensor detected.</t>
  </si>
  <si>
    <t xml:space="preserve"> Soak#2 Corner Guide 101mm Up  Sensor #2  Sensor detected.</t>
  </si>
  <si>
    <t xml:space="preserve"> Soak#2 Corner Guide 101mm Down Sensor #2  Sensor detected.</t>
  </si>
  <si>
    <t xml:space="preserve"> Soak Shutter Lock Sensor  Sensor detected.</t>
  </si>
  <si>
    <t xml:space="preserve"> Soak Shutter Unlock Sensor  Sensor detected.</t>
  </si>
  <si>
    <t xml:space="preserve"> Soak Top Feeder Up #1  Sensor detected.</t>
  </si>
  <si>
    <t xml:space="preserve"> Soak Top Feeder Down #1  Sensor detected.</t>
  </si>
  <si>
    <t xml:space="preserve"> Soak Top Feeder Up #2  Sensor detected.</t>
  </si>
  <si>
    <t xml:space="preserve"> Soak Top Feeder Down #2  Sensor detected.</t>
  </si>
  <si>
    <t xml:space="preserve"> Soak #1 Tray Pusher Forward Check #1  Sensor detected.</t>
  </si>
  <si>
    <t xml:space="preserve"> Soak #1 Tray Pusher Backward Check #1  Sensor detected.</t>
  </si>
  <si>
    <t xml:space="preserve"> Soak #1 Tray Pusher Forward Check #2  Sensor detected.</t>
  </si>
  <si>
    <t xml:space="preserve"> Soak #1 Tray Pusher Backward Check #2  Sensor detected.</t>
  </si>
  <si>
    <t xml:space="preserve"> Soak #2 Tray Pusher Forward Check #1  Sensor detected.</t>
  </si>
  <si>
    <t xml:space="preserve"> Soak #2 Tray Pusher Backward Check #1  Sensor detected.</t>
  </si>
  <si>
    <t xml:space="preserve"> Soak #2 Tray Pusher Forward Check #2  Sensor detected.</t>
  </si>
  <si>
    <t xml:space="preserve"> Soak #2 Tray Pusher Backward Check #2  Sensor detected.</t>
  </si>
  <si>
    <t xml:space="preserve"> Soak #1 Tray Push Position Check  Sensor detected.</t>
  </si>
  <si>
    <t xml:space="preserve"> Soak #1 Upper Check  Sensor detected.</t>
  </si>
  <si>
    <t xml:space="preserve"> Soak #1 Middle Check  Sensor detected.</t>
  </si>
  <si>
    <t xml:space="preserve"> Soak #1 Lower Check  Sensor detected.</t>
  </si>
  <si>
    <t xml:space="preserve"> Soak#1 Tray Middle Guide Open #1 Sensor  Sensor detected.</t>
  </si>
  <si>
    <t xml:space="preserve"> Soak#1 Tray Middle Guide Close #1 Sensor  Sensor detected.</t>
  </si>
  <si>
    <t xml:space="preserve"> Soak#1 Tray Middle Guide Open #2 Sensor  Sensor detected.</t>
  </si>
  <si>
    <t xml:space="preserve"> Soak#1 Tray Middle Guide Close #2 Sensor  Sensor detected.</t>
  </si>
  <si>
    <t xml:space="preserve"> Soak#1 Tray Upper Guide Open #1 Sensor  Sensor detected.</t>
  </si>
  <si>
    <t xml:space="preserve"> Soak#1 Tray Upper Guide Close #1 Sensor  Sensor detected.</t>
  </si>
  <si>
    <t xml:space="preserve"> Soak#1 Tray Upper Guide Open #2 Sensor  Sensor detected.</t>
  </si>
  <si>
    <t xml:space="preserve"> Soak#1 Tray Upper Guide Close #2 Sensor  Sensor detected.</t>
  </si>
  <si>
    <t xml:space="preserve"> Soak#1 Tray Stopper Close Sensor  Sensor detected.</t>
  </si>
  <si>
    <t xml:space="preserve"> Soak #2 Tray Push Position Check  Sensor detected.</t>
  </si>
  <si>
    <t xml:space="preserve"> Soak #2 Upper Check  Sensor detected.</t>
  </si>
  <si>
    <t xml:space="preserve"> Soak #2 Middle Check  Sensor detected.</t>
  </si>
  <si>
    <t xml:space="preserve"> Soak #2 Lower Check  Sensor detected.</t>
  </si>
  <si>
    <t xml:space="preserve"> Soak#2 Tray Middle Guide Open #1 Sensor  Sensor detected.</t>
  </si>
  <si>
    <t xml:space="preserve"> Soak#2 Tray Middle Guide Close #1 Sensor  Sensor detected.</t>
  </si>
  <si>
    <t xml:space="preserve"> Soak#2 Tray Middle Guide Open #2 Sensor  Sensor detected.</t>
  </si>
  <si>
    <t xml:space="preserve"> Soak#2 Tray Middle Guide Close #2 Sensor  Sensor detected.</t>
  </si>
  <si>
    <t xml:space="preserve"> Soak#2 Tray Upper Guide Open #1 Sensor  Sensor detected.</t>
  </si>
  <si>
    <t xml:space="preserve"> Soak#2 Tray Upper Guide Close #1 Sensor  Sensor detected.</t>
  </si>
  <si>
    <t xml:space="preserve"> Soak#2 Tray Upper Guide Open #2 Sensor  Sensor detected.</t>
  </si>
  <si>
    <t xml:space="preserve"> Soak#2 Tray Upper Guide Close #2 Sensor  Sensor detected.</t>
  </si>
  <si>
    <t xml:space="preserve"> Soak #2 Tray Stopper Close Sensor  Sensor detected.</t>
  </si>
  <si>
    <t xml:space="preserve"> Soak #1 Bottom Feeder Up Sensor  Sensor detected.</t>
  </si>
  <si>
    <t xml:space="preserve"> Soak #1 Bottom Feeder Down Sensor  Sensor detected.</t>
  </si>
  <si>
    <t xml:space="preserve"> Soak #2 Bottom Feeder Up Sensor  Sensor detected.</t>
  </si>
  <si>
    <t xml:space="preserve"> Soak #2 Bottom Feeder Down Sensor  Sensor detected.</t>
  </si>
  <si>
    <t xml:space="preserve"> Soak Chamber Side Safety Door Lock #1  Sensor detected.</t>
  </si>
  <si>
    <t xml:space="preserve"> Soak Chamber Side Safety Door Lock #2  Sensor detected.</t>
  </si>
  <si>
    <t xml:space="preserve"> Soak Chamber Rear Safety Door Lock  Sensor detected.</t>
  </si>
  <si>
    <t xml:space="preserve"> Soak#1 Tray Corner Guide Open #1 Sensor  recognition failed.</t>
  </si>
  <si>
    <t xml:space="preserve"> Soak#1 Tray Corner Guide Close #1 Sensor  recognition failed.</t>
  </si>
  <si>
    <t xml:space="preserve"> Soak#1 Tray Corner Guide Open #2 Sensor  recognition failed.</t>
  </si>
  <si>
    <t xml:space="preserve"> Soak#1 Tray Corner Guide Close #2 Sensor  recognition failed.</t>
  </si>
  <si>
    <t xml:space="preserve"> Soak#1 Tray Corner Guide Open #3 Sensor  recognition failed.</t>
  </si>
  <si>
    <t xml:space="preserve"> Soak#1 Tray Corner Guide Close #3 Sensor  recognition failed.</t>
  </si>
  <si>
    <t xml:space="preserve"> Soak#1 Tray Corner Guide Open #4 Sensor  recognition failed.</t>
  </si>
  <si>
    <t xml:space="preserve"> Soak#1 Tray Corner Guide Close #4 Sensor  recognition failed.</t>
  </si>
  <si>
    <t xml:space="preserve"> Soak#1 Corner Guide 10mm Up Sensor #1  recognition failed.</t>
  </si>
  <si>
    <t xml:space="preserve"> Soak#1 Corner Guide 10mm Down Sensor #1   recognition failed.</t>
  </si>
  <si>
    <t xml:space="preserve"> Soak#1 Corner Guide 101mm Up  Sensor #1  recognition failed.</t>
  </si>
  <si>
    <t xml:space="preserve"> Soak#1 Corner Guide 101mm Down Sensor #1  recognition failed.</t>
  </si>
  <si>
    <t xml:space="preserve"> Soak#1 Corner Guide 10mm Up Sensor #2  recognition failed.</t>
  </si>
  <si>
    <t xml:space="preserve"> Soak#1 Corner Guide 10mm Down Sensor #2  recognition failed.</t>
  </si>
  <si>
    <t xml:space="preserve"> Soak#1 Corner Guide 101mm Up  Sensor #2  recognition failed.</t>
  </si>
  <si>
    <t xml:space="preserve"> Soak#1 Corner Guide 101mm Down Sensor #2  recognition failed.</t>
  </si>
  <si>
    <t xml:space="preserve"> Soak#2 Tray Corner Guide Open #1 Sensor  recognition failed.</t>
  </si>
  <si>
    <t xml:space="preserve"> Soak#2 Tray Corner Guide Close #1 Sensor  recognition failed.</t>
  </si>
  <si>
    <t xml:space="preserve"> Soak#2 Tray Corner Guide Open #2 Sensor  recognition failed.</t>
  </si>
  <si>
    <t xml:space="preserve"> Soak#2 Tray Corner Guide Close #2 Sensor  recognition failed.</t>
  </si>
  <si>
    <t xml:space="preserve"> Soak#2 Tray Corner Guide Open #3 Sensor  recognition failed.</t>
  </si>
  <si>
    <t xml:space="preserve"> Soak#2 Tray Corner Guide Close #3 Sensor  recognition failed.</t>
  </si>
  <si>
    <t xml:space="preserve"> Soak#2 Tray Corner Guide Open #4 Sensor  recognition failed.</t>
  </si>
  <si>
    <t xml:space="preserve"> Soak#2 Tray Corner Guide Close #4 Sensor  recognition failed.</t>
  </si>
  <si>
    <t xml:space="preserve"> Soak#2 Corner Guide 10mm Up Sensor #1  recognition failed.</t>
  </si>
  <si>
    <t xml:space="preserve"> Soak#2 Corner Guide 10mm Down Sensor #1   recognition failed.</t>
  </si>
  <si>
    <t xml:space="preserve"> Soak#2 Corner Guide 101mm Up  Sensor #1  recognition failed.</t>
  </si>
  <si>
    <t xml:space="preserve"> Soak#2 Corner Guide 101mm Down Sensor #1  recognition failed.</t>
  </si>
  <si>
    <t xml:space="preserve"> Soak#2 Corner Guide 10mm Up Sensor #2  recognition failed.</t>
  </si>
  <si>
    <t xml:space="preserve"> Soak#2 Corner Guide 10mm Down Sensor #2  recognition failed.</t>
  </si>
  <si>
    <t xml:space="preserve"> Soak#2 Corner Guide 101mm Up  Sensor #2  recognition failed.</t>
  </si>
  <si>
    <t xml:space="preserve"> Soak#2 Corner Guide 101mm Down Sensor #2  recognition failed.</t>
  </si>
  <si>
    <t xml:space="preserve"> Soak Shutter Lock Sensor  recognition failed.</t>
  </si>
  <si>
    <t xml:space="preserve"> Soak Shutter Unlock Sensor  recognition failed.</t>
  </si>
  <si>
    <t xml:space="preserve"> Soak Top Feeder Up #1  recognition failed.</t>
  </si>
  <si>
    <t xml:space="preserve"> Soak Top Feeder Down #1  recognition failed.</t>
  </si>
  <si>
    <t xml:space="preserve"> Soak Top Feeder Up #2  recognition failed.</t>
  </si>
  <si>
    <t xml:space="preserve"> Soak Top Feeder Down #2  recognition failed.</t>
  </si>
  <si>
    <t xml:space="preserve"> Soak #1 Tray Pusher Forward Check #1  recognition failed.</t>
  </si>
  <si>
    <t xml:space="preserve"> Soak #1 Tray Pusher Backward Check #1  recognition failed.</t>
  </si>
  <si>
    <t xml:space="preserve"> Soak #1 Tray Pusher Forward Check #2  recognition failed.</t>
  </si>
  <si>
    <t xml:space="preserve"> Soak #1 Tray Pusher Backward Check #2  recognition failed.</t>
  </si>
  <si>
    <t xml:space="preserve"> Soak #2 Tray Pusher Forward Check #1  recognition failed.</t>
  </si>
  <si>
    <t xml:space="preserve"> Soak #2 Tray Pusher Backward Check #1  recognition failed.</t>
  </si>
  <si>
    <t xml:space="preserve"> Soak #2 Tray Pusher Forward Check #2  recognition failed.</t>
  </si>
  <si>
    <t xml:space="preserve"> Soak #2 Tray Pusher Backward Check #2  recognition failed.</t>
  </si>
  <si>
    <t xml:space="preserve"> Soak #1 Tray Push Position Check  recognition failed.</t>
  </si>
  <si>
    <t xml:space="preserve"> Soak #1 Upper Check  recognition failed.</t>
  </si>
  <si>
    <t xml:space="preserve"> Soak #1 Middle Check  recognition failed.</t>
  </si>
  <si>
    <t xml:space="preserve"> Soak #1 Lower Check  recognition failed.</t>
  </si>
  <si>
    <t xml:space="preserve"> Soak#1 Tray Middle Guide Open #1 Sensor  recognition failed.</t>
  </si>
  <si>
    <t xml:space="preserve"> Soak#1 Tray Middle Guide Close #1 Sensor  recognition failed.</t>
  </si>
  <si>
    <t xml:space="preserve"> Soak#1 Tray Middle Guide Open #2 Sensor  recognition failed.</t>
  </si>
  <si>
    <t xml:space="preserve"> Soak#1 Tray Middle Guide Close #2 Sensor  recognition failed.</t>
  </si>
  <si>
    <t xml:space="preserve"> Soak#1 Tray Upper Guide Open #1 Sensor  recognition failed.</t>
  </si>
  <si>
    <t xml:space="preserve"> Soak#1 Tray Upper Guide Close #1 Sensor  recognition failed.</t>
  </si>
  <si>
    <t xml:space="preserve"> Soak#1 Tray Upper Guide Open #2 Sensor  recognition failed.</t>
  </si>
  <si>
    <t xml:space="preserve"> Soak#1 Tray Upper Guide Close #2 Sensor  recognition failed.</t>
  </si>
  <si>
    <t xml:space="preserve"> Soak#1 Tray Stopper Close Sensor  recognition failed.</t>
  </si>
  <si>
    <t xml:space="preserve"> Soak #2 Tray Push Position Check  recognition failed.</t>
  </si>
  <si>
    <t xml:space="preserve"> Soak #2 Upper Check  recognition failed.</t>
  </si>
  <si>
    <t xml:space="preserve"> Soak #2 Middle Check  recognition failed.</t>
  </si>
  <si>
    <t xml:space="preserve"> Soak #2 Lower Check  recognition failed.</t>
  </si>
  <si>
    <t xml:space="preserve"> Soak#2 Tray Middle Guide Open #1 Sensor  recognition failed.</t>
  </si>
  <si>
    <t xml:space="preserve"> Soak#2 Tray Middle Guide Close #1 Sensor  recognition failed.</t>
  </si>
  <si>
    <t xml:space="preserve"> Soak#2 Tray Middle Guide Open #2 Sensor  recognition failed.</t>
  </si>
  <si>
    <t xml:space="preserve"> Soak#2 Tray Middle Guide Close #2 Sensor  recognition failed.</t>
  </si>
  <si>
    <t xml:space="preserve"> Soak#2 Tray Upper Guide Open #1 Sensor  recognition failed.</t>
  </si>
  <si>
    <t xml:space="preserve"> Soak#2 Tray Upper Guide Close #1 Sensor  recognition failed.</t>
  </si>
  <si>
    <t xml:space="preserve"> Soak#2 Tray Upper Guide Open #2 Sensor  recognition failed.</t>
  </si>
  <si>
    <t xml:space="preserve"> Soak#2 Tray Upper Guide Close #2 Sensor  recognition failed.</t>
  </si>
  <si>
    <t xml:space="preserve"> Soak #2 Tray Stopper Close Sensor  recognition failed.</t>
  </si>
  <si>
    <t xml:space="preserve"> Soak #1 Bottom Feeder Up Sensor  recognition failed.</t>
  </si>
  <si>
    <t xml:space="preserve"> Soak #1 Bottom Feeder Down Sensor  recognition failed.</t>
  </si>
  <si>
    <t xml:space="preserve"> Soak #2 Bottom Feeder Up Sensor  recognition failed.</t>
  </si>
  <si>
    <t xml:space="preserve"> Soak #2 Bottom Feeder Down Sensor  recognition failed.</t>
  </si>
  <si>
    <t xml:space="preserve"> Soak Chamber Side Safety Door Lock #1  recognition failed.</t>
  </si>
  <si>
    <t xml:space="preserve"> Soak Chamber Side Safety Door Lock #2  recognition failed.</t>
  </si>
  <si>
    <t xml:space="preserve"> Soak Chamber Rear Safety Door Lock  recognition failed.</t>
  </si>
  <si>
    <t xml:space="preserve">TEST CHAMBER </t>
  </si>
  <si>
    <t xml:space="preserve"> Test Site #1 Middle Door Open Check  Sensor detected.</t>
  </si>
  <si>
    <t xml:space="preserve"> Test Site #1 Middle Door Close Check  Sensor detected.</t>
  </si>
  <si>
    <t xml:space="preserve"> Test Site #1 Middle Door Lock Check  Sensor detected.</t>
  </si>
  <si>
    <t xml:space="preserve"> Test Site #1 Middle Door Unlock Check  Sensor detected.</t>
  </si>
  <si>
    <t xml:space="preserve"> Test Site #2 Middle Door Open Check  Sensor detected.</t>
  </si>
  <si>
    <t xml:space="preserve"> Test Site #2 Middle Door Close Check  Sensor detected.</t>
  </si>
  <si>
    <t xml:space="preserve"> Test Site #2 Middle Door Lock Check  Sensor detected.</t>
  </si>
  <si>
    <t xml:space="preserve"> Test Site #2 Middle Door Unlock Check  Sensor detected.</t>
  </si>
  <si>
    <t xml:space="preserve"> Test Site#1 Tray Position Check #1  Sensor detected.</t>
  </si>
  <si>
    <t xml:space="preserve"> Test Site#1 Tray Position Check #2  Sensor detected.</t>
  </si>
  <si>
    <t xml:space="preserve"> Test Site For/Back Position Check #1  Sensor detected.</t>
  </si>
  <si>
    <t xml:space="preserve"> Test Site For/Back Position Check #2  Sensor detected.</t>
  </si>
  <si>
    <t xml:space="preserve"> Test Site For/Back Position Check #3  Sensor detected.</t>
  </si>
  <si>
    <t xml:space="preserve"> Test Site#2 Tray Position Check #1  Sensor detected.</t>
  </si>
  <si>
    <t xml:space="preserve"> Test Site#2 Tray Position Check #2  Sensor detected.</t>
  </si>
  <si>
    <t xml:space="preserve"> Test Site#1 M/P Docking Check  Sensor detected.</t>
  </si>
  <si>
    <t xml:space="preserve"> Test Site#2 M/P Docking Check  Sensor detected.</t>
  </si>
  <si>
    <t xml:space="preserve"> Soak Shutter Open Sensor  Sensor detected.</t>
  </si>
  <si>
    <t xml:space="preserve"> Soak Shutter Close Sensor  Sensor detected.</t>
  </si>
  <si>
    <t xml:space="preserve"> Test Site#1 Docking #1 Lock Sensor  Sensor detected.</t>
  </si>
  <si>
    <t xml:space="preserve"> Test Site#1 Docking #1 Unlock Sensor  Sensor detected.</t>
  </si>
  <si>
    <t xml:space="preserve"> Test Site#1 Docking #2 Lock Sensor  Sensor detected.</t>
  </si>
  <si>
    <t xml:space="preserve"> Test Site#1 Docking #2 Unlock Sensor  Sensor detected.</t>
  </si>
  <si>
    <t xml:space="preserve"> Test Site#2 Docking #1 Lock Sensor  Sensor detected.</t>
  </si>
  <si>
    <t xml:space="preserve"> Test Site#2 Docking #1 Unlock Sensor  Sensor detected.</t>
  </si>
  <si>
    <t xml:space="preserve"> Test Site#2 Docking #2 Lock Sensor  Sensor detected.</t>
  </si>
  <si>
    <t xml:space="preserve"> Test Site#2 Docking #2 Unlock Sensor  Sensor detected.</t>
  </si>
  <si>
    <t xml:space="preserve"> Test Site#1 Docking #3 Lock Sensor  Sensor detected.</t>
  </si>
  <si>
    <t xml:space="preserve"> Test Site#1 Docking #3 Unlock Sensor  Sensor detected.</t>
  </si>
  <si>
    <t xml:space="preserve"> Test Site#1 Docking #4 Lock Sensor  Sensor detected.</t>
  </si>
  <si>
    <t xml:space="preserve"> Test Site#1 Docking #4 Unlock Sensor  Sensor detected.</t>
  </si>
  <si>
    <t xml:space="preserve"> Test Site#2 Docking #3 Lock Sensor  Sensor detected.</t>
  </si>
  <si>
    <t xml:space="preserve"> Test Site#2 Docking #3 Unlock Sensor  Sensor detected.</t>
  </si>
  <si>
    <t xml:space="preserve"> Test Site#2 Docking #4 Lock Sensor  Sensor detected.</t>
  </si>
  <si>
    <t xml:space="preserve"> Test Site#2 Docking #4 Unlock Sensor  Sensor detected.</t>
  </si>
  <si>
    <t xml:space="preserve"> Test Site Rear Safety Safety Door Lock  Sensor detected.</t>
  </si>
  <si>
    <t xml:space="preserve"> Test Site #1 Middle Door Open Check  recognition failed.</t>
  </si>
  <si>
    <t xml:space="preserve"> Test Site #1 Middle Door Close Check  recognition failed.</t>
  </si>
  <si>
    <t xml:space="preserve"> Test Site #1 Middle Door Lock Check  recognition failed.</t>
  </si>
  <si>
    <t xml:space="preserve"> Test Site #1 Middle Door Unlock Check  recognition failed.</t>
  </si>
  <si>
    <t xml:space="preserve"> Test Site #2 Middle Door Open Check  recognition failed.</t>
  </si>
  <si>
    <t xml:space="preserve"> Test Site #2 Middle Door Close Check  recognition failed.</t>
  </si>
  <si>
    <t xml:space="preserve"> Test Site #2 Middle Door Lock Check  recognition failed.</t>
  </si>
  <si>
    <t xml:space="preserve"> Test Site #2 Middle Door Unlock Check  recognition failed.</t>
  </si>
  <si>
    <t xml:space="preserve"> Test Site#1 Tray Position Check #1  recognition failed.</t>
  </si>
  <si>
    <t xml:space="preserve"> Test Site#1 Tray Position Check #2  recognition failed.</t>
  </si>
  <si>
    <t xml:space="preserve"> Test Site For/Back Position Check #1  recognition failed.</t>
  </si>
  <si>
    <t xml:space="preserve"> Test Site For/Back Position Check #2  recognition failed.</t>
  </si>
  <si>
    <t xml:space="preserve"> Test Site For/Back Position Check #3  recognition failed.</t>
  </si>
  <si>
    <t xml:space="preserve"> Test Site#2 Tray Position Check #1  recognition failed.</t>
  </si>
  <si>
    <t xml:space="preserve"> Test Site#2 Tray Position Check #2  recognition failed.</t>
  </si>
  <si>
    <t xml:space="preserve"> Test Site#1 M/P Docking Check  recognition failed.</t>
  </si>
  <si>
    <t xml:space="preserve"> Test Site#2 M/P Docking Check  recognition failed.</t>
  </si>
  <si>
    <t xml:space="preserve"> Soak Shutter Open Sensor  recognition failed.</t>
  </si>
  <si>
    <t xml:space="preserve"> Soak Shutter Close Sensor  recognition failed.</t>
  </si>
  <si>
    <t xml:space="preserve"> Test Site#1 Docking #1 Lock Sensor  recognition failed.</t>
  </si>
  <si>
    <t xml:space="preserve"> Test Site#1 Docking #1 Unlock Sensor  recognition failed.</t>
  </si>
  <si>
    <t xml:space="preserve"> Test Site#1 Docking #2 Lock Sensor  recognition failed.</t>
  </si>
  <si>
    <t xml:space="preserve"> Test Site#1 Docking #2 Unlock Sensor  recognition failed.</t>
  </si>
  <si>
    <t xml:space="preserve"> Test Site#2 Docking #1 Lock Sensor  recognition failed.</t>
  </si>
  <si>
    <t xml:space="preserve"> Test Site#2 Docking #1 Unlock Sensor  recognition failed.</t>
  </si>
  <si>
    <t xml:space="preserve"> Test Site#2 Docking #2 Lock Sensor  recognition failed.</t>
  </si>
  <si>
    <t xml:space="preserve"> Test Site#2 Docking #2 Unlock Sensor  recognition failed.</t>
  </si>
  <si>
    <t xml:space="preserve"> Test Site#1 Docking #3 Lock Sensor  recognition failed.</t>
  </si>
  <si>
    <t xml:space="preserve"> Test Site#1 Docking #3 Unlock Sensor  recognition failed.</t>
  </si>
  <si>
    <t xml:space="preserve"> Test Site#1 Docking #4 Lock Sensor  recognition failed.</t>
  </si>
  <si>
    <t xml:space="preserve"> Test Site#1 Docking #4 Unlock Sensor  recognition failed.</t>
  </si>
  <si>
    <t xml:space="preserve"> Test Site#2 Docking #3 Lock Sensor  recognition failed.</t>
  </si>
  <si>
    <t xml:space="preserve"> Test Site#2 Docking #3 Unlock Sensor  recognition failed.</t>
  </si>
  <si>
    <t xml:space="preserve"> Test Site#2 Docking #4 Lock Sensor  recognition failed.</t>
  </si>
  <si>
    <t xml:space="preserve"> Test Site#2 Docking #4 Unlock Sensor  recognition failed.</t>
  </si>
  <si>
    <t xml:space="preserve"> Test Site Rear Safety Safety Door Lock  recognition failed.</t>
  </si>
  <si>
    <t xml:space="preserve"> The TESTER #1 T-tary is not the correct position.</t>
  </si>
  <si>
    <t xml:space="preserve"> The TESTER #2 T-tary is not the correct position.</t>
  </si>
  <si>
    <t xml:space="preserve">DESOAK CHAMBER </t>
  </si>
  <si>
    <t xml:space="preserve"> Desoak#1 Tray Corner Guide Open #1 Sensor  Sensor detected.</t>
  </si>
  <si>
    <t xml:space="preserve"> Desoak#1 Tray Corner Guide Close #1 Sensor  Sensor detected.</t>
  </si>
  <si>
    <t xml:space="preserve"> Desoak#1 Tray Corner Gudie Open #2 Sensor  Sensor detected.</t>
  </si>
  <si>
    <t xml:space="preserve"> Desoak#1 Tray Corner Gudie Close #2 Sensor  Sensor detected.</t>
  </si>
  <si>
    <t xml:space="preserve"> Desoak#1 Tray Corner Gudie Open #3 Sensor  Sensor detected.</t>
  </si>
  <si>
    <t xml:space="preserve"> Desoak#1 Tray Corner Gudie Close #3 Sensor  Sensor detected.</t>
  </si>
  <si>
    <t xml:space="preserve"> Desoak#1 Tray Corner Gudie Open #4 Sensor  Sensor detected.</t>
  </si>
  <si>
    <t xml:space="preserve"> Desoak#1 Tray Corner Gudie Close #4 Sensor  Sensor detected.</t>
  </si>
  <si>
    <t xml:space="preserve"> Desoak#1 Corner Guide 10mm Up Sensor #1  Sensor detected.</t>
  </si>
  <si>
    <t xml:space="preserve"> Desoak#1 Corner Guide 10mm Down Sensor #1   Sensor detected.</t>
  </si>
  <si>
    <t xml:space="preserve"> Desoak#1 Corner Guide 101mm Up  Sensor #1  Sensor detected.</t>
  </si>
  <si>
    <t xml:space="preserve"> Desoak#1 Corner Guide 101mm Down Sensor #1  Sensor detected.</t>
  </si>
  <si>
    <t xml:space="preserve"> Desoak#1 Corner Guide 10mm Up Sensor #2  Sensor detected.</t>
  </si>
  <si>
    <t xml:space="preserve"> Desoak#1 Corner Guide 10mm Down Sensor #2  Sensor detected.</t>
  </si>
  <si>
    <t xml:space="preserve"> Desoak#1 Corner Guide 101mm Up  Sensor #2  Sensor detected.</t>
  </si>
  <si>
    <t xml:space="preserve"> Desoak#1 Corner Guide 101mm Down Sensor #2  Sensor detected.</t>
  </si>
  <si>
    <t xml:space="preserve"> Desoak#2 Tray Corner Guide Open #1 Sensor  Sensor detected.</t>
  </si>
  <si>
    <t xml:space="preserve"> Desoak#2 Tray Corner Guide Close #1 Sensor  Sensor detected.</t>
  </si>
  <si>
    <t xml:space="preserve"> Desoak#2 Tray Corner Gudie Open #2 Sensor  Sensor detected.</t>
  </si>
  <si>
    <t xml:space="preserve"> Desoak#2 Tray Corner Gudie Close #2 Sensor  Sensor detected.</t>
  </si>
  <si>
    <t xml:space="preserve"> Desoak#2 Tray Corner Gudie Open #3 Sensor  Sensor detected.</t>
  </si>
  <si>
    <t xml:space="preserve"> Desoak#2 Tray Corner Gudie Close #3 Sensor  Sensor detected.</t>
  </si>
  <si>
    <t xml:space="preserve"> Desoak#2 Tray Corner Gudie Open #4 Sensor  Sensor detected.</t>
  </si>
  <si>
    <t xml:space="preserve"> Desoak#2 Tray Corner Gudie Close #4 Sensor  Sensor detected.</t>
  </si>
  <si>
    <t xml:space="preserve"> Desoak#2 Corner Guide 10mm Up Sensor #1  Sensor detected.</t>
  </si>
  <si>
    <t xml:space="preserve"> Desoak#2 Corner Guide 10mm Down Sensor #1   Sensor detected.</t>
  </si>
  <si>
    <t xml:space="preserve"> Desoak#2 Corner Guide 101mm Up  Sensor #1  Sensor detected.</t>
  </si>
  <si>
    <t xml:space="preserve"> Desoak#2 Corner Guide 101mm Down Sensor #1  Sensor detected.</t>
  </si>
  <si>
    <t xml:space="preserve"> Desoak#2 Corner Guide 10mm Up Sensor #2  Sensor detected.</t>
  </si>
  <si>
    <t xml:space="preserve"> Desoak#2 Corner Guide 10mm Down Sensor #2  Sensor detected.</t>
  </si>
  <si>
    <t xml:space="preserve"> Desoak#2 Corner Guide 101mm Up  Sensor #2  Sensor detected.</t>
  </si>
  <si>
    <t xml:space="preserve"> Desoak#2 Corner Guide 101mm Down Sensor #2  Sensor detected.</t>
  </si>
  <si>
    <t xml:space="preserve"> Desoak#1 Tray Upper Guide Open Sensor #1  Sensor detected.</t>
  </si>
  <si>
    <t xml:space="preserve"> Desoak#1 Tray Upper Guide Close Sensor #1  Sensor detected.</t>
  </si>
  <si>
    <t xml:space="preserve"> Desoak#1 Tray Upper Guide Open Sensor #2  Sensor detected.</t>
  </si>
  <si>
    <t xml:space="preserve"> Desoak#1 Tray Upper Guide Close Sensor #2  Sensor detected.</t>
  </si>
  <si>
    <t xml:space="preserve"> Desoak#1 Tray Middle Guide Open Sensor #1  Sensor detected.</t>
  </si>
  <si>
    <t xml:space="preserve"> Desoak#1 Tray Middle Guide Close Sensor #1  Sensor detected.</t>
  </si>
  <si>
    <t xml:space="preserve"> Desoak#1 Tray Middle Guide Open Sensor #2  Sensor detected.</t>
  </si>
  <si>
    <t xml:space="preserve"> Desoak#1 Tray Middle Guide Close Sensor #2  Sensor detected.</t>
  </si>
  <si>
    <t xml:space="preserve"> Desoak#2 Tray Upper Guide Open Sensor #1  Sensor detected.</t>
  </si>
  <si>
    <t xml:space="preserve"> Desoak#2 Tray Upper Guide Close Sensor #1  Sensor detected.</t>
  </si>
  <si>
    <t xml:space="preserve"> Desoak#2 Tray Upper Guide Open Sensor #2  Sensor detected.</t>
  </si>
  <si>
    <t xml:space="preserve"> Desoak#2 Tray Upper Guide Close Sensor #2  Sensor detected.</t>
  </si>
  <si>
    <t xml:space="preserve"> Desoak#2 Tray Middle Guide Open Sensor #1  Sensor detected.</t>
  </si>
  <si>
    <t xml:space="preserve"> Desoak#2 Tray Middle Guide Close Sensor #1  Sensor detected.</t>
  </si>
  <si>
    <t xml:space="preserve"> Desoak#2 Tray Middle Guide Open Sensor #2  Sensor detected.</t>
  </si>
  <si>
    <t xml:space="preserve"> Desoak#2 Tray Middle Guide Close Sensor #2  Sensor detected.</t>
  </si>
  <si>
    <t xml:space="preserve"> Desoak #1 Tray Pusher Forward Check #1  Sensor detected.</t>
  </si>
  <si>
    <t xml:space="preserve"> Desoak #1 Tray Pusher Backward Check #1  Sensor detected.</t>
  </si>
  <si>
    <t xml:space="preserve"> Desoak #1 Tray Pusher Forward Check #2  Sensor detected.</t>
  </si>
  <si>
    <t xml:space="preserve"> Desoak #1 Tray Pusher Backward Check #2  Sensor detected.</t>
  </si>
  <si>
    <t xml:space="preserve"> Desoak #1 Upper Check  Sensor detected.</t>
  </si>
  <si>
    <t xml:space="preserve"> Desoak #1 Middle Check  Sensor detected.</t>
  </si>
  <si>
    <t xml:space="preserve"> Desoak #1 Lower Check  Sensor detected.</t>
  </si>
  <si>
    <t xml:space="preserve"> Desoak #1 Top Feeder Up  Sensor detected.</t>
  </si>
  <si>
    <t xml:space="preserve"> Desoak #1 Top Feeder Down  Sensor detected.</t>
  </si>
  <si>
    <t xml:space="preserve"> Desoak #2 Tray Pusher Forward Check #1  Sensor detected.</t>
  </si>
  <si>
    <t xml:space="preserve"> Desoak #2 Tray Pusher Backward Check #1  Sensor detected.</t>
  </si>
  <si>
    <t xml:space="preserve"> Desoak #2 Tray Pusher Forward Check #2  Sensor detected.</t>
  </si>
  <si>
    <t xml:space="preserve"> Desoak #2 Tray Pusher Backward Check #2  Sensor detected.</t>
  </si>
  <si>
    <t xml:space="preserve"> Desoak #2 Upper Check  Sensor detected.</t>
  </si>
  <si>
    <t xml:space="preserve"> Desoak #2 Middle Check  Sensor detected.</t>
  </si>
  <si>
    <t xml:space="preserve"> Desoak #2 Lower Check  Sensor detected.</t>
  </si>
  <si>
    <t xml:space="preserve"> Desoak #2 Top Feeder Up  Sensor detected.</t>
  </si>
  <si>
    <t xml:space="preserve"> Desoak #1 Bottom Feeder Up Sensor   Sensor detected.</t>
  </si>
  <si>
    <t xml:space="preserve"> Desoak #1 Bottom Feeder Down Sensor   Sensor detected.</t>
  </si>
  <si>
    <t xml:space="preserve"> Desoak #1 Pusher Up Sensor #1  Sensor detected.</t>
  </si>
  <si>
    <t xml:space="preserve"> Desoak #1 Pusher Down Sensor #1  Sensor detected.</t>
  </si>
  <si>
    <t xml:space="preserve"> Desoak #1 Pusher Up Sensor #2  Sensor detected.</t>
  </si>
  <si>
    <t xml:space="preserve"> Desoak #1 Pusher Down Sensor #2  Sensor detected.</t>
  </si>
  <si>
    <t xml:space="preserve"> Desoak #2 Bottom Feeder Up Sensor   Sensor detected.</t>
  </si>
  <si>
    <t xml:space="preserve"> Desoak #2 Bottom Feeder Down Sensor   Sensor detected.</t>
  </si>
  <si>
    <t xml:space="preserve"> Desoak #2 Pusher Up Sensor #1  Sensor detected.</t>
  </si>
  <si>
    <t xml:space="preserve"> Desoak #2 Pusher Down Sensor #1  Sensor detected.</t>
  </si>
  <si>
    <t xml:space="preserve"> Desoak #2 Pusher Up Sensor #2  Sensor detected.</t>
  </si>
  <si>
    <t xml:space="preserve"> Desoak #2 Pusher Down Sensor #2  Sensor detected.</t>
  </si>
  <si>
    <t xml:space="preserve"> Desoak Chamber Rear Safety Door Lock  Sensor detected.</t>
  </si>
  <si>
    <t xml:space="preserve"> Desoak Chamber Side Safety Door Lock #1  Sensor detected.</t>
  </si>
  <si>
    <t xml:space="preserve"> Desoak Chamber Side Safety Door Lock #2  Sensor detected.</t>
  </si>
  <si>
    <t xml:space="preserve"> Desoak#1 Tray Corner Guide Open #1 Sensor  recognition failed.</t>
  </si>
  <si>
    <t xml:space="preserve"> Desoak#1 Tray Corner Guide Close #1 Sensor  recognition failed.</t>
  </si>
  <si>
    <t xml:space="preserve"> Desoak#1 Tray Corner Gudie Open #2 Sensor  recognition failed.</t>
  </si>
  <si>
    <t xml:space="preserve"> Desoak#1 Tray Corner Gudie Close #2 Sensor  recognition failed.</t>
  </si>
  <si>
    <t xml:space="preserve"> Desoak#1 Tray Corner Gudie Open #3 Sensor  recognition failed.</t>
  </si>
  <si>
    <t xml:space="preserve"> Desoak#1 Tray Corner Gudie Close #3 Sensor  recognition failed.</t>
  </si>
  <si>
    <t xml:space="preserve"> Desoak#1 Tray Corner Gudie Open #4 Sensor  recognition failed.</t>
  </si>
  <si>
    <t xml:space="preserve"> Desoak#1 Tray Corner Gudie Close #4 Sensor  recognition failed.</t>
  </si>
  <si>
    <t xml:space="preserve"> Desoak#1 Corner Guide 10mm Up Sensor #1  recognition failed.</t>
  </si>
  <si>
    <t xml:space="preserve"> Desoak#1 Corner Guide 10mm Down Sensor #1   recognition failed.</t>
  </si>
  <si>
    <t xml:space="preserve"> Desoak#1 Corner Guide 101mm Up  Sensor #1  recognition failed.</t>
  </si>
  <si>
    <t xml:space="preserve"> Desoak#1 Corner Guide 101mm Down Sensor #1  recognition failed.</t>
  </si>
  <si>
    <t xml:space="preserve"> Desoak#1 Corner Guide 10mm Up Sensor #2  recognition failed.</t>
  </si>
  <si>
    <t xml:space="preserve"> Desoak#1 Corner Guide 10mm Down Sensor #2  recognition failed.</t>
  </si>
  <si>
    <t xml:space="preserve"> Desoak#1 Corner Guide 101mm Up  Sensor #2  recognition failed.</t>
  </si>
  <si>
    <t xml:space="preserve"> Desoak#1 Corner Guide 101mm Down Sensor #2  recognition failed.</t>
  </si>
  <si>
    <t xml:space="preserve"> Desoak#2 Tray Corner Guide Open #1 Sensor  recognition failed.</t>
  </si>
  <si>
    <t xml:space="preserve"> Desoak#2 Tray Corner Guide Close #1 Sensor  recognition failed.</t>
  </si>
  <si>
    <t xml:space="preserve"> Desoak#2 Tray Corner Gudie Open #2 Sensor  recognition failed.</t>
  </si>
  <si>
    <t xml:space="preserve"> Desoak#2 Tray Corner Gudie Close #2 Sensor  recognition failed.</t>
  </si>
  <si>
    <t xml:space="preserve"> Desoak#2 Tray Corner Gudie Open #3 Sensor  recognition failed.</t>
  </si>
  <si>
    <t xml:space="preserve"> Desoak#2 Tray Corner Gudie Close #3 Sensor  recognition failed.</t>
  </si>
  <si>
    <t xml:space="preserve"> Desoak#2 Tray Corner Gudie Open #4 Sensor  recognition failed.</t>
  </si>
  <si>
    <t xml:space="preserve"> Desoak#2 Tray Corner Gudie Close #4 Sensor  recognition failed.</t>
  </si>
  <si>
    <t xml:space="preserve"> Desoak#2 Corner Guide 10mm Up Sensor #1  recognition failed.</t>
  </si>
  <si>
    <t xml:space="preserve"> Desoak#2 Corner Guide 10mm Down Sensor #1   recognition failed.</t>
  </si>
  <si>
    <t xml:space="preserve"> Desoak#2 Corner Guide 101mm Up  Sensor #1  recognition failed.</t>
  </si>
  <si>
    <t xml:space="preserve"> Desoak#2 Corner Guide 101mm Down Sensor #1  recognition failed.</t>
  </si>
  <si>
    <t xml:space="preserve"> Desoak#2 Corner Guide 10mm Up Sensor #2  recognition failed.</t>
  </si>
  <si>
    <t xml:space="preserve"> Desoak#2 Corner Guide 10mm Down Sensor #2  recognition failed.</t>
  </si>
  <si>
    <t xml:space="preserve"> Desoak#2 Corner Guide 101mm Up  Sensor #2  recognition failed.</t>
  </si>
  <si>
    <t xml:space="preserve"> Desoak#2 Corner Guide 101mm Down Sensor #2  recognition failed.</t>
  </si>
  <si>
    <t xml:space="preserve"> Desoak#1 Tray Upper Guide Open Sensor #1  recognition failed.</t>
  </si>
  <si>
    <t xml:space="preserve"> Desoak#1 Tray Upper Guide Close Sensor #1  recognition failed.</t>
  </si>
  <si>
    <t xml:space="preserve"> Desoak#1 Tray Upper Guide Open Sensor #2  recognition failed.</t>
  </si>
  <si>
    <t xml:space="preserve"> Desoak#1 Tray Upper Guide Close Sensor #2  recognition failed.</t>
  </si>
  <si>
    <t xml:space="preserve"> Desoak#1 Tray Middle Guide Open Sensor #1  recognition failed.</t>
  </si>
  <si>
    <t xml:space="preserve"> Desoak#1 Tray Middle Guide Close Sensor #1  recognition failed.</t>
  </si>
  <si>
    <t xml:space="preserve"> Desoak#1 Tray Middle Guide Open Sensor #2  recognition failed.</t>
  </si>
  <si>
    <t xml:space="preserve"> Desoak#1 Tray Middle Guide Close Sensor #2  recognition failed.</t>
  </si>
  <si>
    <t xml:space="preserve"> Desoak#2 Tray Upper Guide Open Sensor #1  recognition failed.</t>
  </si>
  <si>
    <t xml:space="preserve"> Desoak#2 Tray Upper Guide Close Sensor #1  recognition failed.</t>
  </si>
  <si>
    <t xml:space="preserve"> Desoak#2 Tray Upper Guide Open Sensor #2  recognition failed.</t>
  </si>
  <si>
    <t xml:space="preserve"> Desoak#2 Tray Upper Guide Close Sensor #2  recognition failed.</t>
  </si>
  <si>
    <t xml:space="preserve"> Desoak#2 Tray Middle Guide Open Sensor #1  recognition failed.</t>
  </si>
  <si>
    <t xml:space="preserve"> Desoak#2 Tray Middle Guide Close Sensor #1  recognition failed.</t>
  </si>
  <si>
    <t xml:space="preserve"> Desoak#2 Tray Middle Guide Open Sensor #2  recognition failed.</t>
  </si>
  <si>
    <t xml:space="preserve"> Desoak#2 Tray Middle Guide Close Sensor #2  recognition failed.</t>
  </si>
  <si>
    <t xml:space="preserve"> Desoak #1 Tray Pusher Forward Check #1  recognition failed.</t>
  </si>
  <si>
    <t xml:space="preserve"> Desoak #1 Tray Pusher Backward Check #1  recognition failed.</t>
  </si>
  <si>
    <t xml:space="preserve"> Desoak #1 Tray Pusher Forward Check #2  recognition failed.</t>
  </si>
  <si>
    <t xml:space="preserve"> Desoak #1 Tray Pusher Backward Check #2  recognition failed.</t>
  </si>
  <si>
    <t xml:space="preserve"> Desoak #1 Upper Check  recognition failed.</t>
  </si>
  <si>
    <t xml:space="preserve"> Desoak #1 Middle Check  recognition failed.</t>
  </si>
  <si>
    <t xml:space="preserve"> Desoak #1 Lower Check  recognition failed.</t>
  </si>
  <si>
    <t xml:space="preserve"> Desoak #1 Top Feeder Up  recognition failed.</t>
  </si>
  <si>
    <t xml:space="preserve"> Desoak #1 Top Feeder Down  recognition failed.</t>
  </si>
  <si>
    <t xml:space="preserve"> Desoak #2 Tray Pusher Forward Check #1  recognition failed.</t>
  </si>
  <si>
    <t xml:space="preserve"> Desoak #2 Tray Pusher Backward Check #1  recognition failed.</t>
  </si>
  <si>
    <t xml:space="preserve"> Desoak #2 Tray Pusher Forward Check #2  recognition failed.</t>
  </si>
  <si>
    <t xml:space="preserve"> Desoak #2 Tray Pusher Backward Check #2  recognition failed.</t>
  </si>
  <si>
    <t xml:space="preserve"> Desoak #2 Upper Check  recognition failed.</t>
  </si>
  <si>
    <t xml:space="preserve"> Desoak #2 Middle Check  recognition failed.</t>
  </si>
  <si>
    <t xml:space="preserve"> Desoak #2 Lower Check  recognition failed.</t>
  </si>
  <si>
    <t xml:space="preserve"> Desoak #2 Top Feeder Up  recognition failed.</t>
  </si>
  <si>
    <t xml:space="preserve"> Desoak #1 Bottom Feeder Up Sensor   recognition failed.</t>
  </si>
  <si>
    <t xml:space="preserve"> Desoak #1 Bottom Feeder Down Sensor   recognition failed.</t>
  </si>
  <si>
    <t xml:space="preserve"> Desoak #1 Pusher Up Sensor #1  recognition failed.</t>
  </si>
  <si>
    <t xml:space="preserve"> Desoak #1 Pusher Down Sensor #1  recognition failed.</t>
  </si>
  <si>
    <t xml:space="preserve"> Desoak #1 Pusher Up Sensor #2  recognition failed.</t>
  </si>
  <si>
    <t xml:space="preserve"> Desoak #1 Pusher Down Sensor #2  recognition failed.</t>
  </si>
  <si>
    <t xml:space="preserve"> Desoak #2 Bottom Feeder Up Sensor   recognition failed.</t>
  </si>
  <si>
    <t xml:space="preserve"> Desoak #2 Bottom Feeder Down Sensor   recognition failed.</t>
  </si>
  <si>
    <t xml:space="preserve"> Desoak #2 Pusher Up Sensor #1  recognition failed.</t>
  </si>
  <si>
    <t xml:space="preserve"> Desoak #2 Pusher Down Sensor #1  recognition failed.</t>
  </si>
  <si>
    <t xml:space="preserve"> Desoak #2 Pusher Up Sensor #2  recognition failed.</t>
  </si>
  <si>
    <t xml:space="preserve"> Desoak #2 Pusher Down Sensor #2  recognition failed.</t>
  </si>
  <si>
    <t xml:space="preserve"> Desoak Chamber Rear Safety Door Lock  recognition failed.</t>
  </si>
  <si>
    <t xml:space="preserve"> Desoak Chamber Side Safety Door Lock #1  recognition failed.</t>
  </si>
  <si>
    <t xml:space="preserve"> Desoak Chamber Side Safety Door Lock #2  recognition failed.</t>
  </si>
  <si>
    <t xml:space="preserve"> Add the T-tray to Desaok 1-2</t>
  </si>
  <si>
    <t xml:space="preserve"> Tray Added Complete . (Max : 10 tray). </t>
  </si>
  <si>
    <t xml:space="preserve"> Remove the T-tray to Desaok 1-2</t>
  </si>
  <si>
    <t xml:space="preserve"> Tray Removed Complete .</t>
  </si>
  <si>
    <t xml:space="preserve"> Desoak 2-2. </t>
  </si>
  <si>
    <t xml:space="preserve">MOTOR </t>
  </si>
  <si>
    <t xml:space="preserve"> TRANSFER 1X SW ERROR : Maximum movement has been exceeded. </t>
  </si>
  <si>
    <t xml:space="preserve"> TRANSFER 2X SW ERROR : Maximum movement has been exceeded. </t>
  </si>
  <si>
    <t xml:space="preserve"> TRANSFER 1Z SW ERROR : Maximum movement has been exceeded. </t>
  </si>
  <si>
    <t xml:space="preserve"> TRANSFER 2Z SW ERROR : Maximum movement has been exceeded. </t>
  </si>
  <si>
    <t xml:space="preserve"> LOAD X SW ERROR : Maximum movement has been exceeded. </t>
  </si>
  <si>
    <t xml:space="preserve"> LOAD Y SW ERROR : Maximum movement has been exceeded. </t>
  </si>
  <si>
    <t xml:space="preserve"> UNLOAD X SW ERROR : Maximum movement has been exceeded. </t>
  </si>
  <si>
    <t xml:space="preserve"> UNLOAD Y SW ERROR : Maximum movement has been exceeded. </t>
  </si>
  <si>
    <t xml:space="preserve"> LOAD Z SW ERROR : Maximum movement has been exceeded. </t>
  </si>
  <si>
    <t xml:space="preserve"> UNLOAD Z SW ERROR : Maximum movement has been exceeded. </t>
  </si>
  <si>
    <t xml:space="preserve"> BUFFER SW ERROR : Maximum movement has been exceeded. </t>
  </si>
  <si>
    <t xml:space="preserve"> SOAK 1 BOTTOM FEED SW ERROR : Maximum movement has been exceeded. </t>
  </si>
  <si>
    <t xml:space="preserve"> SOAK 2 BOTTOM FEED SW ERROR : Maximum movement has been exceeded. </t>
  </si>
  <si>
    <t xml:space="preserve"> SOAK TOP FEED SW ERROR : Maximum movement has been exceeded. </t>
  </si>
  <si>
    <t xml:space="preserve"> DESOAK 1 BOTTOM_FEED SW ERROR : Maximum movement has been exceeded. </t>
  </si>
  <si>
    <t xml:space="preserve"> DESOAK 2 BOTTOM_FEED SW ERROR : Maximum movement has been exceeded. </t>
  </si>
  <si>
    <t xml:space="preserve"> DESOAK TOP FEED SW ERROR : Maximum movement has been exceeded. </t>
  </si>
  <si>
    <t xml:space="preserve"> TEST PRESS 1 SW ERROR : Maximum movement has been exceeded. </t>
  </si>
  <si>
    <t xml:space="preserve"> TEST PRESS 2 SW ERROR : Maximum movement has been exceeded. </t>
  </si>
  <si>
    <t xml:space="preserve"> MP X SW ERROR : Maximum movement has been exceeded. </t>
  </si>
  <si>
    <t xml:space="preserve"> MP ROTATION LEFT R SW ERROR : Maximum movement has been exceeded. </t>
  </si>
  <si>
    <t xml:space="preserve"> MP ROTATION RIGHT R SW ERROR : Maximum movement has been exceeded. </t>
  </si>
  <si>
    <t xml:space="preserve"> MP Z SW ERROR : Maximum movement has been exceeded. </t>
  </si>
  <si>
    <t xml:space="preserve"> TRANSFER 1X Motor power is not supplied. </t>
  </si>
  <si>
    <t xml:space="preserve"> TRANSFER 2X Motor power is not supplied. </t>
  </si>
  <si>
    <t xml:space="preserve"> TRANSFER 1Z Motor power is not supplied. </t>
  </si>
  <si>
    <t xml:space="preserve"> TRANSFER 2Z Motor power is not supplied. </t>
  </si>
  <si>
    <t xml:space="preserve"> LOAD X Motor power is not supplied. </t>
  </si>
  <si>
    <t xml:space="preserve"> LOAD Y Motor power is not supplied. </t>
  </si>
  <si>
    <t xml:space="preserve"> UNLOAD X Motor power is not supplied. </t>
  </si>
  <si>
    <t xml:space="preserve"> UNLOAD Y Motor power is not supplied. </t>
  </si>
  <si>
    <t xml:space="preserve"> LOAD Z Motor power is not supplied. </t>
  </si>
  <si>
    <t xml:space="preserve"> UNLOAD Z Motor power is not supplied. </t>
  </si>
  <si>
    <t xml:space="preserve"> BUFFER Motor power is not supplied. </t>
  </si>
  <si>
    <t xml:space="preserve"> SOAK 1 BOTTOM FEED Motor power is not supplied. </t>
  </si>
  <si>
    <t xml:space="preserve"> SOAK 2 BOTTOM FEED Motor power is not supplied. </t>
  </si>
  <si>
    <t xml:space="preserve"> SOAK TOP FEED Motor power is not supplied. </t>
  </si>
  <si>
    <t xml:space="preserve"> DESOAK 1 BOTTOM_FEED Motor power is not supplied. </t>
  </si>
  <si>
    <t xml:space="preserve"> DESOAK 2 BOTTOM_FEED Motor power is not supplied. </t>
  </si>
  <si>
    <t xml:space="preserve"> DESOAK TOP FEED Motor power is not supplied. </t>
  </si>
  <si>
    <t xml:space="preserve"> TEST PRESS 1 Motor power is not supplied. </t>
  </si>
  <si>
    <t xml:space="preserve"> TEST PRESS 2 Motor power is not supplied. </t>
  </si>
  <si>
    <t xml:space="preserve"> MP X Motor power is not supplied. </t>
  </si>
  <si>
    <t xml:space="preserve"> MP ROTATION LEFT R Motor power is not supplied. </t>
  </si>
  <si>
    <t xml:space="preserve"> MP ROTATION RIGHT R Motor power is not supplied. </t>
  </si>
  <si>
    <t xml:space="preserve"> MP Z Motor power is not supplied. </t>
  </si>
  <si>
    <t xml:space="preserve"> TRANSFER 1X Motor alarm has occurred. </t>
  </si>
  <si>
    <t xml:space="preserve"> TRANSFER 2X Motor alarm has occurred. </t>
  </si>
  <si>
    <t xml:space="preserve"> TRANSFER 1Z Motor alarm has occurred. </t>
  </si>
  <si>
    <t xml:space="preserve"> TRANSFER 2Z Motor alarm has occurred. </t>
  </si>
  <si>
    <t xml:space="preserve"> LOAD X Motor alarm has occurred. </t>
  </si>
  <si>
    <t xml:space="preserve"> LOAD Y Motor alarm has occurred. </t>
  </si>
  <si>
    <t xml:space="preserve"> UNLOAD X Motor alarm has occurred. </t>
  </si>
  <si>
    <t xml:space="preserve"> UNLOAD Y Motor alarm has occurred. </t>
  </si>
  <si>
    <t xml:space="preserve"> LOAD Z Motor alarm has occurred. </t>
  </si>
  <si>
    <t xml:space="preserve"> UNLOAD Z Motor alarm has occurred. </t>
  </si>
  <si>
    <t xml:space="preserve"> BUFFER Motor alarm has occurred. </t>
  </si>
  <si>
    <t xml:space="preserve"> SOAK 1 BOTTOM FEED Motor alarm has occurred. </t>
  </si>
  <si>
    <t xml:space="preserve"> SOAK 2 BOTTOM FEED Motor alarm has occurred. </t>
  </si>
  <si>
    <t xml:space="preserve"> SOAK TOP FEED Motor alarm has occurred. </t>
  </si>
  <si>
    <t xml:space="preserve"> DESOAK 1 BOTTOM_FEED Motor alarm has occurred. </t>
  </si>
  <si>
    <t xml:space="preserve"> DESOAK 2 BOTTOM_FEED Motor alarm has occurred. </t>
  </si>
  <si>
    <t xml:space="preserve"> DESOAK TOP FEED Motor alarm has occurred. </t>
  </si>
  <si>
    <t xml:space="preserve"> TEST PRESS 1 Motor alarm has occurred. </t>
  </si>
  <si>
    <t xml:space="preserve"> TEST PRESS 2 Motor alarm has occurred. </t>
  </si>
  <si>
    <t xml:space="preserve"> MP X Motor alarm has occurred. </t>
  </si>
  <si>
    <t xml:space="preserve"> MP ROTATION LEFT R Motor alarm has occurred. </t>
  </si>
  <si>
    <t xml:space="preserve"> MP ROTATION RIGHT R Motor alarm has occurred. </t>
  </si>
  <si>
    <t xml:space="preserve"> MP Z Motor alarm has occurred. </t>
  </si>
  <si>
    <t xml:space="preserve"> TRANSFER 1X Origin check is failed. </t>
  </si>
  <si>
    <t xml:space="preserve"> TRANSFER 2X Origin check is failed. </t>
  </si>
  <si>
    <t xml:space="preserve"> TRANSFER 1Z Origin check is failed. </t>
  </si>
  <si>
    <t xml:space="preserve"> TRANSFER 2Z Origin check is failed. </t>
  </si>
  <si>
    <t xml:space="preserve"> LOAD X Origin check is failed. </t>
  </si>
  <si>
    <t xml:space="preserve"> LOAD Y Origin check is failed. </t>
  </si>
  <si>
    <t xml:space="preserve"> UNLOAD X Origin check is failed. </t>
  </si>
  <si>
    <t xml:space="preserve"> UNLOAD Y Origin check is failed. </t>
  </si>
  <si>
    <t xml:space="preserve"> LOAD Z Origin check is failed. </t>
  </si>
  <si>
    <t xml:space="preserve"> UNLOAD Z Origin check is failed. </t>
  </si>
  <si>
    <t xml:space="preserve"> BUFFER Origin check is failed. </t>
  </si>
  <si>
    <t xml:space="preserve"> SOAK 1 BOTTOM FEED Origin check is failed. </t>
  </si>
  <si>
    <t xml:space="preserve"> SOAK 2 BOTTOM FEED Origin check is failed. </t>
  </si>
  <si>
    <t xml:space="preserve"> SOAK TOP FEED Origin check is failed. </t>
  </si>
  <si>
    <t xml:space="preserve"> DESOAK 1 BOTTOM_FEED Origin check is failed. </t>
  </si>
  <si>
    <t xml:space="preserve"> DESOAK 2 BOTTOM_FEED Origin check is failed. </t>
  </si>
  <si>
    <t xml:space="preserve"> DESOAK TOP FEED Origin check is failed. </t>
  </si>
  <si>
    <t xml:space="preserve"> TEST PRESS 1 Origin check is failed. </t>
  </si>
  <si>
    <t xml:space="preserve"> TEST PRESS 2 Origin check is failed. </t>
  </si>
  <si>
    <t xml:space="preserve"> MP X Origin check is failed. </t>
  </si>
  <si>
    <t xml:space="preserve"> MP ROTATION LEFT R Origin check is failed. </t>
  </si>
  <si>
    <t xml:space="preserve"> MP ROTATION RIGHT R Origin check is failed. </t>
  </si>
  <si>
    <t xml:space="preserve"> MP Z Origin check is failed. </t>
  </si>
  <si>
    <t xml:space="preserve"> TRANSFER 1X The minus limit sensor has been detected. </t>
  </si>
  <si>
    <t xml:space="preserve"> TRANSFER 2X The minus limit sensor has been detected. </t>
  </si>
  <si>
    <t xml:space="preserve"> TRANSFER 1Z The minus limit sensor has been detected. </t>
  </si>
  <si>
    <t xml:space="preserve"> TRANSFER 2Z The minus limit sensor has been detected. </t>
  </si>
  <si>
    <t xml:space="preserve"> LOAD X The minus limit sensor has been detected. </t>
  </si>
  <si>
    <t xml:space="preserve"> LOAD Y The minus limit sensor has been detected. </t>
  </si>
  <si>
    <t xml:space="preserve"> UNLOAD X The minus limit sensor has been detected. </t>
  </si>
  <si>
    <t xml:space="preserve"> UNLOAD Y The minus limit sensor has been detected. </t>
  </si>
  <si>
    <t xml:space="preserve"> LOAD Z The minus limit sensor has been detected. </t>
  </si>
  <si>
    <t xml:space="preserve"> UNLOAD Z The minus limit sensor has been detected. </t>
  </si>
  <si>
    <t xml:space="preserve"> BUFFER The minus limit sensor has been detected. </t>
  </si>
  <si>
    <t xml:space="preserve"> SOAK 1 BOTTOM FEED The minus limit sensor has been detected. </t>
  </si>
  <si>
    <t xml:space="preserve"> SOAK 2 BOTTOM FEED The minus limit sensor has been detected. </t>
  </si>
  <si>
    <t xml:space="preserve"> SOAK TOP FEED The minus limit sensor has been detected. </t>
  </si>
  <si>
    <t xml:space="preserve"> DESOAK 1 BOTTOM_FEED The minus limit sensor has been detected. </t>
  </si>
  <si>
    <t xml:space="preserve"> DESOAK 2 BOTTOM_FEED The minus limit sensor has been detected. </t>
  </si>
  <si>
    <t xml:space="preserve"> DESOAK TOP FEED The minus limit sensor has been detected. </t>
  </si>
  <si>
    <t xml:space="preserve"> TEST PRESS 1 The minus limit sensor has been detected. </t>
  </si>
  <si>
    <t xml:space="preserve"> TEST PRESS 2 The minus limit sensor has been detected. </t>
  </si>
  <si>
    <t xml:space="preserve"> MP X The minus limit sensor has been detected. </t>
  </si>
  <si>
    <t xml:space="preserve"> MP ROTATION LEFT R The minus limit sensor has been detected. </t>
  </si>
  <si>
    <t xml:space="preserve"> MP ROTATION RIGHT R The minus limit sensor has been detected. </t>
  </si>
  <si>
    <t xml:space="preserve"> MP Z The minus limit sensor has been detected. </t>
  </si>
  <si>
    <t xml:space="preserve"> TRANSFER 1X The plus limit sensor has been detected. </t>
  </si>
  <si>
    <t xml:space="preserve"> TRANSFER 2X The plus limit sensor has been detected. </t>
  </si>
  <si>
    <t xml:space="preserve"> TRANSFER 1Z The plus limit sensor has been detected. </t>
  </si>
  <si>
    <t xml:space="preserve"> TRANSFER 2Z The plus limit sensor has been detected. </t>
  </si>
  <si>
    <t xml:space="preserve"> LOAD X The plus limit sensor has been detected. </t>
  </si>
  <si>
    <t xml:space="preserve"> LOAD Y The plus limit sensor has been detected. </t>
  </si>
  <si>
    <t xml:space="preserve"> UNLOAD X The plus limit sensor has been detected. </t>
  </si>
  <si>
    <t xml:space="preserve"> UNLOAD Y The plus limit sensor has been detected. </t>
  </si>
  <si>
    <t xml:space="preserve"> LOAD Z The plus limit sensor has been detected. </t>
  </si>
  <si>
    <t xml:space="preserve"> UNLOAD Z The plus limit sensor has been detected. </t>
  </si>
  <si>
    <t xml:space="preserve"> BUFFER The plus limit sensor has been detected. </t>
  </si>
  <si>
    <t xml:space="preserve"> SOAK 1 BOTTOM FEED The plus limit sensor has been detected. </t>
  </si>
  <si>
    <t xml:space="preserve"> SOAK 2 BOTTOM FEED The plus limit sensor has been detected. </t>
  </si>
  <si>
    <t xml:space="preserve"> SOAK TOP FEED The plus limit sensor has been detected. </t>
  </si>
  <si>
    <t xml:space="preserve"> DESOAK 1 BOTTOM_FEED The plus limit sensor has been detected. </t>
  </si>
  <si>
    <t xml:space="preserve"> DESOAK 2 BOTTOM_FEED The plus limit sensor has been detected. </t>
  </si>
  <si>
    <t xml:space="preserve"> DESOAK TOP FEED The plus limit sensor has been detected. </t>
  </si>
  <si>
    <t xml:space="preserve"> TEST PRESS 1 The plus limit sensor has been detected. </t>
  </si>
  <si>
    <t xml:space="preserve"> TEST PRESS 2 The plus limit sensor has been detected. </t>
  </si>
  <si>
    <t xml:space="preserve"> MP X The plus limit sensor has been detected. </t>
  </si>
  <si>
    <t xml:space="preserve"> MP ROTATION LEFT R The plus limit sensor has been detected. </t>
  </si>
  <si>
    <t xml:space="preserve"> MP ROTATION RIGHT R The plus limit sensor has been detected. </t>
  </si>
  <si>
    <t xml:space="preserve"> MP Z The plus limit sensor has been detected. </t>
  </si>
  <si>
    <t xml:space="preserve"> TRANSFER 1X Absolute encoder is not set. </t>
  </si>
  <si>
    <t xml:space="preserve"> TRANSFER 2X Absolute encoder is not set. </t>
  </si>
  <si>
    <t xml:space="preserve"> TRANSFER 1Z Absolute encoder is not set. </t>
  </si>
  <si>
    <t xml:space="preserve"> TRANSFER 2Z Absolute encoder is not set. </t>
  </si>
  <si>
    <t xml:space="preserve"> LOAD X Absolute encoder is not set. </t>
  </si>
  <si>
    <t xml:space="preserve"> LOAD Y Absolute encoder is not set. </t>
  </si>
  <si>
    <t xml:space="preserve"> UNLOAD X Absolute encoder is not set. </t>
  </si>
  <si>
    <t xml:space="preserve"> UNLOAD Y Absolute encoder is not set. </t>
  </si>
  <si>
    <t xml:space="preserve"> LOAD Z Absolute encoder is not set. </t>
  </si>
  <si>
    <t xml:space="preserve"> UNLOAD Z Absolute encoder is not set. </t>
  </si>
  <si>
    <t xml:space="preserve"> BUFFER Absolute encoder is not set. </t>
  </si>
  <si>
    <t xml:space="preserve"> SOAK 1 BOTTOM FEED Absolute encoder is not set. </t>
  </si>
  <si>
    <t xml:space="preserve"> SOAK 2 BOTTOM FEED Absolute encoder is not set. </t>
  </si>
  <si>
    <t xml:space="preserve"> SOAK TOP FEED Absolute encoder is not set. </t>
  </si>
  <si>
    <t xml:space="preserve"> DESOAK 1 BOTTOM_FEED Absolute encoder is not set. </t>
  </si>
  <si>
    <t xml:space="preserve"> DESOAK 2 BOTTOM_FEED Absolute encoder is not set. </t>
  </si>
  <si>
    <t xml:space="preserve"> DESOAK TOP FEED Absolute encoder is not set. </t>
  </si>
  <si>
    <t xml:space="preserve"> TEST PRESS 1 Absolute encoder is not set. </t>
  </si>
  <si>
    <t xml:space="preserve"> TEST PRESS 2 Absolute encoder is not set. </t>
  </si>
  <si>
    <t xml:space="preserve"> MP X Absolute encoder is not set. </t>
  </si>
  <si>
    <t xml:space="preserve"> MP ROTATION LEFT R Absolute encoder is not set. </t>
  </si>
  <si>
    <t xml:space="preserve"> MP ROTATION RIGHT R Absolute encoder is not set. </t>
  </si>
  <si>
    <t xml:space="preserve"> MP Z Absolute encoder is not set. </t>
  </si>
  <si>
    <t xml:space="preserve"> TRANSFER 1X Last Posion is not. </t>
  </si>
  <si>
    <t xml:space="preserve"> TRANSFER 2X Last Posion is not. </t>
  </si>
  <si>
    <t xml:space="preserve"> TRANSFER 1Z Last Posion is not. </t>
  </si>
  <si>
    <t xml:space="preserve"> TRANSFER 2Z Last Posion is not. </t>
  </si>
  <si>
    <t xml:space="preserve"> LOAD X Last Posion is not. </t>
  </si>
  <si>
    <t xml:space="preserve"> LOAD Y Last Posion is not. </t>
  </si>
  <si>
    <t xml:space="preserve"> UNLOAD X Last Posion is not. </t>
  </si>
  <si>
    <t xml:space="preserve"> UNLOAD Y Last Posion is not. </t>
  </si>
  <si>
    <t xml:space="preserve"> LOAD Z Last Posion is not. </t>
  </si>
  <si>
    <t xml:space="preserve"> UNLOAD Z Last Posion is not. </t>
  </si>
  <si>
    <t xml:space="preserve"> BUFFER Last Posion is not. </t>
  </si>
  <si>
    <t xml:space="preserve"> SOAK 1 BOTTOM FEED Last Posion is not. </t>
  </si>
  <si>
    <t xml:space="preserve"> SOAK 2 BOTTOM FEED Last Posion is not. </t>
  </si>
  <si>
    <t xml:space="preserve"> SOAK TOP FEED Last Posion is not. </t>
  </si>
  <si>
    <t xml:space="preserve"> DESOAK 1 BOTTOM_FEED Last Posion is not. </t>
  </si>
  <si>
    <t xml:space="preserve"> DESOAK 2 BOTTOM_FEED Last Posion is not. </t>
  </si>
  <si>
    <t xml:space="preserve"> DESOAK TOP FEED Last Posion is not. </t>
  </si>
  <si>
    <t xml:space="preserve"> TEST PRESS 1 Last Posion is not. </t>
  </si>
  <si>
    <t xml:space="preserve"> TEST PRESS 2 Last Posion is not. </t>
  </si>
  <si>
    <t xml:space="preserve"> MP X Last Posion is not. </t>
  </si>
  <si>
    <t xml:space="preserve"> MP ROTATION LEFT R Last Posion is not. </t>
  </si>
  <si>
    <t xml:space="preserve"> MP ROTATION RIGHT R Last Posion is not. </t>
  </si>
  <si>
    <t xml:space="preserve"> MP Z Last Posion is not. </t>
  </si>
  <si>
    <t xml:space="preserve">ETC </t>
  </si>
  <si>
    <t xml:space="preserve"> Main MC On Check #1  Sensor detected.</t>
  </si>
  <si>
    <t xml:space="preserve"> Main MC On Check #2  Sensor detected.</t>
  </si>
  <si>
    <t xml:space="preserve"> Handler Air Check  Sensor detected.</t>
  </si>
  <si>
    <t xml:space="preserve"> Chamber Air Check  Sensor detected.</t>
  </si>
  <si>
    <t xml:space="preserve"> Chamber Door Open Switch  Sensor detected.</t>
  </si>
  <si>
    <t xml:space="preserve"> Emergency Switch MP Switch Panel  Sensor detected.</t>
  </si>
  <si>
    <t xml:space="preserve"> Emergency Switch Rear Switch Panel  Sensor detected.</t>
  </si>
  <si>
    <t xml:space="preserve"> Emergency Switch Control Box  Sensor detected.</t>
  </si>
  <si>
    <t xml:space="preserve"> Front Left Emergency Switch  Sensor detected.</t>
  </si>
  <si>
    <t xml:space="preserve"> Front Right Emergency Switch  Sensor detected.</t>
  </si>
  <si>
    <t xml:space="preserve"> Safety Door Lock Maintenance Mode Key Switch  Sensor detected.</t>
  </si>
  <si>
    <t xml:space="preserve"> Front Start Switch  Sensor detected.</t>
  </si>
  <si>
    <t xml:space="preserve"> Front Stop Switch  Sensor detected.</t>
  </si>
  <si>
    <t xml:space="preserve"> Front Lamp Switch  Sensor detected.</t>
  </si>
  <si>
    <t xml:space="preserve"> Front Temp Switch  Sensor detected.</t>
  </si>
  <si>
    <t xml:space="preserve"> Front Reset Switch  Sensor detected.</t>
  </si>
  <si>
    <t xml:space="preserve"> Front Door Switch  Sensor detected.</t>
  </si>
  <si>
    <t xml:space="preserve"> Safety Door Lock #1 Sensor  Sensor detected.</t>
  </si>
  <si>
    <t xml:space="preserve"> Safety Door Lock #2 Sensor  Sensor detected.</t>
  </si>
  <si>
    <t xml:space="preserve"> Safety Door Lock #3 Sensor  Sensor detected.</t>
  </si>
  <si>
    <t xml:space="preserve"> Safety Door Lock #4 Sensor  Sensor detected.</t>
  </si>
  <si>
    <t xml:space="preserve"> Safety Door Lock #5 Sensor  Sensor detected.</t>
  </si>
  <si>
    <t xml:space="preserve"> Safety Door Lock #6 Sensor  Sensor detected.</t>
  </si>
  <si>
    <t xml:space="preserve"> Stacker #1 Open/Close Switch  Sensor detected.</t>
  </si>
  <si>
    <t xml:space="preserve"> Stacker #2 Open/Close Switch  Sensor detected.</t>
  </si>
  <si>
    <t xml:space="preserve"> Stacker #3 Open/Close Switch  Sensor detected.</t>
  </si>
  <si>
    <t xml:space="preserve"> Stacker #4 Open/Close Switch  Sensor detected.</t>
  </si>
  <si>
    <t xml:space="preserve"> Stacker #5 Open/Close Switch  Sensor detected.</t>
  </si>
  <si>
    <t xml:space="preserve"> Stacker #6 Open/Close Switch  Sensor detected.</t>
  </si>
  <si>
    <t xml:space="preserve"> Desoak #1 Tray Lower 1 Step Check  Sensor detected.</t>
  </si>
  <si>
    <t xml:space="preserve"> Desoak #2 Tray Lower 1 Step Check  Sensor detected.</t>
  </si>
  <si>
    <t xml:space="preserve"> Ionizer Alarm #1  Sensor detected.</t>
  </si>
  <si>
    <t xml:space="preserve"> Ionizer Alarm #2  Sensor detected.</t>
  </si>
  <si>
    <t xml:space="preserve"> Front Arear Check  Sensor detected.</t>
  </si>
  <si>
    <t xml:space="preserve"> MP Start Switch  Sensor detected.</t>
  </si>
  <si>
    <t xml:space="preserve"> MP Reset Switch  Sensor detected.</t>
  </si>
  <si>
    <t xml:space="preserve"> MP Z-AXIS Up Switch  Sensor detected.</t>
  </si>
  <si>
    <t xml:space="preserve"> MP Z-AXIS Down Switch  Sensor detected.</t>
  </si>
  <si>
    <t xml:space="preserve"> MP X-AXIS Inside Moving Switch  Sensor detected.</t>
  </si>
  <si>
    <t xml:space="preserve"> MP X-AXIS Outside Moving Switch  Sensor detected.</t>
  </si>
  <si>
    <t xml:space="preserve"> MP Rotate + Switch  Sensor detected.</t>
  </si>
  <si>
    <t xml:space="preserve"> MP Rotate - Switch  Sensor detected.</t>
  </si>
  <si>
    <t xml:space="preserve"> Rear Start Switch  Sensor detected.</t>
  </si>
  <si>
    <t xml:space="preserve"> Rear Stop Switch  Sensor detected.</t>
  </si>
  <si>
    <t xml:space="preserve"> Rear Chamber Halogen Lamp Switch  Sensor detected.</t>
  </si>
  <si>
    <t xml:space="preserve"> Rear Temp Switch  Sensor detected.</t>
  </si>
  <si>
    <t xml:space="preserve"> Rear Reset Switch  Sensor detected.</t>
  </si>
  <si>
    <t xml:space="preserve"> Rear Test Site #1 Docking Switch  Sensor detected.</t>
  </si>
  <si>
    <t xml:space="preserve"> Rear Test Site #2 Docking Switch  Sensor detected.</t>
  </si>
  <si>
    <t xml:space="preserve"> Mp Safety Status Check   Sensor detected.</t>
  </si>
  <si>
    <t xml:space="preserve"> Main MC On Check #1  recognition failed.</t>
  </si>
  <si>
    <t xml:space="preserve"> Main MC On Check #2  recognition failed.</t>
  </si>
  <si>
    <t xml:space="preserve"> Handler Air Check  recognition failed.</t>
  </si>
  <si>
    <t xml:space="preserve"> Chamber Air Check  recognition failed.</t>
  </si>
  <si>
    <t xml:space="preserve"> Chamber Door Open Switch  recognition failed.</t>
  </si>
  <si>
    <t xml:space="preserve"> Emergency Switch MP Switch Panel  recognition failed.</t>
  </si>
  <si>
    <t xml:space="preserve"> Emergency Switch Rear Switch Panel  recognition failed.</t>
  </si>
  <si>
    <t xml:space="preserve"> Emergency Switch Control Box  recognition failed.</t>
  </si>
  <si>
    <t xml:space="preserve"> Front Left Emergency Switch  recognition failed.</t>
  </si>
  <si>
    <t xml:space="preserve"> Front Right Emergency Switch  recognition failed.</t>
  </si>
  <si>
    <t xml:space="preserve"> Safety Door Lock Maintenance Mode Key Switch  recognition failed.</t>
  </si>
  <si>
    <t xml:space="preserve"> Front Start Switch  recognition failed.</t>
  </si>
  <si>
    <t xml:space="preserve"> Front Stop Switch  recognition failed.</t>
  </si>
  <si>
    <t xml:space="preserve"> Front Lamp Switch  recognition failed.</t>
  </si>
  <si>
    <t xml:space="preserve"> Front Temp Switch  recognition failed.</t>
  </si>
  <si>
    <t xml:space="preserve"> Front Reset Switch  recognition failed.</t>
  </si>
  <si>
    <t xml:space="preserve"> Front Door Switch  recognition failed.</t>
  </si>
  <si>
    <t xml:space="preserve"> Safety Door Lock #1 Sensor  recognition failed.</t>
  </si>
  <si>
    <t xml:space="preserve"> Safety Door Lock #2 Sensor  recognition failed.</t>
  </si>
  <si>
    <t xml:space="preserve"> Safety Door Lock #3 Sensor  recognition failed.</t>
  </si>
  <si>
    <t xml:space="preserve"> Safety Door Lock #4 Sensor  recognition failed.</t>
  </si>
  <si>
    <t xml:space="preserve"> Safety Door Lock #5 Sensor  recognition failed.</t>
  </si>
  <si>
    <t xml:space="preserve"> Safety Door Lock #6 Sensor  recognition failed.</t>
  </si>
  <si>
    <t xml:space="preserve"> Stacker #1 Open/Close Switch  recognition failed.</t>
  </si>
  <si>
    <t xml:space="preserve"> Stacker #2 Open/Close Switch  recognition failed.</t>
  </si>
  <si>
    <t xml:space="preserve"> Stacker #3 Open/Close Switch  recognition failed.</t>
  </si>
  <si>
    <t xml:space="preserve"> Stacker #4 Open/Close Switch  recognition failed.</t>
  </si>
  <si>
    <t xml:space="preserve"> Stacker #5 Open/Close Switch  recognition failed.</t>
  </si>
  <si>
    <t xml:space="preserve"> Stacker #6 Open/Close Switch  recognition failed.</t>
  </si>
  <si>
    <t xml:space="preserve"> Desoak #1 Tray Lower 1 Step Check  recognition failed.</t>
  </si>
  <si>
    <t xml:space="preserve"> Desoak #2 Tray Lower 1 Step Check  recognition failed.</t>
  </si>
  <si>
    <t xml:space="preserve"> Ionizer Alarm #1  recognition failed.</t>
  </si>
  <si>
    <t xml:space="preserve"> Ionizer Alarm #2  recognition failed.</t>
  </si>
  <si>
    <t xml:space="preserve"> Front Arear Check  recognition failed.</t>
  </si>
  <si>
    <t xml:space="preserve"> MP Start Switch  recognition failed.</t>
  </si>
  <si>
    <t xml:space="preserve"> MP Reset Switch  recognition failed.</t>
  </si>
  <si>
    <t xml:space="preserve"> MP Z-AXIS Up Switch  recognition failed.</t>
  </si>
  <si>
    <t xml:space="preserve"> MP Z-AXIS Down Switch  recognition failed.</t>
  </si>
  <si>
    <t xml:space="preserve"> MP X-AXIS Inside Moving Switch  recognition failed.</t>
  </si>
  <si>
    <t xml:space="preserve"> MP X-AXIS Outside Moving Switch  recognition failed.</t>
  </si>
  <si>
    <t xml:space="preserve"> MP Rotate + Switch  recognition failed.</t>
  </si>
  <si>
    <t xml:space="preserve"> MP Rotate - Switch  recognition failed.</t>
  </si>
  <si>
    <t xml:space="preserve"> Rear Start Switch  recognition failed.</t>
  </si>
  <si>
    <t xml:space="preserve"> Rear Stop Switch  recognition failed.</t>
  </si>
  <si>
    <t xml:space="preserve"> Rear Chamber Halogen Lamp Switch  recognition failed.</t>
  </si>
  <si>
    <t xml:space="preserve"> Rear Temp Switch  recognition failed.</t>
  </si>
  <si>
    <t xml:space="preserve"> Rear Reset Switch  recognition failed.</t>
  </si>
  <si>
    <t xml:space="preserve"> Rear Test Site #1 Docking Switch  recognition failed.</t>
  </si>
  <si>
    <t xml:space="preserve"> Rear Test Site #2 Docking Switch  recognition failed.</t>
  </si>
  <si>
    <t xml:space="preserve"> Mp Safety Status Check   recognition failed.</t>
  </si>
  <si>
    <t xml:space="preserve"> E-STOP FRONT LEFT button pressed.</t>
  </si>
  <si>
    <t xml:space="preserve"> E-STOP FRONT RIGHT button pressed.</t>
  </si>
  <si>
    <t xml:space="preserve"> E-STOP MP Panel button pressed.</t>
  </si>
  <si>
    <t xml:space="preserve"> E-STOP REAR Panel button pressed.</t>
  </si>
  <si>
    <t xml:space="preserve"> Tray out reservation.</t>
  </si>
  <si>
    <t xml:space="preserve"> E-STOP Control Box button pressed.</t>
  </si>
  <si>
    <t xml:space="preserve"> All work has ended.</t>
  </si>
  <si>
    <t xml:space="preserve"> All work has ended.( Clean Out Mode ) </t>
  </si>
  <si>
    <t xml:space="preserve"> All work has ended.( Retest Force End )</t>
  </si>
  <si>
    <t xml:space="preserve"> Main Power is not supplied. </t>
  </si>
  <si>
    <t xml:space="preserve"> Main air is not being supplied normally. </t>
  </si>
  <si>
    <t xml:space="preserve"> Door Lock #1 Sensor not detected.</t>
  </si>
  <si>
    <t xml:space="preserve"> Door Lock #2 Sensor not detected.</t>
  </si>
  <si>
    <t xml:space="preserve"> Door Lock #3 Sensor not detected.</t>
  </si>
  <si>
    <t xml:space="preserve"> Door Lock #4 Sensor not detected.</t>
  </si>
  <si>
    <t xml:space="preserve"> Door Lock #5 Sensor not detected.</t>
  </si>
  <si>
    <t xml:space="preserve"> Door Lock #6 Sensor not detected.</t>
  </si>
  <si>
    <t xml:space="preserve"> Soak Chamber #1 Door Lock Sensor not detected.</t>
  </si>
  <si>
    <t xml:space="preserve"> Soak Chamber #2 Door Lock #1 Sensor not detected.</t>
  </si>
  <si>
    <t xml:space="preserve"> Soak Chamber #2 Door Lock #2 Sensor not detected.</t>
  </si>
  <si>
    <t xml:space="preserve"> Test Chamber Door Lock Sensor not detected.</t>
  </si>
  <si>
    <t xml:space="preserve"> Desoak Chamber #2 Door Lock #2 Sensor not detected.</t>
  </si>
  <si>
    <t xml:space="preserve"> Desoak Chamber #2 Door Lock #1 Sensor not detected.</t>
  </si>
  <si>
    <t xml:space="preserve"> Desoak Chamber #1 Door Lock Sensor not detected.</t>
  </si>
  <si>
    <t xml:space="preserve"> Front Area Sensor detected.</t>
  </si>
  <si>
    <t xml:space="preserve"> The module barcode result data was not received .</t>
  </si>
  <si>
    <t xml:space="preserve"> The module barcode recipe is not load .</t>
  </si>
  <si>
    <t xml:space="preserve"> Host was not connected. [SECSGEM]</t>
  </si>
  <si>
    <t xml:space="preserve"> LoadPort1 cancel. [SECSGEM]</t>
  </si>
  <si>
    <t xml:space="preserve"> LoadPort2 cancel. [SECSGEM]</t>
  </si>
  <si>
    <t xml:space="preserve"> LoadPort3 cancel. [SECSGEM]</t>
  </si>
  <si>
    <t xml:space="preserve"> LoadPort4 cancel. [SECSGEM]</t>
  </si>
  <si>
    <t xml:space="preserve"> LoadPort5 cancel. [SECSGEM]</t>
  </si>
  <si>
    <t xml:space="preserve"> LoadPort6 cancel. [SECSGEM]</t>
  </si>
  <si>
    <t xml:space="preserve"> the LoadPort1 Access Mode is auto mode. [SECSGEM]</t>
  </si>
  <si>
    <t xml:space="preserve"> the LoadPort2 Access Mode is auto mode. [SECSGEM]</t>
  </si>
  <si>
    <t xml:space="preserve"> the LoadPort3 Access Mode is auto mode. [SECSGEM]</t>
  </si>
  <si>
    <t xml:space="preserve"> the LoadPort4 Access Mode is auto mode. [SECSGEM]</t>
  </si>
  <si>
    <t xml:space="preserve"> the LoadPort5 Access Mode is auto mode. [SECSGEM]</t>
  </si>
  <si>
    <t xml:space="preserve"> the LoadPort6 Access Mode is auto mode. [SECSGEM]</t>
  </si>
  <si>
    <t xml:space="preserve"> RPA Module Type is invalid. [SECSGEM]</t>
  </si>
  <si>
    <t xml:space="preserve"> T-Tray Module TYPE does not match the setting.</t>
  </si>
  <si>
    <t xml:space="preserve"> We didn`t get substrate map data from the host.</t>
  </si>
  <si>
    <t xml:space="preserve"> Substrate ID validation on HOST takes a long time</t>
  </si>
  <si>
    <t xml:space="preserve"> Carrier ID validation on HOST takes a long time</t>
  </si>
  <si>
    <t xml:space="preserve"> We didn`t get Slot map from the host.</t>
  </si>
  <si>
    <t xml:space="preserve"> Module ID validation on HOST takes a long time</t>
  </si>
  <si>
    <t xml:space="preserve"> It takes a long time to get the Start Retest command from the Host.</t>
  </si>
  <si>
    <t xml:space="preserve"> BINDMID LIST quantity received from Host is 0.</t>
  </si>
  <si>
    <t xml:space="preserve"> Front ionizer alarm</t>
  </si>
  <si>
    <t xml:space="preserve"> Rear ionizer alarm</t>
  </si>
  <si>
    <t xml:space="preserve">TEMP </t>
  </si>
  <si>
    <t xml:space="preserve"> Soak#1 TCU Fan Alarm  Sensor detected.</t>
  </si>
  <si>
    <t xml:space="preserve"> Soak#2 Soak TCU Fan Alarm  Sensor detected.</t>
  </si>
  <si>
    <t xml:space="preserve"> Test Site#1 TCU Fan Alarm  Sensor detected.</t>
  </si>
  <si>
    <t xml:space="preserve"> Test Site#2 TCU Fan Alarm  Sensor detected.</t>
  </si>
  <si>
    <t xml:space="preserve"> Fan Check Alive Signal  Sensor detected.</t>
  </si>
  <si>
    <t xml:space="preserve"> TCU Fan MC On Check  Sensor detected.</t>
  </si>
  <si>
    <t xml:space="preserve"> TCU Heater MC On Check  Sensor detected.</t>
  </si>
  <si>
    <t xml:space="preserve"> TCU Fan Power CP Trip Check  Sensor detected.</t>
  </si>
  <si>
    <t xml:space="preserve"> Soak #1 TCU Bimetal Alarm  Sensor detected.</t>
  </si>
  <si>
    <t xml:space="preserve"> Soak #2 TCU Bimetal Alarm  Sensor detected.</t>
  </si>
  <si>
    <t xml:space="preserve"> Test Site #1 TCU Bimetal Alarm  Sensor detected.</t>
  </si>
  <si>
    <t xml:space="preserve"> Test Site #2 TCU Bimetal Alarm  Sensor detected.</t>
  </si>
  <si>
    <t xml:space="preserve"> Soak#1 TCU Fan Alarm  recognition failed.</t>
  </si>
  <si>
    <t xml:space="preserve"> Soak#2 Soak TCU Fan Alarm  recognition failed.</t>
  </si>
  <si>
    <t xml:space="preserve"> Test Site#1 TCU Fan Alarm  recognition failed.</t>
  </si>
  <si>
    <t xml:space="preserve"> Test Site#2 TCU Fan Alarm  recognition failed.</t>
  </si>
  <si>
    <t xml:space="preserve"> Fan Check Alive Signal  recognition failed.</t>
  </si>
  <si>
    <t xml:space="preserve"> TCU Fan MC On Check  recognition failed.</t>
  </si>
  <si>
    <t xml:space="preserve"> TCU Heater MC On Check  recognition failed.</t>
  </si>
  <si>
    <t xml:space="preserve"> TCU Fan Power CP Trip Check  recognition failed.</t>
  </si>
  <si>
    <t xml:space="preserve"> Soak #1 TCU Bimetal Alarm  recognition failed.</t>
  </si>
  <si>
    <t xml:space="preserve"> Soak #2 TCU Bimetal Alarm  recognition failed.</t>
  </si>
  <si>
    <t xml:space="preserve"> Test Site #1 TCU Bimetal Alarm  recognition failed.</t>
  </si>
  <si>
    <t xml:space="preserve"> Test Site #2 TCU Bimetal Alarm  recognition failed.</t>
  </si>
  <si>
    <t xml:space="preserve"> The temp controller data was not received . (Timeout)</t>
  </si>
  <si>
    <t xml:space="preserve"> Temperature not in use mode.</t>
  </si>
  <si>
    <t xml:space="preserve"> Temperature setting exceeded range.</t>
  </si>
  <si>
    <t xml:space="preserve"> Temperature use mode.</t>
  </si>
  <si>
    <t xml:space="preserve"> Target Temperature Reach Timeout.</t>
  </si>
  <si>
    <t>[LOAD HAND] Hand module is exist. check the exist sensor [no3]</t>
  </si>
  <si>
    <t>[STACKER] The empty tray stacker is be short of quantity (3ea more)</t>
  </si>
  <si>
    <t>[STACKER] The cover tray stackeris be short of quantity (3ea More).</t>
  </si>
  <si>
    <t>[TRANSFER]Transfer#1 existence check #1 sensor detected</t>
  </si>
  <si>
    <t>[TRANSFER]Transfer#2 existence check #1 sensor detected</t>
  </si>
  <si>
    <t>[TRANSFER] Transfer #1 Clamp Sol operation failed</t>
  </si>
  <si>
    <t>[TRANSFER] Transfer #1 Unclamp Sol operation failed</t>
  </si>
  <si>
    <t>[TRANSFER] Transfer #2 Clamp Sol operation failed</t>
  </si>
  <si>
    <t>[TRANSFER] Transfer #2 Unclamp Sol operation failed</t>
  </si>
  <si>
    <t>[TRANSFER] Transfer 1 barcode read fail</t>
  </si>
  <si>
    <t>[TRANSFER] Transfer 1 step check fail</t>
  </si>
  <si>
    <t>[TRANSFER]Transfer 2 Bardcode Read Fail.</t>
  </si>
  <si>
    <t>[TRANSFER]Transfer 2 Step Check Fail.</t>
  </si>
  <si>
    <t>[SETPLATE] Setplate #1 Left Dimm check sensor detected</t>
  </si>
  <si>
    <t>[SETPLATE] Setplate #1 Right Dimm check sensor detected</t>
  </si>
  <si>
    <t>[SETPLATE]Setplate#2 Left dimm check sensor detected.</t>
  </si>
  <si>
    <t>[SETPLATE]Setplate#2 Right dimm check sensor detected.</t>
  </si>
  <si>
    <t>[SETPLATE]Setplate#3 Up Sensor recognition failed.</t>
  </si>
  <si>
    <t>[SETPLATE]Setplate#2 support lock sensor sensor detected</t>
  </si>
  <si>
    <t>[SETPLATE]Setplate#3 support lock sensor sensor detected</t>
  </si>
  <si>
    <t>[SETPLATE]Setplate#4 support lock sensor sensor detected</t>
  </si>
  <si>
    <t>[SETPLATE]Setplate #1 tray empty check recognition failed.</t>
  </si>
  <si>
    <t>[SETPLATE]Setplate #2 tray empty check recognition failed.</t>
  </si>
  <si>
    <t>[SETPLATE]Setplate#3 tray empty check recognition failed</t>
  </si>
  <si>
    <t>[SETPLATE]Setplate#4 tray empty check recognition failed</t>
  </si>
  <si>
    <t>[SETPLATE]Set plate#3 support cylinder lock/unlock sol operation failed.</t>
  </si>
  <si>
    <t>[LOAD TRAY FLOW]loader tray flow guide short DIMM position check#1-1 regonition failed</t>
  </si>
  <si>
    <t>[LOAD TRAY FLOW] Loader tray flow up sol operation failed</t>
  </si>
  <si>
    <t>[LOAD TRAY FLOW] Loader Tray flow left T-Tray insert open sol operation failed</t>
  </si>
  <si>
    <t>[LOAD TRAY FLOW] Loader Tray Flow Right T-Tray Indert open Sol</t>
  </si>
  <si>
    <t>[BUFFER TRAY FLOW]Buffer tray flow feeder#2 for sol operation fail.</t>
  </si>
  <si>
    <t>[BUFFER TRAY FLOW]It was exist module in the test tray.</t>
  </si>
  <si>
    <t>[UNLOAD TRAY FLOW]Unloader tray flow tray upper check sensor detected.</t>
  </si>
  <si>
    <t>[UNLOAD TRAY FLOW]Buffer tray flow arrival check #2 sensor detected.</t>
  </si>
  <si>
    <t>[UNLOAD TRAY FLOW]Unloader tray flow tray upper check recognition failed.</t>
  </si>
  <si>
    <t>[UNLOAD TRAY FLOW]Unloader tray flow tray bottom check recognition failed.</t>
  </si>
  <si>
    <t>[UNLOAD TRAY FLOW] Unloader tray flow up sol operation failed</t>
  </si>
  <si>
    <t>[UNLOAD TRAY FLOW]Unloader tray flow left T-tray insert open sol operation failed.</t>
  </si>
  <si>
    <t>[UNLOAD TRAY FLOW]Unloader tray flow right T-Tray insert open sol operation failed.</t>
  </si>
  <si>
    <t>[UNLOAD TRAY FLOW]The test tray id Data was not received!.(Time out)</t>
  </si>
  <si>
    <t>[UNLOAD TRAY FLOW]The test tray id data is difference.</t>
  </si>
  <si>
    <t>[UNLOAD TYRAY FLOW]The test tray id data is not format.</t>
  </si>
  <si>
    <t>[UNLOAD TRAY FLOW]There is the same test tray id.</t>
  </si>
  <si>
    <t>No matching ID found in BindMID list.</t>
  </si>
  <si>
    <t>[LOAD HAND] Load Picker Module Cylinder #1 Up  operation failed.</t>
  </si>
  <si>
    <t>[LOAD HAND] Load Picker Module Cylinder #2 Up  operation failed.</t>
  </si>
  <si>
    <t>[LOAD HAND] Load Picker Module Cylinder #3 Up  operation failed.</t>
  </si>
  <si>
    <t>[LOAD HAND] Load Picker Module Cylinder #4 Up  operation failed.</t>
  </si>
  <si>
    <t>[LOAD HAND] Load Picker Module Cylinder #5 Up  operation failed.</t>
  </si>
  <si>
    <t>[LOAD HAND] Load Picker Module Cylinder #6 Up  operation failed.</t>
  </si>
  <si>
    <t>[LOAD HAND] Load Picker Module Cylinder #7 Up  operation failed.</t>
  </si>
  <si>
    <t>[LOAD HAND] Load Picker Module Cylinder #8 Up  operation failed.</t>
  </si>
  <si>
    <t xml:space="preserve">[LOAD HAND] Hand Module information is different </t>
  </si>
  <si>
    <t>[LOAD HAND] Load Hand Barcode Read All Fail.</t>
  </si>
  <si>
    <t>[LOAD HAND]Hand Module is not.Check the Exit Sensor.</t>
  </si>
  <si>
    <t xml:space="preserve">[LOAD HAND] Hand module is exist. check the exist sensor </t>
  </si>
  <si>
    <t>[LOAD HAND] Load Hand barcode is duplicated</t>
  </si>
  <si>
    <t>[LOAD HAND]Module barcode information does not match.</t>
  </si>
  <si>
    <t>[LOAD HAND]Barcode recognition rate is low.</t>
  </si>
  <si>
    <t>[LOAD HAND][Retry]Barcode recognition rate is low.</t>
  </si>
  <si>
    <t>[LOAD HAND][Do not match ]</t>
  </si>
  <si>
    <t>[LOAD HAND][Do not match No7][Do not match No8]</t>
  </si>
  <si>
    <t>[UNLOAD HAND]Unload picker module cylinder#2 down operation failed.</t>
  </si>
  <si>
    <t>[UNLOAD HAND] Unload picker module cylinder#5 down operation failed.</t>
  </si>
  <si>
    <t>[UNLOAD HAND]Unload picker module cylinder #7 down operation failed</t>
  </si>
  <si>
    <t>[UNLOAD HAND] Hand Module information is different.</t>
  </si>
  <si>
    <t xml:space="preserve">[UNLOAD HAND] Hand module is not. check the exist sensor </t>
  </si>
  <si>
    <t>[UNLOAD HAND]Hand Module is exst.Check the Exist Sensor 6</t>
  </si>
  <si>
    <t>[UNLOAD HAND]Hand module barcode infromation is difference. Check the module barcode.</t>
  </si>
  <si>
    <t>[UNLOAD HAND]Unload hand barcode is duplicated</t>
  </si>
  <si>
    <t>[UNLOAD HAND]Unload hand barcode is vertical mismatch</t>
  </si>
  <si>
    <t>[SOAK CHAMBER] Soak #2 Upper Check  Sensor detected.</t>
  </si>
  <si>
    <t>[SOAK CHAMBER]Soak#1 middle check recognition failed.</t>
  </si>
  <si>
    <t>[SOAK CHAMBER]Soak#1 lower check recognition failed.</t>
  </si>
  <si>
    <t>[SOAK CHAMBER]Soak #2 Tray push position check recognition failed</t>
  </si>
  <si>
    <t>[SOAK CHAMBER]Soak #2 Upper Check recognition failed.</t>
  </si>
  <si>
    <t>[SOAK CHAMBER] Soak#2 Middle Check recognition failed.</t>
  </si>
  <si>
    <t>[SOAK CHAMBER]Soak #2Lower Check recognition failed.</t>
  </si>
  <si>
    <t>[SOAK CHAMBER]Soak #1 Lower check recognition failed</t>
  </si>
  <si>
    <t>[SOAK CHAMBER]Soak#1 Tray Corner Guide 101mm Up operation failed.</t>
  </si>
  <si>
    <t>[SOAK CHAMBER] Soak Top Feeder Up operation failed</t>
  </si>
  <si>
    <t>[SOAK CHAMBER]Soak shutter lock operation failed.</t>
  </si>
  <si>
    <t>[SOAK CHAMBER]Soak #1 Tray upper check guide open operation failed</t>
  </si>
  <si>
    <t>[SOAK CHAMBER]Soak#1 Tray Middle Guide Close operation failed.</t>
  </si>
  <si>
    <t>[SOAK CHAMBER]Soak#1 stopper open operation failed.</t>
  </si>
  <si>
    <t>[SOAK CHAMBER]Soak#1 tray corner guide 101mm up operation failed.</t>
  </si>
  <si>
    <t>[SOAK CHAMBER] Soak #2 Tray Corner Guide 101mm up operation failed</t>
  </si>
  <si>
    <t>[TEST CHAMBER]Test Site#1 Tray position check #1 Sensor detected.</t>
  </si>
  <si>
    <t>[TEST CHAMBER]Test site#2 tray position check #1 sensor detected</t>
  </si>
  <si>
    <t>[TEST CHAMBER] Test site #1 Tray position check #2 recognition failed</t>
  </si>
  <si>
    <t>[TEST CHAMBER]Test site #1 middle door cloase operation failed.</t>
  </si>
  <si>
    <t>[TEST CHAMBER]Test#2 middle door close operation failed. (cylinder screw loose)</t>
  </si>
  <si>
    <t>[DESOAK CHAMBER] Desoak #1 Lower check sensor detected</t>
  </si>
  <si>
    <t>[DESOAK CHAMBER] Desoak #2 Lower check sensor detected</t>
  </si>
  <si>
    <t>[DESOAK CHAMBER] Desoak #1 upper check recognition failed</t>
  </si>
  <si>
    <t>[DESOAK CHAMBER]Desoak#1 middle check recognition failed.</t>
  </si>
  <si>
    <t>[DESOAK CHAMBER] Desoak #1 lower check recognition failed</t>
  </si>
  <si>
    <t>[DESOAK CHAMBER] Desoak #2 upper check recognition failed</t>
  </si>
  <si>
    <t>[DESOAK CHAMBER]Desoak #2 middle check recognition failed.</t>
  </si>
  <si>
    <t>[DESOAK CHAMBER] Desoak #2 Lower check recognition failed</t>
  </si>
  <si>
    <t>[DESOAK CHAMBER]Desoak#1 Tray Upper Guide Close operation failde.(2)</t>
  </si>
  <si>
    <t>[DESOAK CHAMBER]Desoak#1 Tray Corner Guide Close operation failed. (1)</t>
  </si>
  <si>
    <t>[DESOAK CHAMBER] Desoak #1 pusher down operation failed</t>
  </si>
  <si>
    <t>[DESOAK CHEMABER]Desoak#1 Tray Corner  Guide 101mm up operation failed.</t>
  </si>
  <si>
    <t>[DESOAK CHAMBER] Desoak #2 tray upper guide close operation failed</t>
  </si>
  <si>
    <t>[DESOAK CHAMBER]Desoak#2 tray pusher for operation failed.</t>
  </si>
  <si>
    <t>[DESOAK CHAMBER]Desoak#2 Tay Corner Guide 101mm Up operation failed.(1)</t>
  </si>
  <si>
    <t>[MOTOR]Unload Y sw error:maximun movement has been exceeded.</t>
  </si>
  <si>
    <t>[MOTOR] Transfer 2x motor power is not supplied</t>
  </si>
  <si>
    <t>[MOTOR]TRANSFER 1ZMotor power is not supplied.</t>
  </si>
  <si>
    <t>[MOTOR]SOAK 1 BOTTOM FEED Motor power is not supplied.</t>
  </si>
  <si>
    <t>[MOTOR] Soak 2 Bottom Feed Motor Power is not supplied</t>
  </si>
  <si>
    <t>[MOTOR]SOAK TOP Feed Motor Power is not supplied.</t>
  </si>
  <si>
    <t>[MOTOR]Desoak top feed motor power is not supplied.</t>
  </si>
  <si>
    <t>[MOTOR]SOAK 1 BOTTOM FEED Motor alarm has occurred.</t>
  </si>
  <si>
    <t>[MOTOR]Desoak top feed motor alarm has occurred.</t>
  </si>
  <si>
    <t>[MOTOR]SOAK 1 BOTTOM FEED Last Posion is not</t>
  </si>
  <si>
    <t>[MOTOR]SOAK Top Feed Last Posion is not.</t>
  </si>
  <si>
    <t>[MOTOR[Desoak Top Feed last posion is not.</t>
  </si>
  <si>
    <t>[ETC]Test site #2 tray position check #1 sensor detected.</t>
  </si>
  <si>
    <t>[ETC]Desoak#1 tray lower 1 step check recognition failed.</t>
  </si>
  <si>
    <t>[ETC]Desoak#2 tray lower 1 step check recognition failed.</t>
  </si>
  <si>
    <t>[ETC]Door Lock#1 Sensor not detected.</t>
  </si>
  <si>
    <t>[ETC]Door Lock#2 Sensor not detected.</t>
  </si>
  <si>
    <t>[ETC]Door Lock#3 Sensor not detected.</t>
  </si>
  <si>
    <t>[ETC]Door Lock#4 Sensor not detected.</t>
  </si>
  <si>
    <t>[ETC]Door Lock #5 sensor not detected</t>
  </si>
  <si>
    <t>[ETC]Door lock #6 sensor not detected.</t>
  </si>
  <si>
    <t>[ETC] Soak Chamber #1 door lock sensor not detected</t>
  </si>
  <si>
    <t>[ETC] Soak chamber #2 Door lck #2 sensor not detected</t>
  </si>
  <si>
    <t>[ETC] The test chamber door lock sensor not detected</t>
  </si>
  <si>
    <t>[ETC]Desoak chamber #1 door lock sensor not detected.</t>
  </si>
  <si>
    <t>[ETC]Front Area Sensor detected.</t>
  </si>
  <si>
    <t>[ETC] The module barcode result data was not received .</t>
  </si>
  <si>
    <t>[ETC] The module barcode recipe is not load .</t>
  </si>
  <si>
    <t>[ETC]Host was not connected.[SECSGEM]</t>
  </si>
  <si>
    <t>[ETC] LoadPort3 cancel. [SECSGEM]</t>
  </si>
  <si>
    <t>[ETC] Carrier ID validation on host takes a long time</t>
  </si>
  <si>
    <t>[ETC] It takes a long time to get the Start Retest command from the host</t>
  </si>
  <si>
    <t>[ETC]Rear ionizer alarm</t>
  </si>
  <si>
    <t>[TEMP] Target temperature reach timeout.</t>
  </si>
  <si>
    <t>[STACKER] Stacker #1 Forward Sensor #1  Sensor detected.</t>
  </si>
  <si>
    <t>[STACKER] Stacker #1 Backward Sensor #1  Sensor detected.</t>
  </si>
  <si>
    <t>[STACKER] Stacker #1 Up Sensor  Sensor detected.</t>
  </si>
  <si>
    <t>[STACKER] Stacker #1 Down Sensor  Sensor detected.</t>
  </si>
  <si>
    <t>[STACKER] Stacker #1 Tray Clmap Sensor  Sensor detected.</t>
  </si>
  <si>
    <t>[STACKER] Stacker #1 Tray Unclamp Sensor  Sensor detected.</t>
  </si>
  <si>
    <t>[STACKER] Stacker #1 Tray Empty Check  Sensor detected.</t>
  </si>
  <si>
    <t>[STACKER] Stacker #1 Tray Full Check  Sensor detected.</t>
  </si>
  <si>
    <t>[STACKER] Stacker #1 Buffer Tray Empty Check  Sensor detected.</t>
  </si>
  <si>
    <t>[STACKER] Stacker #1 Forward Sensor #2  Sensor detected.</t>
  </si>
  <si>
    <t>[STACKER] Stacker #1 Backward Sensor #2  Sensor detected.</t>
  </si>
  <si>
    <t>[STACKER] Stacker #2 Forward Sensor #1  Sensor detected.</t>
  </si>
  <si>
    <t>[STACKER] Stacker #2 Backward Sensor #1  Sensor detected.</t>
  </si>
  <si>
    <t>[STACKER] Stacker #2 Up Sensor  Sensor detected.</t>
  </si>
  <si>
    <t>[STACKER] Stacker #2 Down Sensor  Sensor detected.</t>
  </si>
  <si>
    <t>[STACKER] Stacker #2 Tray Clamp Sensor  Sensor detected.</t>
  </si>
  <si>
    <t>[STACKER] Stacker #2 Tray Unclamp Sensor  Sensor detected.</t>
  </si>
  <si>
    <t>[STACKER] Stacker #2 Tray Empty Check  Sensor detected.</t>
  </si>
  <si>
    <t>[STACKER] Stacker #2 Tray Full Check  Sensor detected.</t>
  </si>
  <si>
    <t>[STACKER] Stacker #2 Buffer Tray Empty Check  Sensor detected.</t>
  </si>
  <si>
    <t>[STACKER] Stacker #2 Forward Sensor #2  Sensor detected.</t>
  </si>
  <si>
    <t>[STACKER] Stacker #2 Backward Sensor #2  Sensor detected.</t>
  </si>
  <si>
    <t>[STACKER] Stacker #3 Forward Sensor #1  Sensor detected.</t>
  </si>
  <si>
    <t>[STACKER] Stacker #3 Backward Sensor #1  Sensor detected.</t>
  </si>
  <si>
    <t>[STACKER] Stacker #3 Up Sensor  Sensor detected.</t>
  </si>
  <si>
    <t>[STACKER] Stacker #3 Down Sensor  Sensor detected.</t>
  </si>
  <si>
    <t>[STACKER] Stacker #3 Tray Clamp Sensor  Sensor detected.</t>
  </si>
  <si>
    <t>[STACKER] Stacker #3 Tray Unclamp Sensor  Sensor detected.</t>
  </si>
  <si>
    <t>[STACKER] Stacker #3 Tray Empty Check  Sensor detected.</t>
  </si>
  <si>
    <t>[STACKER] Stacker #3 Tray Full Check  Sensor detected.</t>
  </si>
  <si>
    <t>[STACKER] Stacker #3 Buffer Tray Empty Check  Sensor detected.</t>
  </si>
  <si>
    <t>[STACKER] Stacker #4 Forward Sensor #1  Sensor detected.</t>
  </si>
  <si>
    <t>[STACKER] Stacker #4 Backward Sensor #1  Sensor detected.</t>
  </si>
  <si>
    <t>[STACKER] Stacker #4 Up Sensor  Sensor detected.</t>
  </si>
  <si>
    <t>[STACKER] Stacker #4 Down Sensor  Sensor detected.</t>
  </si>
  <si>
    <t>[STACKER] Stacker #4 Tray Clamp Sensor  Sensor detected.</t>
  </si>
  <si>
    <t>[STACKER] Stacker #4 Tray Unclamp Sensor  Sensor detected.</t>
  </si>
  <si>
    <t>[STACKER] Stacker #4 Tray Empty Check  Sensor detected.</t>
  </si>
  <si>
    <t>[STACKER] Stacker #4 Tray Full Check  Sensor detected.</t>
  </si>
  <si>
    <t>[STACKER] Stacker #4 Buffer Tray Empty Check  Sensor detected.</t>
  </si>
  <si>
    <t>[STACKER] Stacker #4 Forward Sensor #2  Sensor detected.</t>
  </si>
  <si>
    <t>[STACKER] Stacker #4 Backward Sensor #2  Sensor detected.</t>
  </si>
  <si>
    <t>[STACKER] Stacker #5 Forward Sensor #1  Sensor detected.</t>
  </si>
  <si>
    <t>[STACKER] Stacker #5 Backward Sensor #1  Sensor detected.</t>
  </si>
  <si>
    <t>[STACKER] Stacker #5 Up Sensor  Sensor detected.</t>
  </si>
  <si>
    <t>[STACKER] Stacker #5 Down Sensor  Sensor detected.</t>
  </si>
  <si>
    <t>[STACKER] Stacker #5 Tray Clamp Sensor  Sensor detected.</t>
  </si>
  <si>
    <t>[STACKER] Stacker #5 Tray Unclamp Sensor  Sensor detected.</t>
  </si>
  <si>
    <t>[STACKER] Stacker #5 Tray Empty Check  Sensor detected.</t>
  </si>
  <si>
    <t>[STACKER] Stacker #5 Tray Full Check  Sensor detected.</t>
  </si>
  <si>
    <t>[STACKER] Stacker #5 Buffer Tray Empty Check  Sensor detected.</t>
  </si>
  <si>
    <t>[STACKER] Stacker #5 Forward Sensor #2  Sensor detected.</t>
  </si>
  <si>
    <t>[STACKER] Stacker #5 Backward Sensor #2  Sensor detected.</t>
  </si>
  <si>
    <t>[STACKER] Stacker #6 Forward Sensor #1  Sensor detected.</t>
  </si>
  <si>
    <t>[STACKER] Stacker #6 Backward Sensor #1  Sensor detected.</t>
  </si>
  <si>
    <t>[STACKER] Stacker #6 Forward Sensor #2  Sensor detected.</t>
  </si>
  <si>
    <t>[STACKER] Stacker #6 Backward Sensor #2  Sensor detected.</t>
  </si>
  <si>
    <t>[STACKER] Stacker #6 Up Sensor  Sensor detected.</t>
  </si>
  <si>
    <t>[STACKER] Stacker #6 Down Sensor  Sensor detected.</t>
  </si>
  <si>
    <t>[STACKER] Stacker #6 Tray Clamp Sensor  Sensor detected.</t>
  </si>
  <si>
    <t>[STACKER] Stacker #6 Tray Unclamp Sensor  Sensor detected.</t>
  </si>
  <si>
    <t>[STACKER] Stacker #6 Tray Empty Check  Sensor detected.</t>
  </si>
  <si>
    <t>[STACKER] Stacker #6 Tray Full Check  Sensor detected.</t>
  </si>
  <si>
    <t>[STACKER] Stacker #6 Buffer Tray Empty Check  Sensor detected.</t>
  </si>
  <si>
    <t>[STACKER] Stacker #1 Forward Sensor #1  recognition failed.</t>
  </si>
  <si>
    <t>[STACKER] Stacker #1 Backward Sensor #1  recognition failed.</t>
  </si>
  <si>
    <t>[STACKER] Stacker #1 Up Sensor  recognition failed.</t>
  </si>
  <si>
    <t>[STACKER] Stacker #1 Down Sensor  recognition failed.</t>
  </si>
  <si>
    <t>[STACKER] Stacker #1 Tray Clmap Sensor  recognition failed.</t>
  </si>
  <si>
    <t>[STACKER] Stacker #1 Tray Unclamp Sensor  recognition failed.</t>
  </si>
  <si>
    <t>[STACKER] Stacker #1 Tray Empty Check  recognition failed.</t>
  </si>
  <si>
    <t>[STACKER] Stacker #1 Tray Full Check  recognition failed.</t>
  </si>
  <si>
    <t>[STACKER] Stacker #1 Buffer Tray Empty Check  recognition failed.</t>
  </si>
  <si>
    <t>[STACKER] Stacker #1 Forward Sensor #2  recognition failed.</t>
  </si>
  <si>
    <t>[STACKER] Stacker #1 Backward Sensor #2  recognition failed.</t>
  </si>
  <si>
    <t>[STACKER] Stacker #2 Forward Sensor #1  recognition failed.</t>
  </si>
  <si>
    <t>[STACKER] Stacker #2 Backward Sensor #1  recognition failed.</t>
  </si>
  <si>
    <t>[STACKER] Stacker #2 Up Sensor  recognition failed.</t>
  </si>
  <si>
    <t>[STACKER] Stacker #2 Down Sensor  recognition failed.</t>
  </si>
  <si>
    <t>[STACKER] Stacker #2 Tray Clamp Sensor  recognition failed.</t>
  </si>
  <si>
    <t>[STACKER] Stacker #2 Tray Unclamp Sensor  recognition failed.</t>
  </si>
  <si>
    <t>[STACKER] Stacker #2 Tray Empty Check  recognition failed.</t>
  </si>
  <si>
    <t>[STACKER] Stacker #2 Tray Full Check  recognition failed.</t>
  </si>
  <si>
    <t>[STACKER] Stacker #2 Buffer Tray Empty Check  recognition failed.</t>
  </si>
  <si>
    <t>[STACKER] Stacker #2 Forward Sensor #2  recognition failed.</t>
  </si>
  <si>
    <t>[STACKER] Stacker #2 Backward Sensor #2  recognition failed.</t>
  </si>
  <si>
    <t>[STACKER] Stacker #3 Forward Sensor #1  recognition failed.</t>
  </si>
  <si>
    <t>[STACKER] Stacker #3 Backward Sensor #1  recognition failed.</t>
  </si>
  <si>
    <t>[STACKER] Stacker #3 Up Sensor  recognition failed.</t>
  </si>
  <si>
    <t>[STACKER] Stacker #3 Down Sensor  recognition failed.</t>
  </si>
  <si>
    <t>[STACKER] Stacker #3 Tray Clamp Sensor  recognition failed.</t>
  </si>
  <si>
    <t>[STACKER] Stacker #3 Tray Unclamp Sensor  recognition failed.</t>
  </si>
  <si>
    <t>[STACKER] Stacker #3 Tray Empty Check  recognition failed.</t>
  </si>
  <si>
    <t>[STACKER] Stacker #3 Tray Full Check  recognition failed.</t>
  </si>
  <si>
    <t>[STACKER] Stacker #3 Buffer Tray Empty Check  recognition failed.</t>
  </si>
  <si>
    <t>[STACKER] Stacker #4 Forward Sensor #1  recognition failed.</t>
  </si>
  <si>
    <t>[STACKER] Stacker #4 Backward Sensor #1  recognition failed.</t>
  </si>
  <si>
    <t>[STACKER] Stacker #4 Up Sensor  recognition failed.</t>
  </si>
  <si>
    <t>[STACKER] Stacker #4 Down Sensor  recognition failed.</t>
  </si>
  <si>
    <t>[STACKER] Stacker #4 Tray Clamp Sensor  recognition failed.</t>
  </si>
  <si>
    <t>[STACKER] Stacker #4 Tray Unclamp Sensor  recognition failed.</t>
  </si>
  <si>
    <t>[STACKER] Stacker #4 Tray Empty Check  recognition failed.</t>
  </si>
  <si>
    <t>[STACKER] Stacker #4 Tray Full Check  recognition failed.</t>
  </si>
  <si>
    <t>[STACKER] Stacker #4 Buffer Tray Empty Check  recognition failed.</t>
  </si>
  <si>
    <t>[STACKER] Stacker #4 Forward Sensor #2  recognition failed.</t>
  </si>
  <si>
    <t>[STACKER] Stacker #4 Backward Sensor #2  recognition failed.</t>
  </si>
  <si>
    <t>[STACKER] Stacker #5 Forward Sensor #1  recognition failed.</t>
  </si>
  <si>
    <t>[STACKER] Stacker #5 Backward Sensor #1  recognition failed.</t>
  </si>
  <si>
    <t>[STACKER] Stacker #5 Up Sensor  recognition failed.</t>
  </si>
  <si>
    <t>[STACKER] Stacker #5 Down Sensor  recognition failed.</t>
  </si>
  <si>
    <t>[STACKER] Stacker #5 Tray Clamp Sensor  recognition failed.</t>
  </si>
  <si>
    <t>[STACKER] Stacker #5 Tray Unclamp Sensor  recognition failed.</t>
  </si>
  <si>
    <t>[STACKER] Stacker #5 Tray Empty Check  recognition failed.</t>
  </si>
  <si>
    <t>[STACKER] Stacker #5 Tray Full Check  recognition failed.</t>
  </si>
  <si>
    <t>[STACKER] Stacker #5 Buffer Tray Empty Check  recognition failed.</t>
  </si>
  <si>
    <t>[STACKER] Stacker #5 Forward Sensor #2  recognition failed.</t>
  </si>
  <si>
    <t>[STACKER] Stacker #5 Backward Sensor #2  recognition failed.</t>
  </si>
  <si>
    <t>[STACKER] Stacker #6 Forward Sensor #1  recognition failed.</t>
  </si>
  <si>
    <t>[STACKER] Stacker #6 Backward Sensor #1  recognition failed.</t>
  </si>
  <si>
    <t>[STACKER] Stacker #6 Forward Sensor #2  recognition failed.</t>
  </si>
  <si>
    <t>[STACKER] Stacker #6 Backward Sensor #2  recognition failed.</t>
  </si>
  <si>
    <t>[STACKER] Stacker #6 Up Sensor  recognition failed.</t>
  </si>
  <si>
    <t>[STACKER] Stacker #6 Down Sensor  recognition failed.</t>
  </si>
  <si>
    <t>[STACKER] Stacker #6 Tray Clamp Sensor  recognition failed.</t>
  </si>
  <si>
    <t>[STACKER] Stacker #6 Tray Unclamp Sensor  recognition failed.</t>
  </si>
  <si>
    <t>[STACKER] Stacker #6 Tray Empty Check  recognition failed.</t>
  </si>
  <si>
    <t>[STACKER] Stacker #6 Tray Full Check  recognition failed.</t>
  </si>
  <si>
    <t>[STACKER] Stacker #6 Buffer Tray Empty Check  recognition failed.</t>
  </si>
  <si>
    <t>[STACKER] Stakcer #1 Forward Sol  operation failed.</t>
  </si>
  <si>
    <t>[STACKER] Stakcer #2 Forward Sol  operation failed.</t>
  </si>
  <si>
    <t>[STACKER] Stakcer #3 Forward Sol  operation failed.</t>
  </si>
  <si>
    <t>[STACKER] Stakcer #4 Forward Sol  operation failed.</t>
  </si>
  <si>
    <t>[STACKER] Stakcer #5 Forward Sol  operation failed.</t>
  </si>
  <si>
    <t>[STACKER] Stakcer #6 Forward Sol  operation failed.</t>
  </si>
  <si>
    <t>[STACKER] Stacker #1 Up Sol  operation failed.</t>
  </si>
  <si>
    <t>[STACKER] Stacker #2 Up Sol  operation failed.</t>
  </si>
  <si>
    <t>[STACKER] Stacker #3 Up Sol  operation failed.</t>
  </si>
  <si>
    <t>[STACKER] Stacker #4 Up Sol  operation failed.</t>
  </si>
  <si>
    <t>[STACKER] Stacker #5 Up Sol  operation failed.</t>
  </si>
  <si>
    <t>[STACKER] Stacker #6 Up Sol  operation failed.</t>
  </si>
  <si>
    <t>[STACKER] Stacker #1 Tray Clamp Sol  operation failed.</t>
  </si>
  <si>
    <t>[STACKER] Stacker #2 Tray Clmap Sol  operation failed.</t>
  </si>
  <si>
    <t>[STACKER] Stacker #3 Tray Clamp Sol  operation failed.</t>
  </si>
  <si>
    <t>[STACKER] Stacker #4 Tray Clamp Sol  operation failed.</t>
  </si>
  <si>
    <t>[STACKER] Stacker #5 Tray Clamp Sol  operation failed.</t>
  </si>
  <si>
    <t>[STACKER] Stacker #6 Tray Clamp Sol  operation failed.</t>
  </si>
  <si>
    <t>[STACKER] The cover tray Stacker is Empty.</t>
  </si>
  <si>
    <t>[STACKER] The empty tray Stacker is Empty.</t>
  </si>
  <si>
    <t>[STACKER] The process tray is not add in stacker.</t>
  </si>
  <si>
    <t>[STACKER] The process tray remain in unload stacker.</t>
  </si>
  <si>
    <t>[STACKER] The Load tray Stacker is Empty.</t>
  </si>
  <si>
    <t>[STACKER] The empty tray Stacker is be short of quantity (3ea More).</t>
  </si>
  <si>
    <t>[STACKER] The Cover tray Stacker is be short of quantity (3ea More).</t>
  </si>
  <si>
    <t>[STACKER] The process tray remain in load stacker. (STACKER 1)</t>
  </si>
  <si>
    <t>[STACKER] The process tray remain in cover stacker. (STACKER 2)</t>
  </si>
  <si>
    <t>[STACKER] The process tray remain in empty stacker. (STACKER 3)</t>
  </si>
  <si>
    <t>[STACKER] The process tray is out.</t>
  </si>
  <si>
    <t>[TRANSFER] Transfer #1 Z-Axis Safety Position Check  Sensor detected.</t>
  </si>
  <si>
    <t>[TRANSFER] Transfer #1 Tray Layer Check   Sensor detected.</t>
  </si>
  <si>
    <t>[TRANSFER] Transfer #1 Existence Check #1  Sensor detected.</t>
  </si>
  <si>
    <t>[TRANSFER] Transfer #1 Left Clamp Sensor  Sensor detected.</t>
  </si>
  <si>
    <t>[TRANSFER] Transfer #1 Left Unclamp Sensor  Sensor detected.</t>
  </si>
  <si>
    <t>[TRANSFER] Transfer #1 Right Clamp Sensor  Sensor detected.</t>
  </si>
  <si>
    <t>[TRANSFER] Transfer #1 Right Unclamp Sensor  Sensor detected.</t>
  </si>
  <si>
    <t>[TRANSFER] Transfer #2 Z-Axis Safety Position Sensor  Sensor detected.</t>
  </si>
  <si>
    <t>[TRANSFER] Transfer #2 Tray Layer Check  Sensor detected.</t>
  </si>
  <si>
    <t>[TRANSFER] Transfer #2 Existence Check #1  Sensor detected.</t>
  </si>
  <si>
    <t>[TRANSFER] Transfer #2 Left Clamp Sensor  Sensor detected.</t>
  </si>
  <si>
    <t>[TRANSFER] Transfer #2 Left Unclamp Sensor  Sensor detected.</t>
  </si>
  <si>
    <t>[TRANSFER] Transfer #2 Right Clamp Sensor  Sensor detected.</t>
  </si>
  <si>
    <t>[TRANSFER] Transfer #1 Z-Axis Safety Position Check  recognition failed.</t>
  </si>
  <si>
    <t>[TRANSFER] Transfer #1 Tray Layer Check   recognition failed.</t>
  </si>
  <si>
    <t>[TRANSFER] Transfer #1 Existence Check #1  recognition failed.</t>
  </si>
  <si>
    <t>[TRANSFER] Transfer #1 Left Clamp Sensor  recognition failed.</t>
  </si>
  <si>
    <t>[TRANSFER] Transfer #1 Left Unclamp Sensor  recognition failed.</t>
  </si>
  <si>
    <t>[TRANSFER] Transfer #1 Right Clamp Sensor  recognition failed.</t>
  </si>
  <si>
    <t>[TRANSFER] Transfer #1 Right Unclamp Sensor  recognition failed.</t>
  </si>
  <si>
    <t>[TRANSFER] Transfer #2 Z-Axis Safety Position Sensor  recognition failed.</t>
  </si>
  <si>
    <t>[TRANSFER] Transfer #2 Tray Layer Check  recognition failed.</t>
  </si>
  <si>
    <t>[TRANSFER] Transfer #2 Existence Check #1  recognition failed.</t>
  </si>
  <si>
    <t>[TRANSFER] Transfer #2 Left Clamp Sensor  recognition failed.</t>
  </si>
  <si>
    <t>[TRANSFER] Transfer #2 Left Unclamp Sensor  recognition failed.</t>
  </si>
  <si>
    <t>[TRANSFER] Transfer #2 Right Clamp Sensor  recognition failed.</t>
  </si>
  <si>
    <t>[TRANSFER] Transfer #2 Right Unclamp Sensor  recognition failed.</t>
  </si>
  <si>
    <t>[TRANSFER] Transfer #1 Clamp Sol  operation failed.</t>
  </si>
  <si>
    <t>[TRANSFER] Transfer #2 Clamp Sol  operation failed.</t>
  </si>
  <si>
    <t>[TRANSFER] Transfer #1 Unclamp Sol  operation failed.</t>
  </si>
  <si>
    <t>[TRANSFER] Transfer #2 Unclamp Sol  operation failed.</t>
  </si>
  <si>
    <t xml:space="preserve">[TRANSFER] Transfer 1 Barcode Read Fail. </t>
  </si>
  <si>
    <t xml:space="preserve">[TRANSFER] Transfer 1 Step Check Fail. </t>
  </si>
  <si>
    <t xml:space="preserve">[TRANSFER] Transfer 2 Barcode Read Fail. </t>
  </si>
  <si>
    <t xml:space="preserve">[TRANSFER] Transfer 2 Step Check Fail. </t>
  </si>
  <si>
    <t>[SETPLATE] Setplate #1 Up Sensor  Sensor detected.</t>
  </si>
  <si>
    <t>[SETPLATE] Setplate #1 Down Sensor  Sensor detected.</t>
  </si>
  <si>
    <t>[SETPLATE] Setplate #2 Up Sensor  Sensor detected.</t>
  </si>
  <si>
    <t>[SETPLATE] Setplate #2 Down Sensor  Sensor detected.</t>
  </si>
  <si>
    <t>[SETPLATE] Setplate #3 Up Sensor  Sensor detected.</t>
  </si>
  <si>
    <t>[SETPLATE] Setplate #3 Down Sensor  Sensor detected.</t>
  </si>
  <si>
    <t>[SETPLATE] Setplate #4 Up Sensor  Sensor detected.</t>
  </si>
  <si>
    <t>[SETPLATE] Setplate #4 Down Sensor  Sensor detected.</t>
  </si>
  <si>
    <t>[SETPLATE] Setplate #5 Up Sensor  Sensor detected.</t>
  </si>
  <si>
    <t>[SETPLATE] Setplate #5 Down Sensor  Sensor detected.</t>
  </si>
  <si>
    <t>[SETPLATE] Setplate #1 Tray Empty Check  Sensor detected.</t>
  </si>
  <si>
    <t>[SETPLATE] Setplate #2 Tray Empty Check  Sensor detected.</t>
  </si>
  <si>
    <t>[SETPLATE] Setplate #3 Tray Empty Check  Sensor detected.</t>
  </si>
  <si>
    <t>[SETPLATE] Setplate #4 Tray Empty Check  Sensor detected.</t>
  </si>
  <si>
    <t>[SETPLATE] Setplate #5 Tray Empty Check  Sensor detected.</t>
  </si>
  <si>
    <t xml:space="preserve"> [SETPLATE]Setplate #1 Up Sensor  Sensor detected.</t>
  </si>
  <si>
    <t xml:space="preserve"> [SETPLATE]Setplate #1 Down Sensor  Sensor detected.</t>
  </si>
  <si>
    <t xml:space="preserve"> [SETPLATE]Setplate #2 Up Sensor  Sensor detected.</t>
  </si>
  <si>
    <t xml:space="preserve"> [SETPLATE]Setplate #2 Down Sensor  Sensor detected.</t>
  </si>
  <si>
    <t xml:space="preserve"> [SETPLATE]Setplate #3 Up Sensor  Sensor detected.</t>
  </si>
  <si>
    <t xml:space="preserve"> [SETPLATE]Setplate #3 Down Sensor  Sensor detected.</t>
  </si>
  <si>
    <t xml:space="preserve"> [SETPLATE]Setplate #4 Up Sensor  Sensor detected.</t>
  </si>
  <si>
    <t xml:space="preserve"> [SETPLATE]Setplate #4 Down Sensor  Sensor detected.</t>
  </si>
  <si>
    <t xml:space="preserve"> [SETPLATE]Setplate #5 Up Sensor  Sensor detected.</t>
  </si>
  <si>
    <t>[SETPLATE] Setplate #1 Left Dimm Check  Sensor detected.</t>
  </si>
  <si>
    <t>[SETPLATE] Setplate #1 Right Dimm Check  Sensor detected.</t>
  </si>
  <si>
    <t>[SETPLATE] Setplate #2 Left Dimm Check  Sensor detected.</t>
  </si>
  <si>
    <t>[SETPLATE] Setplate #2 Right Dimm Check  Sensor detected.</t>
  </si>
  <si>
    <t>[SETPLATE] Setplate #3 Left Dimm Check  Sensor detected.</t>
  </si>
  <si>
    <t>[SETPLATE] Setplate #3 Right Dimm Check  Sensor detected.</t>
  </si>
  <si>
    <t>[SETPLATE] Setplate #4 Left Dimm Check  Sensor detected.</t>
  </si>
  <si>
    <t>[SETPLATE] Setplate #4 Right Dimm Check  Sensor detected.</t>
  </si>
  <si>
    <t>[SETPLATE] Setplate #5 Left Dimm Check  Sensor detected.</t>
  </si>
  <si>
    <t>[SETPLATE] Setplate #5 Right Dimm Check  Sensor detected.</t>
  </si>
  <si>
    <t>[SETPLATE] Setplate #1 Up Sensor  recognition failed.</t>
  </si>
  <si>
    <t>[SETPLATE] Setplate #1 Down Sensor  recognition failed.</t>
  </si>
  <si>
    <t>[SETPLATE] Setplate #2 Up Sensor  recognition failed.</t>
  </si>
  <si>
    <t>[SETPLATE] Setplate #2 Down Sensor  recognition failed.</t>
  </si>
  <si>
    <t>[SETPLATE] Setplate #3 Up Sensor  recognition failed.</t>
  </si>
  <si>
    <t>[SETPLATE] Setplate #3 Down Sensor  recognition failed.</t>
  </si>
  <si>
    <t>[SETPLATE] Setplate #4 Up Sensor  recognition failed.</t>
  </si>
  <si>
    <t>[SETPLATE] Setplate #4 Down Sensor  recognition failed.</t>
  </si>
  <si>
    <t>[SETPLATE] Setplate #5 Up Sensor  recognition failed.</t>
  </si>
  <si>
    <t>[SETPLATE] Setplate #5 Down Sensor  recognition failed.</t>
  </si>
  <si>
    <t>[SETPLATE] Setplate #1 Tray Empty Check  recognition failed.</t>
  </si>
  <si>
    <t>[SETPLATE] Setplate #2 Tray Empty Check  recognition failed.</t>
  </si>
  <si>
    <t>[SETPLATE] Setplate #3 Tray Empty Check  recognition failed.</t>
  </si>
  <si>
    <t>[SETPLATE] Setplate #4 Tray Empty Check  recognition failed.</t>
  </si>
  <si>
    <t>[SETPLATE] Setplate #5 Tray Empty Check  recognition failed.</t>
  </si>
  <si>
    <t>[SETPLATE] Setplate #5 Support Lock/Unlock Sensor  recognition failed.</t>
  </si>
  <si>
    <t>[SETPLATE] Setplate #4 Support Lock/Unlock Sensor  recognition failed.</t>
  </si>
  <si>
    <t>[SETPLATE] Setplate #3 Support Lock/Unlock Sensor  recognition failed.</t>
  </si>
  <si>
    <t>[SETPLATE] Setplate #2 Support Lock/Unlock Sensor  recognition failed.</t>
  </si>
  <si>
    <t>[SETPLATE] Setplate #1 Support Lock/Unlock Sensor  recognition failed.</t>
  </si>
  <si>
    <t>[SETPLATE] Setplate #1 Left Dimm Check  recognition failed.</t>
  </si>
  <si>
    <t>[SETPLATE] Setplate #1 Right Dimm Check  recognition failed.</t>
  </si>
  <si>
    <t>[SETPLATE] Setplate #2 Left Dimm Check  recognition failed.</t>
  </si>
  <si>
    <t>[SETPLATE] Setplate #2 Right Dimm Check  recognition failed.</t>
  </si>
  <si>
    <t>[SETPLATE] Setplate #3 Left Dimm Check  recognition failed.</t>
  </si>
  <si>
    <t>[SETPLATE] Setplate #3 Right Dimm Check  recognition failed.</t>
  </si>
  <si>
    <t>[SETPLATE] Setplate #4 Left Dimm Check  recognition failed.</t>
  </si>
  <si>
    <t>[SETPLATE] Setplate #4 Right Dimm Check  recognition failed.</t>
  </si>
  <si>
    <t>[SETPLATE] Setplate #5 Left Dimm Check  recognition failed.</t>
  </si>
  <si>
    <t>[SETPLATE] Setplate #5 Right Dimm Check  recognition failed.</t>
  </si>
  <si>
    <t>[SETPLATE] Set Plate Cylinder #1 Up  operation failed.</t>
  </si>
  <si>
    <t>[SETPLATE] Set Plate Cylinder #2 Up  operation failed.</t>
  </si>
  <si>
    <t>[SETPLATE] Set Plate Cylinder #3 Up  operation failed.</t>
  </si>
  <si>
    <t>[SETPLATE] Set Plate Cylinder #4 Up  operation failed.</t>
  </si>
  <si>
    <t>[SETPLATE] Set Plate Cylinder #5 Up  operation failed.</t>
  </si>
  <si>
    <t>[SETPLATE] Set-Plate #1 C-tray Grip Sol  operation failed.</t>
  </si>
  <si>
    <t>[SETPLATE] Set-Plate #2 C-tray Grip Sol  operation failed.</t>
  </si>
  <si>
    <t>[SETPLATE] Set-Plate #3 C-tray Grip Sol  operation failed.</t>
  </si>
  <si>
    <t>[SETPLATE] Set-Plate #4 C-tray Grip Sol  operation failed.</t>
  </si>
  <si>
    <t>[SETPLATE] Set-Plate #5 C-tray Grip Sol  operation failed.</t>
  </si>
  <si>
    <t>[SETPLATE] Set Plate #1 Support Cylinder Lock/Unlock Sol  operation failed.</t>
  </si>
  <si>
    <t>[SETPLATE] Set Plate #2 Support Cylinder Lock/Unlock Sol  operation failed.</t>
  </si>
  <si>
    <t>[SETPLATE] Set Plate #3 Support Cylinder Lock/Unlock Sol  operation failed.</t>
  </si>
  <si>
    <t>[SETPLATE] Set Plate #4 Support Cylinder Lock/Unlock Sol  operation failed.</t>
  </si>
  <si>
    <t>[SETPLATE] Set Plate #5 Support Cylinder Lock/Unlock Sol  operation failed.</t>
  </si>
  <si>
    <t>[LOAD TRAY FLOW] Loader Tray Flow Up #1 Sensor  Sensor detected.</t>
  </si>
  <si>
    <t>[LOAD TRAY FLOW] Loader Tray Flow Down #1 Sensor  Sensor detected.</t>
  </si>
  <si>
    <t>[LOAD TRAY FLOW] Loader Tray Flow Left T-Tray Insert Open Sensor  Sensor detected.</t>
  </si>
  <si>
    <t>[LOAD TRAY FLOW] Loader Tray Flow Left T-Tray Insert Close Sensor  Sensor detected.</t>
  </si>
  <si>
    <t>[LOAD TRAY FLOW] Loader Tray Flow Right T-Tray Insert Open Sensor  Sensor detected.</t>
  </si>
  <si>
    <t>[LOAD TRAY FLOW] Loader Tray Flow Right T-Tray Insert Close Sensor  Sensor detected.</t>
  </si>
  <si>
    <t>[LOAD TRAY FLOW] Loader Tray Flow Left Micro Dimm Up Sensor #1  Sensor detected.</t>
  </si>
  <si>
    <t>[LOAD TRAY FLOW] Loader Tray Flow Left Micro Dimm Down Sensor #1  Sensor detected.</t>
  </si>
  <si>
    <t>[LOAD TRAY FLOW] Loader Tray Flow Left Micro Dimm Up Sensor #2  Sensor detected.</t>
  </si>
  <si>
    <t>[LOAD TRAY FLOW] Loader Tray Flow Left Micro Dimm Down Sensor #2  Sensor detected.</t>
  </si>
  <si>
    <t>[LOAD TRAY FLOW] Loader Tray Flow Right Micro Dimm Up Sensor #1  Sensor detected.</t>
  </si>
  <si>
    <t>[LOAD TRAY FLOW] Loader Tray Flow Right Micro Dimm Down Sensor #1  Sensor detected.</t>
  </si>
  <si>
    <t>[LOAD TRAY FLOW] Loader Tray Flow Right Micro Dimm Up Sensor #2  Sensor detected.</t>
  </si>
  <si>
    <t>[LOAD TRAY FLOW] Loader Tray Flow Right Micro Dimm Down Sensor #2  Sensor detected.</t>
  </si>
  <si>
    <t>[LOAD TRAY FLOW] Loader Tray Flow Up #2 Sensor  Sensor detected.</t>
  </si>
  <si>
    <t>[LOAD TRAY FLOW] Loader Tray Flow Down #2 Sensor  Sensor detected.</t>
  </si>
  <si>
    <t>[LOAD TRAY FLOW] Loader Tray Flow Tray Upper Check  Sensor detected.</t>
  </si>
  <si>
    <t>[LOAD TRAY FLOW] Loader Tray Flow Tray Middle Check  Sensor detected.</t>
  </si>
  <si>
    <t>[LOAD TRAY FLOW] Loader Tray Flow Tray Lower Check  Sensor detected.</t>
  </si>
  <si>
    <t>[LOAD TRAY FLOW] Loader Tray Flow Insert Bottom Check #1  Sensor detected.</t>
  </si>
  <si>
    <t>[LOAD TRAY FLOW] Loader Tray Flow Insert Bottom Check #2  Sensor detected.</t>
  </si>
  <si>
    <t>[LOAD TRAY FLOW] Loader Tray Flow Insert Bottom Check #3  Sensor detected.</t>
  </si>
  <si>
    <t>[LOAD TRAY FLOW] Loader Tray Flow Insert Bottom Check #4  Sensor detected.</t>
  </si>
  <si>
    <t>[LOAD TRAY FLOW] Loader Tray Flow Roller For Sensor #1  Sensor detected.</t>
  </si>
  <si>
    <t>[LOAD TRAY FLOW] Loader Tray Flow Roller Back Sensor #1  Sensor detected.</t>
  </si>
  <si>
    <t>[LOAD TRAY FLOW] Loader Tray Flow Roller For Sensor #2  Sensor detected.</t>
  </si>
  <si>
    <t>[LOAD TRAY FLOW] Loader Tray Flow Roller Back Sensor #2  Sensor detected.</t>
  </si>
  <si>
    <t>[LOAD TRAY FLOW] Loader Tray Flow Roller For Sensor #3  Sensor detected.</t>
  </si>
  <si>
    <t>[LOAD TRAY FLOW] Loader Tray Flow Roller Back Sensor #3  Sensor detected.</t>
  </si>
  <si>
    <t>[LOAD TRAY FLOW] Loader Tray Flow Roller For Sensor #4  Sensor detected.</t>
  </si>
  <si>
    <t>[LOAD TRAY FLOW] Loader Tray Flow Roller Back Sensor #4  Sensor detected.</t>
  </si>
  <si>
    <t>[LOAD TRAY FLOW] Loader Tray Flow Tray Guide Long Dimm Position Check #1-1  Sensor detected.</t>
  </si>
  <si>
    <t>[LOAD TRAY FLOW] Loader Tray Flow Tray Guide Short Dimm Position Check #1-1  Sensor detected.</t>
  </si>
  <si>
    <t>[LOAD TRAY FLOW] Loader Tray Flow Tray Guide Mini Dimm Position Check #1-1  Sensor detected.</t>
  </si>
  <si>
    <t>[LOAD TRAY FLOW] Loader Tray Flow Tray Guide Long Dimm Position Check #1-2  Sensor detected.</t>
  </si>
  <si>
    <t>[LOAD TRAY FLOW] Loader Tray Flow Tray Guide Short Dimm Position Check #1-2  Sensor detected.</t>
  </si>
  <si>
    <t>[LOAD TRAY FLOW] Loader Tray Flow Tray Guide Mini Dimm Position Check #1-2  Sensor detected.</t>
  </si>
  <si>
    <t>[LOAD TRAY FLOW] Loader Tray Flow Tray Guide Long Dimm Position Check #2-1  Sensor detected.</t>
  </si>
  <si>
    <t>[LOAD TRAY FLOW] Loader Tray Flow Tray Guide Short Dimm Position Check #2-1  Sensor detected.</t>
  </si>
  <si>
    <t>[LOAD TRAY FLOW] Loader Tray Flow Tray Guide Mini Dimm Position Check #2-1  Sensor detected.</t>
  </si>
  <si>
    <t>[LOAD TRAY FLOW] Loader Tray Flow Tray Guide Long Dimm Position Check #2-2  Sensor detected.</t>
  </si>
  <si>
    <t>[LOAD TRAY FLOW] Loader Tray Flow Tray Guide Short Dimm Position Check #2-2  Sensor detected.</t>
  </si>
  <si>
    <t>[LOAD TRAY FLOW] Loader Tray Flow Tray Guide Mini Dimm Position Check #2-2  Sensor detected.</t>
  </si>
  <si>
    <t>[LOAD TRAY FLOW] Loader Tray Flow Up #1 Sensor  recognition failed.</t>
  </si>
  <si>
    <t>[LOAD TRAY FLOW] Loader Tray Flow Down #1 Sensor  recognition failed.</t>
  </si>
  <si>
    <t>[LOAD TRAY FLOW] Loader Tray Flow Left T-Tray Insert Open Sensor  recognition failed.</t>
  </si>
  <si>
    <t>[LOAD TRAY FLOW] Loader Tray Flow Left T-Tray Insert Close Sensor  recognition failed.</t>
  </si>
  <si>
    <t>[LOAD TRAY FLOW] Loader Tray Flow Right T-Tray Insert Open Sensor  recognition failed.</t>
  </si>
  <si>
    <t>[LOAD TRAY FLOW] Loader Tray Flow Right T-Tray Insert Close Sensor  recognition failed.</t>
  </si>
  <si>
    <t>[LOAD TRAY FLOW] Loader Tray Flow Left Micro Dimm Up Sensor #1  recognition failed.</t>
  </si>
  <si>
    <t>[LOAD TRAY FLOW] Loader Tray Flow Left Micro Dimm Down Sensor #1  recognition failed.</t>
  </si>
  <si>
    <t>[LOAD TRAY FLOW] Loader Tray Flow Left Micro Dimm Up Sensor #2  recognition failed.</t>
  </si>
  <si>
    <t>[LOAD TRAY FLOW] Loader Tray Flow Left Micro Dimm Down Sensor #2  recognition failed.</t>
  </si>
  <si>
    <t>[LOAD TRAY FLOW] Loader Tray Flow Right Micro Dimm Up Sensor #1  recognition failed.</t>
  </si>
  <si>
    <t>[LOAD TRAY FLOW] Loader Tray Flow Right Micro Dimm Down Sensor #1  recognition failed.</t>
  </si>
  <si>
    <t>[LOAD TRAY FLOW] Loader Tray Flow Right Micro Dimm Up Sensor #2  recognition failed.</t>
  </si>
  <si>
    <t>[LOAD TRAY FLOW] Loader Tray Flow Right Micro Dimm Down Sensor #2  recognition failed.</t>
  </si>
  <si>
    <t>[LOAD TRAY FLOW] Loader Tray Flow Up #2 Sensor  recognition failed.</t>
  </si>
  <si>
    <t>[LOAD TRAY FLOW] Loader Tray Flow Down #2 Sensor  recognition failed.</t>
  </si>
  <si>
    <t>[LOAD TRAY FLOW] Loader Tray Flow Tray Upper Check  recognition failed.</t>
  </si>
  <si>
    <t>[LOAD TRAY FLOW] Loader Tray Flow Tray Middle Check  recognition failed.</t>
  </si>
  <si>
    <t>[LOAD TRAY FLOW] Loader Tray Flow Tray Lower Check  recognition failed.</t>
  </si>
  <si>
    <t>[LOAD TRAY FLOW] Loader Tray Flow Insert Bottom Check #1  recognition failed.</t>
  </si>
  <si>
    <t>[LOAD TRAY FLOW] Loader Tray Flow Insert Bottom Check #2  recognition failed.</t>
  </si>
  <si>
    <t>[LOAD TRAY FLOW] Loader Tray Flow Insert Bottom Check #3  recognition failed.</t>
  </si>
  <si>
    <t>[LOAD TRAY FLOW] Loader Tray Flow Insert Bottom Check #4  recognition failed.</t>
  </si>
  <si>
    <t>[LOAD TRAY FLOW] Loader Tray Flow Roller For Sensor #1  recognition failed.</t>
  </si>
  <si>
    <t>[LOAD TRAY FLOW] Loader Tray Flow Roller Back Sensor #1  recognition failed.</t>
  </si>
  <si>
    <t>[LOAD TRAY FLOW] Loader Tray Flow Roller For Sensor #2  recognition failed.</t>
  </si>
  <si>
    <t>[LOAD TRAY FLOW] Loader Tray Flow Roller Back Sensor #2  recognition failed.</t>
  </si>
  <si>
    <t>[LOAD TRAY FLOW] Loader Tray Flow Roller For Sensor #3  recognition failed.</t>
  </si>
  <si>
    <t>[LOAD TRAY FLOW] Loader Tray Flow Roller Back Sensor #3  recognition failed.</t>
  </si>
  <si>
    <t>[LOAD TRAY FLOW] Loader Tray Flow Roller For Sensor #4  recognition failed.</t>
  </si>
  <si>
    <t>[LOAD TRAY FLOW] Loader Tray Flow Roller Back Sensor #4  recognition failed.</t>
  </si>
  <si>
    <t>[LOAD TRAY FLOW] Loader Tray Flow Tray Guide Long Dimm Position Check #1-1  recognition failed.</t>
  </si>
  <si>
    <t>[LOAD TRAY FLOW] Loader Tray Flow Tray Guide Short Dimm Position Check #1-1  recognition failed.</t>
  </si>
  <si>
    <t>[LOAD TRAY FLOW] Loader Tray Flow Tray Guide Mini Dimm Position Check #1-1  recognition failed.</t>
  </si>
  <si>
    <t>[LOAD TRAY FLOW] Loader Tray Flow Tray Guide Long Dimm Position Check #1-2  recognition failed.</t>
  </si>
  <si>
    <t>[LOAD TRAY FLOW] Loader Tray Flow Tray Guide Short Dimm Position Check #1-2  recognition failed.</t>
  </si>
  <si>
    <t>[LOAD TRAY FLOW] Loader Tray Flow Tray Guide Mini Dimm Position Check #1-2  recognition failed.</t>
  </si>
  <si>
    <t>[LOAD TRAY FLOW] Loader Tray Flow Tray Guide Long Dimm Position Check #2-1  recognition failed.</t>
  </si>
  <si>
    <t>[LOAD TRAY FLOW] Loader Tray Flow Tray Guide Short Dimm Position Check #2-1  recognition failed.</t>
  </si>
  <si>
    <t>[LOAD TRAY FLOW] Loader Tray Flow Tray Guide Mini Dimm Position Check #2-1  recognition failed.</t>
  </si>
  <si>
    <t>[LOAD TRAY FLOW] Loader Tray Flow Tray Guide Long Dimm Position Check #2-2  recognition failed.</t>
  </si>
  <si>
    <t>[LOAD TRAY FLOW] Loader Tray Flow Tray Guide Short Dimm Position Check #2-2  recognition failed.</t>
  </si>
  <si>
    <t>[LOAD TRAY FLOW] Loader Tray Flow Tray Guide Mini Dimm Position Check #2-2  recognition failed.</t>
  </si>
  <si>
    <t>[TRAY FLOW]Loader tray flow insert bottom check #3 recognition failed.</t>
  </si>
  <si>
    <t>[TRAY FLOW]Loader tray flow insert bottom check #1 recognition failed.</t>
  </si>
  <si>
    <t>[LOAD TRAY FLOW] Loader Tray Flow Up Sol  operation failed.</t>
  </si>
  <si>
    <t>[LOAD TRAY FLOW] Loader Tray Flow Left T-Tray Insert Open Sol  operation failed.</t>
  </si>
  <si>
    <t>[LOAD TRAY FLOW] Loader Tray Flow Right T-Tray Insert Open Sol  operation failed.</t>
  </si>
  <si>
    <t>[LOAD TRAY FLOW] Loader Tray Flow Left Micro Dimm Up Sol  operation failed.</t>
  </si>
  <si>
    <t>[LOAD TRAY FLOW] Loader Tray Flow Right Micro Dimm Up Sol  operation failed.</t>
  </si>
  <si>
    <t>[LOAD TRAY FLOW] Loader Tray Flow Left Dimm Change For Sol  operation failed.</t>
  </si>
  <si>
    <t>[LOAD TRAY FLOW] Loader Tray Flow Right Dimm Change For Sol  operation failed.</t>
  </si>
  <si>
    <t>[LOAD TRAY FLOW] Loader Tray Flow Roller For Sol  operation failed.</t>
  </si>
  <si>
    <t>[BUFFER TRAY FLOW] Buffer Tray Flow Feeder #1 For Sensor  Sensor detected.</t>
  </si>
  <si>
    <t>[BUFFER TRAY FLOW] Buffer Tray Flow Feeder #1 Back Sensor  Sensor detected.</t>
  </si>
  <si>
    <t>[BUFFER TRAY FLOW] Buffer Tray Flow Stopper Open Sensor #1  Sensor detected.</t>
  </si>
  <si>
    <t>[BUFFER TRAY FLOW] Buffer Tray Flow Stopper Close Sensor #1  Sensor detected.</t>
  </si>
  <si>
    <t>[BUFFER TRAY FLOW] Buffer Tray Flow Stopper Open Sensor #2  Sensor detected.</t>
  </si>
  <si>
    <t>[BUFFER TRAY FLOW] Buffer Tray Flow Stopper Close Sensor #2  Sensor detected.</t>
  </si>
  <si>
    <t>[BUFFER TRAY FLOW] Buffer Tray Flow Tray Arrival Check #1  Sensor detected.</t>
  </si>
  <si>
    <t>[BUFFER TRAY FLOW] Buffer Tray Flow Feeder #2 Up Sensor  Sensor detected.</t>
  </si>
  <si>
    <t>[BUFFER TRAY FLOW] Buffer Tray Flow Feeder #2 Down Sensor  Sensor detected.</t>
  </si>
  <si>
    <t>[BUFFER TRAY FLOW] Buffer Tray Flow Feeder #2 For Sensor  Sensor detected.</t>
  </si>
  <si>
    <t>[BUFFER TRAY FLOW] Buffer Tray Flow Feeder #2 Back Sensor  Sensor detected.</t>
  </si>
  <si>
    <t>[BUFFER TRAY FLOW] Moving Buffer Tray Empty Check  Sensor detected.</t>
  </si>
  <si>
    <t>[BUFFER TRAY FLOW] Fix Buffer Tray Empty Check  Sensor detected.</t>
  </si>
  <si>
    <t>[BUFFER TRAY FLOW] Buffer Tray Flow Tray Arrival Check #2  Sensor detected.</t>
  </si>
  <si>
    <t>[BUFFER TRAY FLOW] Buffer Tray Flow Tray Module Empty Check #1  Sensor detected.</t>
  </si>
  <si>
    <t>[BUFFER TRAY FLOW] Buffer Tray Flow Tray Module Empty Check #2  Sensor detected.</t>
  </si>
  <si>
    <t>[BUFFER TRAY FLOW] Buffer Tray Flow Feeder #1 For Sensor  recognition failed.</t>
  </si>
  <si>
    <t>[BUFFER TRAY FLOW] Buffer Tray Flow Feeder #1 Back Sensor  recognition failed.</t>
  </si>
  <si>
    <t>[BUFFER TRAY FLOW] Buffer Tray Flow Stopper Open Sensor #1  recognition failed.</t>
  </si>
  <si>
    <t>[BUFFER TRAY FLOW] Buffer Tray Flow Stopper Close Sensor #1  recognition failed.</t>
  </si>
  <si>
    <t>[BUFFER TRAY FLOW] Buffer Tray Flow Stopper Open Sensor #2  recognition failed.</t>
  </si>
  <si>
    <t>[BUFFER TRAY FLOW] Buffer Tray Flow Stopper Close Sensor #2  recognition failed.</t>
  </si>
  <si>
    <t>[BUFFER TRAY FLOW] Buffer Tray Flow Tray Arrival Check #1  recognition failed.</t>
  </si>
  <si>
    <t>[BUFFER TRAY FLOW] Buffer Tray Flow Feeder #2 Up Sensor  recognition failed.</t>
  </si>
  <si>
    <t>[BUFFER TRAY FLOW] Buffer Tray Flow Feeder #2 Down Sensor  recognition failed.</t>
  </si>
  <si>
    <t>[BUFFER TRAY FLOW] Buffer Tray Flow Feeder #2 For Sensor  recognition failed.</t>
  </si>
  <si>
    <t>[BUFFER TRAY FLOW] Buffer Tray Flow Feeder #2 Back Sensor  recognition failed.</t>
  </si>
  <si>
    <t>[BUFFER TRAY FLOW] Moving Buffer Tray Empty Check  recognition failed.</t>
  </si>
  <si>
    <t>[BUFFER TRAY FLOW] Fix Buffer Tray Empty Check  recognition failed.</t>
  </si>
  <si>
    <t>[BUFFER TRAY FLOW] Buffer Tray Flow Tray Arrival Check #2  recognition failed.</t>
  </si>
  <si>
    <t>[BUFFER TRAY FLOW] Buffer Tray Flow Tray Module Empty Check #1  recognition failed.</t>
  </si>
  <si>
    <t>[BUFFER TRAY FLOW] Buffer Tray Flow Tray Module Empty Check #2  recognition failed.</t>
  </si>
  <si>
    <t>[BUFFER TRAY FLOW] Buffer Tray Flow Feeder #1 For Sol  operation failed.</t>
  </si>
  <si>
    <t>[BUFFER TRAY FLOW] Buffer Tray Flow Stopper Open  operation failed.</t>
  </si>
  <si>
    <t>[BUFFER TRAY FLOW] Buffer Tray Flow Feeder #2 Up Sol  operation failed.</t>
  </si>
  <si>
    <t>[BUFFER TRAY FLOW] Buffer Tray Flow Feeder #2 For Sol  operation failed.</t>
  </si>
  <si>
    <t xml:space="preserve">[BUFFER TRAY FLOW] It was exist module in the test tray. </t>
  </si>
  <si>
    <t>[UNLOAD TRAY FLOW] Unloader Tray Flow Up Sensor #1  Sensor detected.</t>
  </si>
  <si>
    <t>[UNLOAD TRAY FLOW] Unloader Tray Flow Down Sensor #1  Sensor detected.</t>
  </si>
  <si>
    <t>[UNLOAD TRAY FLOW] Unloader Tray Flow Left T-Tray Insert Open Sensor  Sensor detected.</t>
  </si>
  <si>
    <t>[UNLOAD TRAY FLOW] Unloader Tray Flow Left T-Tray Insert Close Sensor  Sensor detected.</t>
  </si>
  <si>
    <t>[UNLOAD TRAY FLOW] Unloader Tray Flow Right T-Tray Insert Open Sensor  Sensor detected.</t>
  </si>
  <si>
    <t>[UNLOAD TRAY FLOW] Unloader Tray Flow Right T-Tray Insert Close Sensor  Sensor detected.</t>
  </si>
  <si>
    <t>[UNLOAD TRAY FLOW] Unloader Tray Flow Left Micro Dimm Up Sensor #1  Sensor detected.</t>
  </si>
  <si>
    <t>[UNLOAD TRAY FLOW] Unloader Tray Flow Left Micro Dimm Down Sensor #1  Sensor detected.</t>
  </si>
  <si>
    <t>[UNLOAD TRAY FLOW] Unloader Tray Flow Left Micro Dimm Up Sensor #2  Sensor detected.</t>
  </si>
  <si>
    <t>[UNLOAD TRAY FLOW] Unloader Tray Flow Left Micro Dimm Down Sensor #2  Sensor detected.</t>
  </si>
  <si>
    <t>[UNLOAD TRAY FLOW] Unloader Tray Flow Right Micro Dimm Up Sensor #1  Sensor detected.</t>
  </si>
  <si>
    <t>[UNLOAD TRAY FLOW] Unloader Tray Flow Right Micro Dimm Down Sensor #1  Sensor detected.</t>
  </si>
  <si>
    <t>[UNLOAD TRAY FLOW] Unloader Tray Flow Right Micro Dimm Up Sensor #2  Sensor detected.</t>
  </si>
  <si>
    <t>[UNLOAD TRAY FLOW] Unloader Tray Flow Right Micro Dimm Down Sensor #2  Sensor detected.</t>
  </si>
  <si>
    <t>[UNLOAD TRAY FLOW] Unloader Tray Flow Up Sensor #2  Sensor detected.</t>
  </si>
  <si>
    <t>[UNLOAD TRAY FLOW] Unloader Tray Flow Down Sensor #2  Sensor detected.</t>
  </si>
  <si>
    <t>[UNLOAD TRAY FLOW] Unloader Tray Flow Tray Upper Check  Sensor detected.</t>
  </si>
  <si>
    <t>[UNLOAD TRAY FLOW] Unloader Tray Flow Tray Middle Check  Sensor detected.</t>
  </si>
  <si>
    <t>[UNLOAD TRAY FLOW] Unloader Tray Flow Tray Lower Check  Sensor detected.</t>
  </si>
  <si>
    <t>[UNLOAD TRAY FLOW] Unloader Tray Flow Roller For Sensor #1  Sensor detected.</t>
  </si>
  <si>
    <t>[UNLOAD TRAY FLOW] Unloader Tray Flow Roller Back Sensor #1  Sensor detected.</t>
  </si>
  <si>
    <t>[UNLOAD TRAY FLOW] Unloader Tray Flow Roller For Sensor #2  Sensor detected.</t>
  </si>
  <si>
    <t>[UNLOAD TRAY FLOW] Unloader Tray Flow Roller Back Sensor #2  Sensor detected.</t>
  </si>
  <si>
    <t>[UNLOAD TRAY FLOW] Unloader Tray Flow Roller For Sensor #3  Sensor detected.</t>
  </si>
  <si>
    <t>[UNLOAD TRAY FLOW] Unloader Tray Flow Roller Back Sensor #3  Sensor detected.</t>
  </si>
  <si>
    <t>[UNLOAD TRAY FLOW] Unloader Tray Flow Roller For Sensor #4  Sensor detected.</t>
  </si>
  <si>
    <t>[UNLOAD TRAY FLOW] Unloader Tray Flow Roller Back Sensor #4  Sensor detected.</t>
  </si>
  <si>
    <t>[UNLOAD TRAY FLOW] Unloader Tray Flow Tray Guide Long Dimm Position Check #1-1  Sensor detected.</t>
  </si>
  <si>
    <t>[UNLOAD TRAY FLOW] Unloader Tray Flow Tray Guide Short Dimm Position Check #1-1  Sensor detected.</t>
  </si>
  <si>
    <t>[UNLOAD TRAY FLOW] Unloader Tray Flow Tray Guide Mini Dimm Position Check #1-1  Sensor detected.</t>
  </si>
  <si>
    <t>[UNLOAD TRAY FLOW] Unloader Tray Flow Tray Guide Long Dimm Position Check #1-2  Sensor detected.</t>
  </si>
  <si>
    <t>[UNLOAD TRAY FLOW] Unloader Tray Flow Tray Guide Short Dimm Position Check #1-2  Sensor detected.</t>
  </si>
  <si>
    <t>[UNLOAD TRAY FLOW] Unloader Tray Flow Tray Guide Mini Dimm Position Check #1-2  Sensor detected.</t>
  </si>
  <si>
    <t>[UNLOAD TRAY FLOW] Unloader Tray Flow Tray Guide Long Dimm Position Check #2-1  Sensor detected.</t>
  </si>
  <si>
    <t>[UNLOAD TRAY FLOW] Unloader Tray Flow Tray Guide Short Dimm Position Check #2-1  Sensor detected.</t>
  </si>
  <si>
    <t>[UNLOAD TRAY FLOW] Unloader Tray Flow Tray Guide Mini Dimm Position Check #2-1  Sensor detected.</t>
  </si>
  <si>
    <t>[UNLOAD TRAY FLOW] Unloader Tray Flow Tray Guide Long Dimm Position Check #2-2  Sensor detected.</t>
  </si>
  <si>
    <t>[UNLOAD TRAY FLOW] Unloader Tray Flow Tray Guide Short Dimm Position Check #2-2  Sensor detected.</t>
  </si>
  <si>
    <t>[UNLOAD TRAY FLOW] Unloader Tray Flow Tray Guide Mini Dimm Position Check #2-2  Sensor detected.</t>
  </si>
  <si>
    <t>[UNLOAD TRAY FLOW] Unloader Tray Flow Up Sensor #1  recognition failed.</t>
  </si>
  <si>
    <t>[UNLOAD TRAY FLOW] Unloader Tray Flow Down Sensor #1  recognition failed.</t>
  </si>
  <si>
    <t>[UNLOAD TRAY FLOW] Unloader Tray Flow Left T-Tray Insert Open Sensor  recognition failed.</t>
  </si>
  <si>
    <t>[UNLOAD TRAY FLOW] Unloader Tray Flow Left T-Tray Insert Close Sensor  recognition failed.</t>
  </si>
  <si>
    <t>[UNLOAD TRAY FLOW] Unloader Tray Flow Right T-Tray Insert Open Sensor  recognition failed.</t>
  </si>
  <si>
    <t>[UNLOAD TRAY FLOW] Unloader Tray Flow Right T-Tray Insert Close Sensor  recognition failed.</t>
  </si>
  <si>
    <t>[UNLOAD TRAY FLOW] Unloader Tray Flow Left Micro Dimm Up Sensor #1  recognition failed.</t>
  </si>
  <si>
    <t>[UNLOAD TRAY FLOW] Unloader Tray Flow Left Micro Dimm Down Sensor #1  recognition failed.</t>
  </si>
  <si>
    <t>[UNLOAD TRAY FLOW] Unloader Tray Flow Left Micro Dimm Up Sensor #2  recognition failed.</t>
  </si>
  <si>
    <t>[UNLOAD TRAY FLOW] Unloader Tray Flow Left Micro Dimm Down Sensor #2  recognition failed.</t>
  </si>
  <si>
    <t>[UNLOAD TRAY FLOW] Unloader Tray Flow Right Micro Dimm Up Sensor #1  recognition failed.</t>
  </si>
  <si>
    <t>[UNLOAD TRAY FLOW] Unloader Tray Flow Right Micro Dimm Down Sensor #1  recognition failed.</t>
  </si>
  <si>
    <t>[UNLOAD TRAY FLOW] Unloader Tray Flow Right Micro Dimm Up Sensor #2  recognition failed.</t>
  </si>
  <si>
    <t>[UNLOAD TRAY FLOW] Unloader Tray Flow Right Micro Dimm Down Sensor #2  recognition failed.</t>
  </si>
  <si>
    <t>[UNLOAD TRAY FLOW] Unloader Tray Flow Up Sensor #2  recognition failed.</t>
  </si>
  <si>
    <t>[UNLOAD TRAY FLOW] Unloader Tray Flow Down Sensor #2  recognition failed.</t>
  </si>
  <si>
    <t>[UNLOAD TRAY FLOW] Unloader Tray Flow Tray Upper Check  recognition failed.</t>
  </si>
  <si>
    <t>[UNLOAD TRAY FLOW] Unloader Tray Flow Tray Middle Check  recognition failed.</t>
  </si>
  <si>
    <t>[UNLOAD TRAY FLOW] Unloader Tray Flow Tray Lower Check  recognition failed.</t>
  </si>
  <si>
    <t>[UNLOAD TRAY FLOW] Unloader Tray Flow Roller For Sensor #1  recognition failed.</t>
  </si>
  <si>
    <t>[UNLOAD TRAY FLOW] Unloader Tray Flow Roller Back Sensor #1  recognition failed.</t>
  </si>
  <si>
    <t>[UNLOAD TRAY FLOW] Unloader Tray Flow Roller For Sensor #2  recognition failed.</t>
  </si>
  <si>
    <t>[UNLOAD TRAY FLOW] Unloader Tray Flow Roller Back Sensor #2  recognition failed.</t>
  </si>
  <si>
    <t>[UNLOAD TRAY FLOW] Unloader Tray Flow Roller For Sensor #3  recognition failed.</t>
  </si>
  <si>
    <t>[UNLOAD TRAY FLOW] Unloader Tray Flow Roller Back Sensor #3  recognition failed.</t>
  </si>
  <si>
    <t>[UNLOAD TRAY FLOW] Unloader Tray Flow Roller For Sensor #4  recognition failed.</t>
  </si>
  <si>
    <t>[UNLOAD TRAY FLOW] Unloader Tray Flow Roller Back Sensor #4  recognition failed.</t>
  </si>
  <si>
    <t>[UNLOAD TRAY FLOW] Unloader Tray Flow Tray Guide Long Dimm Position Check #1-1  recognition failed.</t>
  </si>
  <si>
    <t>[UNLOAD TRAY FLOW] Unloader Tray Flow Tray Guide Short Dimm Position Check #1-1  recognition failed.</t>
  </si>
  <si>
    <t>[UNLOAD TRAY FLOW] Unloader Tray Flow Tray Guide Mini Dimm Position Check #1-1  recognition failed.</t>
  </si>
  <si>
    <t>[UNLOAD TRAY FLOW] Unloader Tray Flow Tray Guide Long Dimm Position Check #1-2  recognition failed.</t>
  </si>
  <si>
    <t>[UNLOAD TRAY FLOW] Unloader Tray Flow Tray Guide Short Dimm Position Check #1-2  recognition failed.</t>
  </si>
  <si>
    <t>[UNLOAD TRAY FLOW] Unloader Tray Flow Tray Guide Mini Dimm Position Check #1-2  recognition failed.</t>
  </si>
  <si>
    <t>[UNLOAD TRAY FLOW] Unloader Tray Flow Tray Guide Long Dimm Position Check #2-1  recognition failed.</t>
  </si>
  <si>
    <t>[UNLOAD TRAY FLOW] Unloader Tray Flow Tray Guide Short Dimm Position Check #2-1  recognition failed.</t>
  </si>
  <si>
    <t>[UNLOAD TRAY FLOW] Unloader Tray Flow Tray Guide Mini Dimm Position Check #2-1  recognition failed.</t>
  </si>
  <si>
    <t>[UNLOAD TRAY FLOW] Unloader Tray Flow Tray Guide Long Dimm Position Check #2-2  recognition failed.</t>
  </si>
  <si>
    <t>[UNLOAD TRAY FLOW] Unloader Tray Flow Tray Guide Short Dimm Position Check #2-2  recognition failed.</t>
  </si>
  <si>
    <t>[UNLOAD TRAY FLOW] Unloader Tray Flow Tray Guide Mini Dimm Position Check #2-2  recognition failed.</t>
  </si>
  <si>
    <t>[UNLOAD TRAY FLOW] Unloader Tray Flow Up Sol  operation failed.</t>
  </si>
  <si>
    <t>[UNLOAD TRAY FLOW] Unloader Tray Flow Left T-Tray Insert Open Sol  operation failed.</t>
  </si>
  <si>
    <t>[UNLOAD TRAY FLOW] Unloader Tray Flow Right T-Tray Insert Open Sol  operation failed.</t>
  </si>
  <si>
    <t>[UNLOAD TRAY FLOW] Unloader Tray Flow Left Micro Dimm Up Sol  operation failed.</t>
  </si>
  <si>
    <t>[UNLOAD TRAY FLOW] Unloader Tray Flow Right Micro Dimm Up Sol  operation failed.</t>
  </si>
  <si>
    <t>[UNLOAD TRAY FLOW] Unloader Tray Flow Left Dimm Change For Sol  operation failed.</t>
  </si>
  <si>
    <t>[UNLOAD TRAY FLOW] Unloader Tray Flow Right Dimm Change For Sol  operation failed.</t>
  </si>
  <si>
    <t>[UNLOAD TRAY FLOW] Unloader Tray Flow Roller For Sol  operation failed.</t>
  </si>
  <si>
    <t>[UNLOAD TRAY FLOW] The test tray id Data was not received!. (Time out)</t>
  </si>
  <si>
    <t>[UNLOAD TRAY FLOW] The test tray id data is difficult.</t>
  </si>
  <si>
    <t>[UNLOAD TRAY FLOW] The test tray id data is not format.</t>
  </si>
  <si>
    <t>[UNLOAD TRAY FLOW] There is the same test tray id.</t>
  </si>
  <si>
    <t>[LOAD HAND] Loader Picker Module #1 Up Sensor  Sensor detected.</t>
  </si>
  <si>
    <t>[LOAD HAND] Loader Picker Module #1 Down Sensor  Sensor detected.</t>
  </si>
  <si>
    <t>[LOAD HAND] Loader Picker Module #2 Up Sensor  Sensor detected.</t>
  </si>
  <si>
    <t>[LOAD HAND] Loader Picker Module #2 Down Sensor  Sensor detected.</t>
  </si>
  <si>
    <t>[LOAD HAND] Loader Picker Module #3 Up Sensor  Sensor detected.</t>
  </si>
  <si>
    <t>[LOAD HAND] Loader Picker Module #3 Down Sensor  Sensor detected.</t>
  </si>
  <si>
    <t>[LOAD HAND] Loader Picker Module #4 Up Sensor  Sensor detected.</t>
  </si>
  <si>
    <t>[LOAD HAND] Loader Picker Module #4 Down Sensor  Sensor detected.</t>
  </si>
  <si>
    <t>[LOAD HAND] Loader Picker Module #5 Up Sensor  Sensor detected.</t>
  </si>
  <si>
    <t>[LOAD HAND] Loader Picker Module #5 Down Sensor  Sensor detected.</t>
  </si>
  <si>
    <t>[LOAD HAND] Loader Picker Module #6 Up Sensor  Sensor detected.</t>
  </si>
  <si>
    <t>[LOAD HAND] Loader Picker Module #6 Down Sensor  Sensor detected.</t>
  </si>
  <si>
    <t>[LOAD HAND] Loader Picker Module #7 Up Sensor  Sensor detected.</t>
  </si>
  <si>
    <t>[LOAD HAND] Loader Picker Module #7 Down Sensor  Sensor detected.</t>
  </si>
  <si>
    <t>[LOAD HAND] Loader Picker Module #8 Up Sensor  Sensor detected.</t>
  </si>
  <si>
    <t>[LOAD HAND] Loader Picker Module #8 Down Sensor  Sensor detected.</t>
  </si>
  <si>
    <t>[LOAD HAND] Loader Picker Module Existence Check #1  Sensor detected.</t>
  </si>
  <si>
    <t>[LOAD HAND] Loader Picker Module Existence Check #2  Sensor detected.</t>
  </si>
  <si>
    <t>[LOAD HAND] Loader Picker Module Existence Check #3  Sensor detected.</t>
  </si>
  <si>
    <t>[LOAD HAND] Loader Picker Module Existence Check #4  Sensor detected.</t>
  </si>
  <si>
    <t>[LOAD HAND] Loader Picker Module Existence Check #5  Sensor detected.</t>
  </si>
  <si>
    <t>[LOAD HAND] Loader Picker Module Existence Check #6  Sensor detected.</t>
  </si>
  <si>
    <t>[LOAD HAND] Loader Picker Module Existence Check #7  Sensor detected.</t>
  </si>
  <si>
    <t>[LOAD HAND] Loader Picker Module Existence Check #8  Sensor detected.</t>
  </si>
  <si>
    <t>[LOAD HAND] Loader Hand Pitch Wide Sensor #1  Sensor detected.</t>
  </si>
  <si>
    <t>[LOAD HAND] Loader Hand Pitch Narrow Sensor #1  Sensor detected.</t>
  </si>
  <si>
    <t>[LOAD HAND] Loader Hand Pitch Wide Sensor #2  Sensor detected.</t>
  </si>
  <si>
    <t>[LOAD HAND] Loader Hand Pitch Narrow Sensor #2  Sensor detected.</t>
  </si>
  <si>
    <t>[LOAD HAND] Loader Picker Module #1 Up Sensor  recognition failed.</t>
  </si>
  <si>
    <t>[LOAD HAND] Loader Picker Module #1 Down Sensor  recognition failed.</t>
  </si>
  <si>
    <t>[LOAD HAND] Loader Picker Module #2 Up Sensor  recognition failed.</t>
  </si>
  <si>
    <t>[LOAD HAND] Loader Picker Module #2 Down Sensor  recognition failed.</t>
  </si>
  <si>
    <t>[LOAD HAND] Loader Picker Module #3 Up Sensor  recognition failed.</t>
  </si>
  <si>
    <t>[LOAD HAND] Loader Picker Module #3 Down Sensor  recognition failed.</t>
  </si>
  <si>
    <t>[LOAD HAND] Loader Picker Module #4 Up Sensor  recognition failed.</t>
  </si>
  <si>
    <t>[LOAD HAND] Loader Picker Module #4 Down Sensor  recognition failed.</t>
  </si>
  <si>
    <t>[LOAD HAND] Loader Picker Module #5 Up Sensor  recognition failed.</t>
  </si>
  <si>
    <t>[LOAD HAND] Loader Picker Module #5 Down Sensor  recognition failed.</t>
  </si>
  <si>
    <t>[LOAD HAND] Loader Picker Module #6 Up Sensor  recognition failed.</t>
  </si>
  <si>
    <t>[LOAD HAND] Loader Picker Module #6 Down Sensor  recognition failed.</t>
  </si>
  <si>
    <t>[LOAD HAND] Loader Picker Module #7 Up Sensor  recognition failed.</t>
  </si>
  <si>
    <t>[LOAD HAND] Loader Picker Module #7 Down Sensor  recognition failed.</t>
  </si>
  <si>
    <t>[LOAD HAND] Loader Picker Module #8 Up Sensor  recognition failed.</t>
  </si>
  <si>
    <t>[LOAD HAND] Loader Picker Module #8 Down Sensor  recognition failed.</t>
  </si>
  <si>
    <t>[LOAD HAND] Loader Picker Module Existence Check #1  recognition failed.</t>
  </si>
  <si>
    <t>[LOAD HAND] Loader Picker Module Existence Check #2  recognition failed.</t>
  </si>
  <si>
    <t>[LOAD HAND] Loader Picker Module Existence Check #3  recognition failed.</t>
  </si>
  <si>
    <t>[LOAD HAND] Loader Picker Module Existence Check #4  recognition failed.</t>
  </si>
  <si>
    <t>[LOAD HAND] Loader Picker Module Existence Check #5  recognition failed.</t>
  </si>
  <si>
    <t>[LOAD HAND] Loader Picker Module Existence Check #6  recognition failed.</t>
  </si>
  <si>
    <t>[LOAD HAND] Loader Picker Module Existence Check #7  recognition failed.</t>
  </si>
  <si>
    <t>[LOAD HAND] Loader Picker Module Existence Check #8  recognition failed.</t>
  </si>
  <si>
    <t>[LOAD HAND] Loader Hand Pitch Wide Sensor #1  recognition failed.</t>
  </si>
  <si>
    <t>[LOAD HAND] Loader Hand Pitch Narrow Sensor #1  recognition failed.</t>
  </si>
  <si>
    <t>[LOAD HAND] Loader Hand Pitch Wide Sensor #2  recognition failed.</t>
  </si>
  <si>
    <t>[LOAD HAND] Loader Hand Pitch Narrow Sensor #2  recognition failed.</t>
  </si>
  <si>
    <t>[LOAD HAND] Load Picker Module Clamp Cylinder #1  operation failed.</t>
  </si>
  <si>
    <t>[LOAD HAND] Load Picker Module Clamp Cylinder #2  operation failed.</t>
  </si>
  <si>
    <t>[LOAD HAND] Load Picker Module Clamp Cylinder #3  operation failed.</t>
  </si>
  <si>
    <t>[LOAD HAND] Load Picker Module Clamp Cylinder #4  operation failed.</t>
  </si>
  <si>
    <t>[LOAD HAND] Load Picker Module Clamp Cylinder #5  operation failed.</t>
  </si>
  <si>
    <t>[LOAD HAND] Load Picker Module Clamp Cylinder #6  operation failed.</t>
  </si>
  <si>
    <t>[LOAD HAND] Load Picker Module Clamp Cylinder #7  operation failed.</t>
  </si>
  <si>
    <t>[LOAD HAND] Load Picker Module Clamp Cylinder #8  operation failed.</t>
  </si>
  <si>
    <t>[LOAD HAND] Loader Hand Pitch Cylinder Wide  operation failed.</t>
  </si>
  <si>
    <t>[LOAD HAND] Module detected on Load Hand.</t>
  </si>
  <si>
    <t>[LOAD HAND]  Hand Module information is different.</t>
  </si>
  <si>
    <t>[LOAD HAND] Hand Module is not. Check the Exist Sensor.</t>
  </si>
  <si>
    <t>[LOAD HAND] Hand Module is exist. Check the Exist Sensor.</t>
  </si>
  <si>
    <t>Barcode data does not match.</t>
  </si>
  <si>
    <t>[UNLOAD HAND] Unloader Picker Module #1 Up Sensor  Sensor detected.</t>
  </si>
  <si>
    <t>[UNLOAD HAND] Unloader Picker Module #1 Down Sensor  Sensor detected.</t>
  </si>
  <si>
    <t>[UNLOAD HAND] Unloader Picker Module #2 Up Sensor  Sensor detected.</t>
  </si>
  <si>
    <t>[UNLOAD HAND] Unloader Picker Module #2 Down Sensor  Sensor detected.</t>
  </si>
  <si>
    <t>[UNLOAD HAND] Unloader Picker Module #3 Up Sensor  Sensor detected.</t>
  </si>
  <si>
    <t>[UNLOAD HAND] Unloader Picker Module #3 Down Sensor  Sensor detected.</t>
  </si>
  <si>
    <t>[UNLOAD HAND] Unloader Picker Module #4 Up Sensor  Sensor detected.</t>
  </si>
  <si>
    <t>[UNLOAD HAND] Unloader Picker Module #4 Down Sensor  Sensor detected.</t>
  </si>
  <si>
    <t>[UNLOAD HAND] Unloader Picker Module #5 Up Sensor  Sensor detected.</t>
  </si>
  <si>
    <t>[UNLOAD HAND] Unloader Picker Module #5 Down Sensor  Sensor detected.</t>
  </si>
  <si>
    <t>[UNLOAD HAND] Unloader Picker Module #6 Up Sensor  Sensor detected.</t>
  </si>
  <si>
    <t>[UNLOAD HAND] Unloader Picker Module #6 Down Sensor  Sensor detected.</t>
  </si>
  <si>
    <t>[UNLOAD HAND] Unloader Picker Module #7 Up Sensor  Sensor detected.</t>
  </si>
  <si>
    <t>[UNLOAD HAND] Unloader Picker Module #7 Down Sensor  Sensor detected.</t>
  </si>
  <si>
    <t>[UNLOAD HAND] Unloader Picker Module #8 Up Sensor  Sensor detected.</t>
  </si>
  <si>
    <t>[UNLOAD HAND] Unloader Picker Module #8 Down Sensor  Sensor detected.</t>
  </si>
  <si>
    <t>[UNLOAD HAND] Unloader Picker Module Existence Check #1  Sensor detected.</t>
  </si>
  <si>
    <t>[UNLOAD HAND] Unloader Picker Module Existence Check #2  Sensor detected.</t>
  </si>
  <si>
    <t>[UNLOAD HAND] Unloader Picker Module Existence Check #3  Sensor detected.</t>
  </si>
  <si>
    <t>[UNLOAD HAND] Unloader Picker Module Existence Check #4  Sensor detected.</t>
  </si>
  <si>
    <t>[UNLOAD HAND] Unloader Picker Module Existence Check #5  Sensor detected.</t>
  </si>
  <si>
    <t>[UNLOAD HAND] Unloader Picker Module Existence Check #6  Sensor detected.</t>
  </si>
  <si>
    <t>[UNLOAD HAND] Unloader Picker Module Existence Check #7  Sensor detected.</t>
  </si>
  <si>
    <t>[UNLOAD HAND] Unloader Picker Module Existence Check #8  Sensor detected.</t>
  </si>
  <si>
    <t>[UNLOAD HAND] Unloader Hand Pitch Wide Sensor #1  Sensor detected.</t>
  </si>
  <si>
    <t>[UNLOAD HAND] Unloader Hand Pitch Narrow Sensor #1  Sensor detected.</t>
  </si>
  <si>
    <t>[UNLOAD HAND] Unloader Hand Pitch Wide Sensor #2  Sensor detected.</t>
  </si>
  <si>
    <t>[UNLOAD HAND] Unloader Hand Pitch Narrow Sensor #2  Sensor detected.</t>
  </si>
  <si>
    <t>[UNLOAD HAND] Unloader Picker Module #1 Up Sensor  recognition failed.</t>
  </si>
  <si>
    <t>[UNLOAD HAND] Unloader Picker Module #1 Down Sensor  recognition failed.</t>
  </si>
  <si>
    <t>[UNLOAD HAND] Unloader Picker Module #2 Up Sensor  recognition failed.</t>
  </si>
  <si>
    <t>[UNLOAD HAND] Unloader Picker Module #2 Down Sensor  recognition failed.</t>
  </si>
  <si>
    <t>[UNLOAD HAND] Unloader Picker Module #3 Up Sensor  recognition failed.</t>
  </si>
  <si>
    <t>[UNLOAD HAND] Unloader Picker Module #3 Down Sensor  recognition failed.</t>
  </si>
  <si>
    <t>[UNLOAD HAND] Unloader Picker Module #4 Up Sensor  recognition failed.</t>
  </si>
  <si>
    <t>[UNLOAD HAND] Unloader Picker Module #4 Down Sensor  recognition failed.</t>
  </si>
  <si>
    <t>[UNLOAD HAND] Unloader Picker Module #5 Up Sensor  recognition failed.</t>
  </si>
  <si>
    <t>[UNLOAD HAND] Unloader Picker Module #5 Down Sensor  recognition failed.</t>
  </si>
  <si>
    <t>[UNLOAD HAND] Unloader Picker Module #6 Up Sensor  recognition failed.</t>
  </si>
  <si>
    <t>[UNLOAD HAND] Unloader Picker Module #6 Down Sensor  recognition failed.</t>
  </si>
  <si>
    <t>[UNLOAD HAND] Unloader Picker Module #7 Up Sensor  recognition failed.</t>
  </si>
  <si>
    <t>[UNLOAD HAND] Unloader Picker Module #7 Down Sensor  recognition failed.</t>
  </si>
  <si>
    <t>[UNLOAD HAND] Unloader Picker Module #8 Up Sensor  recognition failed.</t>
  </si>
  <si>
    <t>[UNLOAD HAND] Unloader Picker Module #8 Down Sensor  recognition failed.</t>
  </si>
  <si>
    <t>[UNLOAD HAND] Unloader Picker Module Existence Check #1  recognition failed.</t>
  </si>
  <si>
    <t>[UNLOAD HAND] Unloader Picker Module Existence Check #2  recognition failed.</t>
  </si>
  <si>
    <t>[UNLOAD HAND] Unloader Picker Module Existence Check #3  recognition failed.</t>
  </si>
  <si>
    <t>[UNLOAD HAND] Unloader Picker Module Existence Check #4  recognition failed.</t>
  </si>
  <si>
    <t>[UNLOAD HAND] Unloader Picker Module Existence Check #5  recognition failed.</t>
  </si>
  <si>
    <t>[UNLOAD HAND] Unloader Picker Module Existence Check #6  recognition failed.</t>
  </si>
  <si>
    <t>[UNLOAD HAND] Unloader Picker Module Existence Check #7  recognition failed.</t>
  </si>
  <si>
    <t>[UNLOAD HAND] Unloader Picker Module Existence Check #8  recognition failed.</t>
  </si>
  <si>
    <t>[UNLOAD HAND] Unloader Hand Pitch Wide Sensor #1  recognition failed.</t>
  </si>
  <si>
    <t>[UNLOAD HAND] Unloader Hand Pitch Narrow Sensor #1  recognition failed.</t>
  </si>
  <si>
    <t>[UNLOAD HAND] Unloader Hand Pitch Wide Sensor #2  recognition failed.</t>
  </si>
  <si>
    <t>[UNLOAD HAND] Unloader Hand Pitch Narrow Sensor #2  recognition failed.</t>
  </si>
  <si>
    <t>[UNLOAD HAND] Unload Picker Module Cylinder #1 Up  operation failed.</t>
  </si>
  <si>
    <t>[UNLOAD HAND] Unload Picker Module Cylinder #2 Up  operation failed.</t>
  </si>
  <si>
    <t>[UNLOAD HAND] Unload Picker Module Cylinder #3 Up  operation failed.</t>
  </si>
  <si>
    <t>[UNLOAD HAND] Unload Picker Module Cylinder #4 Up  operation failed.</t>
  </si>
  <si>
    <t>[UNLOAD HAND] Unload Picker Module Cylinder #5 Up  operation failed.</t>
  </si>
  <si>
    <t>[UNLOAD HAND] Unload Picker Module Cylinder #6 Up  operation failed.</t>
  </si>
  <si>
    <t>[UNLOAD HAND] Unload Picker Module Cylinder #7 Up  operation failed.</t>
  </si>
  <si>
    <t>[UNLOAD HAND] Unload Picker Module Cylinder #8 Up  operation failed.</t>
  </si>
  <si>
    <t>[UNLOAD HAND] Unload Picker Module Clamp Cylinder #1  operation failed.</t>
  </si>
  <si>
    <t>[UNLOAD HAND] Unload Picker Module Clamp Cylinder #2  operation failed.</t>
  </si>
  <si>
    <t>[UNLOAD HAND] Unload Picker Module Clamp Cylinder #3  operation failed.</t>
  </si>
  <si>
    <t>[UNLOAD HAND] Unload Picker Module Clamp Cylinder #4  operation failed.</t>
  </si>
  <si>
    <t>[UNLOAD HAND] Unload Picker Module Clamp Cylinder #5  operation failed.</t>
  </si>
  <si>
    <t>[UNLOAD HAND] Unload Picker Module Clamp Cylinder #6  operation failed.</t>
  </si>
  <si>
    <t>[UNLOAD HAND] Unload Picker Module Clamp Cylinder #7  operation failed.</t>
  </si>
  <si>
    <t>[UNLOAD HAND] Unload Picker Module Clamp Cylinder #8  operation failed.</t>
  </si>
  <si>
    <t>[UNLOAD HAND] Unloader Hand Pitch Cylinder Wide  operation failed.</t>
  </si>
  <si>
    <t>[UNLOAD HAND] Module detected on Unload Hand.</t>
  </si>
  <si>
    <t>[UNLOAD HAND] Hand Module is not. Check the Exist Sensor.</t>
  </si>
  <si>
    <t>[UNLOAD HAND] Hand Module is exist. Check the Exist Sensor.</t>
  </si>
  <si>
    <t>[SOAK CHAMBER] Soak#1 Tray Corner Guide Open #1 Sensor  Sensor detected.</t>
  </si>
  <si>
    <t>[SOAK CHAMBER] Soak#1 Tray Corner Guide Close #1 Sensor  Sensor detected.</t>
  </si>
  <si>
    <t>[SOAK CHAMBER] Soak#1 Tray Corner Guide Open #2 Sensor  Sensor detected.</t>
  </si>
  <si>
    <t>[SOAK CHAMBER] Soak#1 Tray Corner Guide Close #2 Sensor  Sensor detected.</t>
  </si>
  <si>
    <t>[SOAK CHAMBER] Soak#1 Tray Corner Guide Open #3 Sensor  Sensor detected.</t>
  </si>
  <si>
    <t>[SOAK CHAMBER] Soak#1 Tray Corner Guide Close #3 Sensor  Sensor detected.</t>
  </si>
  <si>
    <t>[SOAK CHAMBER] Soak#1 Tray Corner Guide Open #4 Sensor  Sensor detected.</t>
  </si>
  <si>
    <t>[SOAK CHAMBER] Soak#1 Tray Corner Guide Close #4 Sensor  Sensor detected.</t>
  </si>
  <si>
    <t>[SOAK CHAMBER] Soak#1 Corner Guide 10mm Up Sensor #1  Sensor detected.</t>
  </si>
  <si>
    <t>[SOAK CHAMBER] Soak#1 Corner Guide 10mm Down Sensor #1   Sensor detected.</t>
  </si>
  <si>
    <t>[SOAK CHAMBER] Soak#1 Corner Guide 101mm Up  Sensor #1  Sensor detected.</t>
  </si>
  <si>
    <t>[SOAK CHAMBER] Soak#1 Corner Guide 101mm Down Sensor #1  Sensor detected.</t>
  </si>
  <si>
    <t>[SOAK CHAMBER] Soak#1 Corner Guide 10mm Up Sensor #2  Sensor detected.</t>
  </si>
  <si>
    <t>[SOAK CHAMBER] Soak#1 Corner Guide 10mm Down Sensor #2  Sensor detected.</t>
  </si>
  <si>
    <t>[SOAK CHAMBER] Soak#1 Corner Guide 101mm Up  Sensor #2  Sensor detected.</t>
  </si>
  <si>
    <t>[SOAK CHAMBER] Soak#1 Corner Guide 101mm Down Sensor #2  Sensor detected.</t>
  </si>
  <si>
    <t>[SOAK CHAMBER] Soak#2 Tray Corner Guide Open #1 Sensor  Sensor detected.</t>
  </si>
  <si>
    <t>[SOAK CHAMBER] Soak#2 Tray Corner Guide Close #1 Sensor  Sensor detected.</t>
  </si>
  <si>
    <t>[SOAK CHAMBER] Soak#2 Tray Corner Guide Open #2 Sensor  Sensor detected.</t>
  </si>
  <si>
    <t>[SOAK CHAMBER] Soak#2 Tray Corner Guide Close #2 Sensor  Sensor detected.</t>
  </si>
  <si>
    <t>[SOAK CHAMBER] Soak#2 Tray Corner Guide Open #3 Sensor  Sensor detected.</t>
  </si>
  <si>
    <t>[SOAK CHAMBER] Soak#2 Tray Corner Guide Close #3 Sensor  Sensor detected.</t>
  </si>
  <si>
    <t>[SOAK CHAMBER] Soak#2 Tray Corner Guide Open #4 Sensor  Sensor detected.</t>
  </si>
  <si>
    <t>[SOAK CHAMBER] Soak#2 Tray Corner Guide Close #4 Sensor  Sensor detected.</t>
  </si>
  <si>
    <t>[SOAK CHAMBER] Soak#2 Corner Guide 10mm Up Sensor #1  Sensor detected.</t>
  </si>
  <si>
    <t>[SOAK CHAMBER] Soak#2 Corner Guide 10mm Down Sensor #1   Sensor detected.</t>
  </si>
  <si>
    <t>[SOAK CHAMBER] Soak#2 Corner Guide 101mm Up  Sensor #1  Sensor detected.</t>
  </si>
  <si>
    <t>[SOAK CHAMBER] Soak#2 Corner Guide 101mm Down Sensor #1  Sensor detected.</t>
  </si>
  <si>
    <t>[SOAK CHAMBER] Soak#2 Corner Guide 10mm Up Sensor #2  Sensor detected.</t>
  </si>
  <si>
    <t>[SOAK CHAMBER] Soak#2 Corner Guide 10mm Down Sensor #2  Sensor detected.</t>
  </si>
  <si>
    <t>[SOAK CHAMBER] Soak#2 Corner Guide 101mm Up  Sensor #2  Sensor detected.</t>
  </si>
  <si>
    <t>[SOAK CHAMBER] Soak#2 Corner Guide 101mm Down Sensor #2  Sensor detected.</t>
  </si>
  <si>
    <t>[SOAK CHAMBER] Soak Shutter Lock Sensor  Sensor detected.</t>
  </si>
  <si>
    <t>[SOAK CHAMBER] Soak Shutter Unlock Sensor  Sensor detected.</t>
  </si>
  <si>
    <t>[SOAK CHAMBER] Soak Top Feeder Up #1  Sensor detected.</t>
  </si>
  <si>
    <t>[SOAK CHAMBER] Soak Top Feeder Down #1  Sensor detected.</t>
  </si>
  <si>
    <t>[SOAK CHAMBER] Soak Top Feeder Up #2  Sensor detected.</t>
  </si>
  <si>
    <t>[SOAK CHAMBER] Soak Top Feeder Down #2  Sensor detected.</t>
  </si>
  <si>
    <t>[SOAK CHAMBER] Soak #1 Tray Pusher Forward Check #1  Sensor detected.</t>
  </si>
  <si>
    <t>[SOAK CHAMBER] Soak #1 Tray Pusher Backward Check #1  Sensor detected.</t>
  </si>
  <si>
    <t>[SOAK CHAMBER] Soak #1 Tray Pusher Forward Check #2  Sensor detected.</t>
  </si>
  <si>
    <t>[SOAK CHAMBER] Soak #1 Tray Pusher Backward Check #2  Sensor detected.</t>
  </si>
  <si>
    <t>[SOAK CHAMBER] Soak #2 Tray Pusher Forward Check #1  Sensor detected.</t>
  </si>
  <si>
    <t>[SOAK CHAMBER] Soak #2 Tray Pusher Backward Check #1  Sensor detected.</t>
  </si>
  <si>
    <t>[SOAK CHAMBER] Soak #2 Tray Pusher Forward Check #2  Sensor detected.</t>
  </si>
  <si>
    <t>[SOAK CHAMBER] Soak #2 Tray Pusher Backward Check #2  Sensor detected.</t>
  </si>
  <si>
    <t>[SOAK CHAMBER] Soak #1 Tray Push Position Check  Sensor detected.</t>
  </si>
  <si>
    <t>[SOAK CHAMBER] Soak #1 Upper Check  Sensor detected.</t>
  </si>
  <si>
    <t>[SOAK CHAMBER] Soak #1 Middle Check  Sensor detected.</t>
  </si>
  <si>
    <t>[SOAK CHAMBER] Soak #1 Lower Check  Sensor detected.</t>
  </si>
  <si>
    <t>[SOAK CHAMBER] Soak#1 Tray Middle Guide Open #1 Sensor  Sensor detected.</t>
  </si>
  <si>
    <t>[SOAK CHAMBER] Soak#1 Tray Middle Guide Close #1 Sensor  Sensor detected.</t>
  </si>
  <si>
    <t>[SOAK CHAMBER] Soak#1 Tray Middle Guide Open #2 Sensor  Sensor detected.</t>
  </si>
  <si>
    <t>[SOAK CHAMBER] Soak#1 Tray Middle Guide Close #2 Sensor  Sensor detected.</t>
  </si>
  <si>
    <t>[SOAK CHAMBER] Soak#1 Tray Upper Guide Open #1 Sensor  Sensor detected.</t>
  </si>
  <si>
    <t>[SOAK CHAMBER] Soak#1 Tray Upper Guide Close #1 Sensor  Sensor detected.</t>
  </si>
  <si>
    <t>[SOAK CHAMBER] Soak#1 Tray Upper Guide Open #2 Sensor  Sensor detected.</t>
  </si>
  <si>
    <t>[SOAK CHAMBER] Soak#1 Tray Upper Guide Close #2 Sensor  Sensor detected.</t>
  </si>
  <si>
    <t>[SOAK CHAMBER] Soak#1 Tray Stopper Close Sensor  Sensor detected.</t>
  </si>
  <si>
    <t>[SOAK CHAMBER] Soak #2 Middle Check  Sensor detected.</t>
  </si>
  <si>
    <t>[SOAK CHAMBER] Soak #2 Lower Check  Sensor detected.</t>
  </si>
  <si>
    <t>[SOAK CHAMBER] Soak#2 Tray Middle Guide Open #1 Sensor  Sensor detected.</t>
  </si>
  <si>
    <t>[SOAK CHAMBER] Soak#2 Tray Middle Guide Close #1 Sensor  Sensor detected.</t>
  </si>
  <si>
    <t>[SOAK CHAMBER] Soak#2 Tray Middle Guide Open #2 Sensor  Sensor detected.</t>
  </si>
  <si>
    <t>[SOAK CHAMBER] Soak#2 Tray Middle Guide Close #2 Sensor  Sensor detected.</t>
  </si>
  <si>
    <t>[SOAK CHAMBER] Soak#2 Tray Upper Guide Open #1 Sensor  Sensor detected.</t>
  </si>
  <si>
    <t>[SOAK CHAMBER] Soak#2 Tray Upper Guide Close #1 Sensor  Sensor detected.</t>
  </si>
  <si>
    <t>[SOAK CHAMBER] Soak#2 Tray Upper Guide Open #2 Sensor  Sensor detected.</t>
  </si>
  <si>
    <t>[SOAK CHAMBER] Soak#2 Tray Upper Guide Close #2 Sensor  Sensor detected.</t>
  </si>
  <si>
    <t>[SOAK CHAMBER] Soak #2 Tray Stopper Close Sensor  Sensor detected.</t>
  </si>
  <si>
    <t>[SOAK CHAMBER] Soak #1 Bottom Feeder Up Sensor  Sensor detected.</t>
  </si>
  <si>
    <t>[SOAK CHAMBER] Soak #1 Bottom Feeder Down Sensor  Sensor detected.</t>
  </si>
  <si>
    <t>[SOAK CHAMBER] Soak #2 Bottom Feeder Up Sensor  Sensor detected.</t>
  </si>
  <si>
    <t>[SOAK CHAMBER] Soak #2 Bottom Feeder Down Sensor  Sensor detected.</t>
  </si>
  <si>
    <t>[SOAK CHAMBER] Soak Chamber Side Safety Door Lock #1  Sensor detected.</t>
  </si>
  <si>
    <t>[SOAK CHAMBER] Soak Chamber Side Safety Door Lock #2  Sensor detected.</t>
  </si>
  <si>
    <t>[SOAK CHAMBER] Soak Chamber Rear Safety Door Lock  Sensor detected.</t>
  </si>
  <si>
    <t>[SOAK CHAMBER] Soak#1 Tray Corner Guide Open #1 Sensor  recognition failed.</t>
  </si>
  <si>
    <t>[SOAK CHAMBER] Soak#1 Tray Corner Guide Close #1 Sensor  recognition failed.</t>
  </si>
  <si>
    <t>[SOAK CHAMBER] Soak#1 Tray Corner Guide Open #2 Sensor  recognition failed.</t>
  </si>
  <si>
    <t>[SOAK CHAMBER] Soak#1 Tray Corner Guide Close #2 Sensor  recognition failed.</t>
  </si>
  <si>
    <t>[SOAK CHAMBER] Soak#1 Tray Corner Guide Open #3 Sensor  recognition failed.</t>
  </si>
  <si>
    <t>[SOAK CHAMBER] Soak#1 Tray Corner Guide Close #3 Sensor  recognition failed.</t>
  </si>
  <si>
    <t>[SOAK CHAMBER] Soak#1 Tray Corner Guide Open #4 Sensor  recognition failed.</t>
  </si>
  <si>
    <t>[SOAK CHAMBER] Soak#1 Tray Corner Guide Close #4 Sensor  recognition failed.</t>
  </si>
  <si>
    <t>[SOAK CHAMBER] Soak#1 Corner Guide 10mm Up Sensor #1  recognition failed.</t>
  </si>
  <si>
    <t>[SOAK CHAMBER] Soak#1 Corner Guide 10mm Down Sensor #1   recognition failed.</t>
  </si>
  <si>
    <t>[SOAK CHAMBER] Soak#1 Corner Guide 101mm Up  Sensor #1  recognition failed.</t>
  </si>
  <si>
    <t>[SOAK CHAMBER] Soak#1 Corner Guide 101mm Down Sensor #1  recognition failed.</t>
  </si>
  <si>
    <t>[SOAK CHAMBER] Soak#1 Corner Guide 10mm Up Sensor #2  recognition failed.</t>
  </si>
  <si>
    <t>[SOAK CHAMBER] Soak#1 Corner Guide 10mm Down Sensor #2  recognition failed.</t>
  </si>
  <si>
    <t>[SOAK CHAMBER] Soak#1 Corner Guide 101mm Up  Sensor #2  recognition failed.</t>
  </si>
  <si>
    <t>[SOAK CHAMBER] Soak#1 Corner Guide 101mm Down Sensor #2  recognition failed.</t>
  </si>
  <si>
    <t>[SOAK CHAMBER] Soak#2 Tray Corner Guide Open #1 Sensor  recognition failed.</t>
  </si>
  <si>
    <t>[SOAK CHAMBER] Soak#2 Tray Corner Guide Close #1 Sensor  recognition failed.</t>
  </si>
  <si>
    <t>[SOAK CHAMBER] Soak#2 Tray Corner Guide Open #2 Sensor  recognition failed.</t>
  </si>
  <si>
    <t>[SOAK CHAMBER] Soak#2 Tray Corner Guide Close #2 Sensor  recognition failed.</t>
  </si>
  <si>
    <t>[SOAK CHAMBER] Soak#2 Tray Corner Guide Open #3 Sensor  recognition failed.</t>
  </si>
  <si>
    <t>[SOAK CHAMBER] Soak#2 Tray Corner Guide Close #3 Sensor  recognition failed.</t>
  </si>
  <si>
    <t>[SOAK CHAMBER] Soak#2 Tray Corner Guide Open #4 Sensor  recognition failed.</t>
  </si>
  <si>
    <t>[SOAK CHAMBER] Soak#2 Tray Corner Guide Close #4 Sensor  recognition failed.</t>
  </si>
  <si>
    <t>[SOAK CHAMBER] Soak#2 Corner Guide 10mm Up Sensor #1  recognition failed.</t>
  </si>
  <si>
    <t>[SOAK CHAMBER] Soak#2 Corner Guide 10mm Down Sensor #1   recognition failed.</t>
  </si>
  <si>
    <t>[SOAK CHAMBER] Soak#2 Corner Guide 101mm Up  Sensor #1  recognition failed.</t>
  </si>
  <si>
    <t>[SOAK CHAMBER] Soak#2 Corner Guide 101mm Down Sensor #1  recognition failed.</t>
  </si>
  <si>
    <t>[SOAK CHAMBER] Soak#2 Corner Guide 10mm Up Sensor #2  recognition failed.</t>
  </si>
  <si>
    <t>[SOAK CHAMBER] Soak#2 Corner Guide 10mm Down Sensor #2  recognition failed.</t>
  </si>
  <si>
    <t>[SOAK CHAMBER] Soak#2 Corner Guide 101mm Up  Sensor #2  recognition failed.</t>
  </si>
  <si>
    <t>[SOAK CHAMBER] Soak#2 Corner Guide 101mm Down Sensor #2  recognition failed.</t>
  </si>
  <si>
    <t>[SOAK CHAMBER] Soak Shutter Lock Sensor  recognition failed.</t>
  </si>
  <si>
    <t>[SOAK CHAMBER] Soak Shutter Unlock Sensor  recognition failed.</t>
  </si>
  <si>
    <t>[SOAK CHAMBER] Soak Top Feeder Up #1  recognition failed.</t>
  </si>
  <si>
    <t>[SOAK CHAMBER] Soak Top Feeder Down #1  recognition failed.</t>
  </si>
  <si>
    <t>[SOAK CHAMBER] Soak Top Feeder Up #2  recognition failed.</t>
  </si>
  <si>
    <t>[SOAK CHAMBER] Soak Top Feeder Down #2  recognition failed.</t>
  </si>
  <si>
    <t>[SOAK CHAMBER] Soak #1 Tray Pusher Forward Check #1  recognition failed.</t>
  </si>
  <si>
    <t>[SOAK CHAMBER] Soak #1 Tray Pusher Backward Check #1  recognition failed.</t>
  </si>
  <si>
    <t>[SOAK CHAMBER] Soak #1 Tray Pusher Forward Check #2  recognition failed.</t>
  </si>
  <si>
    <t>[SOAK CHAMBER] Soak #1 Tray Pusher Backward Check #2  recognition failed.</t>
  </si>
  <si>
    <t>[SOAK CHAMBER] Soak #2 Tray Pusher Forward Check #1  recognition failed.</t>
  </si>
  <si>
    <t>[SOAK CHAMBER] Soak #2 Tray Pusher Backward Check #1  recognition failed.</t>
  </si>
  <si>
    <t>[SOAK CHAMBER] Soak #2 Tray Pusher Forward Check #2  recognition failed.</t>
  </si>
  <si>
    <t>[SOAK CHAMBER] Soak #2 Tray Pusher Backward Check #2  recognition failed.</t>
  </si>
  <si>
    <t>[SOAK CHAMBER] Soak #1 Tray Push Position Check  recognition failed.</t>
  </si>
  <si>
    <t>[SOAK CHAMBER] Soak #1 Upper Check  recognition failed.</t>
  </si>
  <si>
    <t>[SOAK CHAMBER] Soak #1 Middle Check  recognition failed.</t>
  </si>
  <si>
    <t>[SOAK CHAMBER] Soak #1 Lower Check  recognition failed.</t>
  </si>
  <si>
    <t>[SOAK CHAMBER] Soak#1 Tray Middle Guide Open #1 Sensor  recognition failed.</t>
  </si>
  <si>
    <t>[SOAK CHAMBER] Soak#1 Tray Middle Guide Close #1 Sensor  recognition failed.</t>
  </si>
  <si>
    <t>[SOAK CHAMBER] Soak#1 Tray Middle Guide Open #2 Sensor  recognition failed.</t>
  </si>
  <si>
    <t>[SOAK CHAMBER] Soak#1 Tray Middle Guide Close #2 Sensor  recognition failed.</t>
  </si>
  <si>
    <t>[SOAK CHAMBER] Soak#1 Tray Upper Guide Open #1 Sensor  recognition failed.</t>
  </si>
  <si>
    <t>[SOAK CHAMBER] Soak#1 Tray Upper Guide Close #1 Sensor  recognition failed.</t>
  </si>
  <si>
    <t>[SOAK CHAMBER] Soak#1 Tray Upper Guide Open #2 Sensor  recognition failed.</t>
  </si>
  <si>
    <t>[SOAK CHAMBER] Soak#1 Tray Upper Guide Close #2 Sensor  recognition failed.</t>
  </si>
  <si>
    <t>[SOAK CHAMBER] Soak#1 Tray Stopper Close Sensor  recognition failed.</t>
  </si>
  <si>
    <t>[SOAK CHAMBER] Soak #2 Tray Push Position Check  recognition failed.</t>
  </si>
  <si>
    <t>[SOAK CHAMBER] Soak #2 Upper Check  recognition failed.</t>
  </si>
  <si>
    <t>[SOAK CHAMBER] Soak #2 Middle Check  recognition failed.</t>
  </si>
  <si>
    <t>[SOAK CHAMBER] Soak #2 Lower Check  recognition failed.</t>
  </si>
  <si>
    <t>[SOAK CHAMBER] Soak#2 Tray Middle Guide Open #1 Sensor  recognition failed.</t>
  </si>
  <si>
    <t>[SOAK CHAMBER] Soak#2 Tray Middle Guide Close #1 Sensor  recognition failed.</t>
  </si>
  <si>
    <t>[SOAK CHAMBER] Soak#2 Tray Middle Guide Open #2 Sensor  recognition failed.</t>
  </si>
  <si>
    <t>[SOAK CHAMBER] Soak#2 Tray Middle Guide Close #2 Sensor  recognition failed.</t>
  </si>
  <si>
    <t>[SOAK CHAMBER] Soak#2 Tray Upper Guide Open #1 Sensor  recognition failed.</t>
  </si>
  <si>
    <t>[SOAK CHAMBER] Soak#2 Tray Upper Guide Close #1 Sensor  recognition failed.</t>
  </si>
  <si>
    <t>[SOAK CHAMBER] Soak#2 Tray Upper Guide Open #2 Sensor  recognition failed.</t>
  </si>
  <si>
    <t>[SOAK CHAMBER] Soak#2 Tray Upper Guide Close #2 Sensor  recognition failed.</t>
  </si>
  <si>
    <t>[SOAK CHAMBER] Soak #2 Tray Stopper Close Sensor  recognition failed.</t>
  </si>
  <si>
    <t>[SOAK CHAMBER] Soak #1 Bottom Feeder Up Sensor  recognition failed.</t>
  </si>
  <si>
    <t>[SOAK CHAMBER] Soak #1 Bottom Feeder Down Sensor  recognition failed.</t>
  </si>
  <si>
    <t>[SOAK CHAMBER] Soak #2 Bottom Feeder Up Sensor  recognition failed.</t>
  </si>
  <si>
    <t>[SOAK CHAMBER] Soak #2 Bottom Feeder Down Sensor  recognition failed.</t>
  </si>
  <si>
    <t>[SOAK CHAMBER] Soak Chamber Side Safety Door Lock #1  recognition failed.</t>
  </si>
  <si>
    <t>[SOAK CHAMBER] Soak Chamber Side Safety Door Lock #2  recognition failed.</t>
  </si>
  <si>
    <t>[SOAK CHAMBER] Soak Chamber Rear Safety Door Lock  recognition failed.</t>
  </si>
  <si>
    <t>[SOAK CHAMBER] Soak Top Feeder Up  operation failed.</t>
  </si>
  <si>
    <t>[SOAK CHAMBER] Soak Shutter Open  operation failed.</t>
  </si>
  <si>
    <t>[SOAK CHAMBER] Soak Shutter Lock  operation failed.</t>
  </si>
  <si>
    <t>[SOAK CHAMBER] Soak#1 Tray Upper Guide Open  operation failed.</t>
  </si>
  <si>
    <t>[SOAK CHAMBER] Soak#1 Tray Middle Guide Open  operation failed.</t>
  </si>
  <si>
    <t>[SOAK CHAMBER] Soak#1 Tray Corner Guide Open  operation failed.</t>
  </si>
  <si>
    <t>[SOAK CHAMBER] Soak#1 Tray Pusher For  operation failed.</t>
  </si>
  <si>
    <t>[SOAK CHAMBER] Soak#1 Bottom Feeder Up  operation failed.</t>
  </si>
  <si>
    <t>[SOAK CHAMBER] Soak#1 Stopper Open  operation failed.</t>
  </si>
  <si>
    <t>[SOAK CHAMBER] Soak#1 Tray Corner Guide 10mm Up  operation failed.</t>
  </si>
  <si>
    <t>[SOAK CHAMBER] Soak#1 Tray Corner Guide 101mm Up  operation failed.</t>
  </si>
  <si>
    <t>[SOAK CHAMBER] Soak#2 Tray Upper Guide Open  operation failed.</t>
  </si>
  <si>
    <t>[SOAK CHAMBER] Soak#2 Tray Middle Guide Open  operation failed.</t>
  </si>
  <si>
    <t>[SOAK CHAMBER] Soak#2 Tray Corner Guide Open  operation failed.</t>
  </si>
  <si>
    <t>[SOAK CHAMBER] Soak#2 Tray Pusher For  operation failed.</t>
  </si>
  <si>
    <t>[SOAK CHAMBER] Soak#2 Bottom Feeder Up  operation failed.</t>
  </si>
  <si>
    <t>[SOAK CHAMBER] Soak#2 Stopper Open  operation failed.</t>
  </si>
  <si>
    <t>[SOAK CHAMBER] Soak#2 Tray Corner Guide 10mm Up  operation failed.</t>
  </si>
  <si>
    <t>[SOAK CHAMBER] Soak#2 Tray Corner Guide 101mm Up  operation failed.</t>
  </si>
  <si>
    <t>[TEST CHAMBER] Test Site #1 Middle Door Open Check  Sensor detected.</t>
  </si>
  <si>
    <t>[TEST CHAMBER] Test Site #1 Middle Door Close Check  Sensor detected.</t>
  </si>
  <si>
    <t>[TEST CHAMBER] Test Site #1 Middle Door Lock Check  Sensor detected.</t>
  </si>
  <si>
    <t>[TEST CHAMBER] Test Site #1 Middle Door Unlock Check  Sensor detected.</t>
  </si>
  <si>
    <t>[TEST CHAMBER] Test Site #2 Middle Door Open Check  Sensor detected.</t>
  </si>
  <si>
    <t>[TEST CHAMBER] Test Site #2 Middle Door Close Check  Sensor detected.</t>
  </si>
  <si>
    <t>[TEST CHAMBER] Test Site #2 Middle Door Lock Check  Sensor detected.</t>
  </si>
  <si>
    <t>[TEST CHAMBER] Test Site #2 Middle Door Unlock Check  Sensor detected.</t>
  </si>
  <si>
    <t>[TEST CHAMBER] Test Site#1 Tray Position Check #1  Sensor detected.</t>
  </si>
  <si>
    <t>[TEST CHAMBER] Test Site#1 Tray Position Check #2  Sensor detected.</t>
  </si>
  <si>
    <t>[TEST CHAMBER] Test Site For/Back Position Check #1  Sensor detected.</t>
  </si>
  <si>
    <t>[TEST CHAMBER] Test Site For/Back Position Check #2  Sensor detected.</t>
  </si>
  <si>
    <t>[TEST CHAMBER] Test Site For/Back Position Check #3  Sensor detected.</t>
  </si>
  <si>
    <t>[TEST CHAMBER] Test Site#1 M/P Docking Check  Sensor detected.</t>
  </si>
  <si>
    <t>[TEST CHAMBER] Test Site#2 M/P Docking Check  Sensor detected.</t>
  </si>
  <si>
    <t>[TEST CHAMBER] Soak Shutter Open Sensor  Sensor detected.</t>
  </si>
  <si>
    <t>[TEST CHAMBER] Soak Shutter Close Sensor  Sensor detected.</t>
  </si>
  <si>
    <t>[TEST CHAMBER] Test Site#1 Docking #1 Lock Sensor  Sensor detected.</t>
  </si>
  <si>
    <t>[TEST CHAMBER] Test Site#1 Docking #1 Unlock Sensor  Sensor detected.</t>
  </si>
  <si>
    <t>[TEST CHAMBER] Test Site#1 Docking #2 Lock Sensor  Sensor detected.</t>
  </si>
  <si>
    <t>[TEST CHAMBER] Test Site#1 Docking #2 Unlock Sensor  Sensor detected.</t>
  </si>
  <si>
    <t>[TEST CHAMBER] Test Site#2 Docking #1 Lock Sensor  Sensor detected.</t>
  </si>
  <si>
    <t>[TEST CHAMBER] Test Site#2 Docking #1 Unlock Sensor  Sensor detected.</t>
  </si>
  <si>
    <t>[TEST CHAMBER] Test Site#2 Docking #2 Lock Sensor  Sensor detected.</t>
  </si>
  <si>
    <t>[TEST CHAMBER] Test Site#2 Docking #2 Unlock Sensor  Sensor detected.</t>
  </si>
  <si>
    <t>[TEST CHAMBER] Test Site#1 Docking #3 Lock Sensor  Sensor detected.</t>
  </si>
  <si>
    <t>[TEST CHAMBER] Test Site#1 Docking #3 Unlock Sensor  Sensor detected.</t>
  </si>
  <si>
    <t>[TEST CHAMBER] Test Site#1 Docking #4 Lock Sensor  Sensor detected.</t>
  </si>
  <si>
    <t>[TEST CHAMBER] Test Site#1 Docking #4 Unlock Sensor  Sensor detected.</t>
  </si>
  <si>
    <t>[TEST CHAMBER] Test Site#2 Docking #3 Lock Sensor  Sensor detected.</t>
  </si>
  <si>
    <t>[TEST CHAMBER] Test Site#2 Docking #3 Unlock Sensor  Sensor detected.</t>
  </si>
  <si>
    <t>[TEST CHAMBER] Test Site#2 Docking #4 Lock Sensor  Sensor detected.</t>
  </si>
  <si>
    <t>[TEST CHAMBER] Test Site#2 Docking #4 Unlock Sensor  Sensor detected.</t>
  </si>
  <si>
    <t>[TEST CHAMBER] Test Site Rear Safety Safety Door Lock  Sensor detected.</t>
  </si>
  <si>
    <t>[TEST CHAMBER] Test Site #1 Middle Door Open Check  recognition failed.</t>
  </si>
  <si>
    <t>[TEST CHAMBER] Test Site #1 Middle Door Close Check  recognition failed.</t>
  </si>
  <si>
    <t>[TEST CHAMBER] Test Site #1 Middle Door Lock Check  recognition failed.</t>
  </si>
  <si>
    <t>[TEST CHAMBER] Test Site #1 Middle Door Unlock Check  recognition failed.</t>
  </si>
  <si>
    <t>[TEST CHAMBER] Test Site #2 Middle Door Open Check  recognition failed.</t>
  </si>
  <si>
    <t>[TEST CHAMBER] Test Site #2 Middle Door Close Check  recognition failed.</t>
  </si>
  <si>
    <t>[TEST CHAMBER] Test Site #2 Middle Door Lock Check  recognition failed.</t>
  </si>
  <si>
    <t>[TEST CHAMBER] Test Site #2 Middle Door Unlock Check  recognition failed.</t>
  </si>
  <si>
    <t>[TEST CHAMBER] Test Site#1 Tray Position Check #1  recognition failed.</t>
  </si>
  <si>
    <t>[TEST CHAMBER] Test Site#1 Tray Position Check #2  recognition failed.</t>
  </si>
  <si>
    <t>[TEST CHAMBER] Test Site For/Back Position Check #1  recognition failed.</t>
  </si>
  <si>
    <t>[TEST CHAMBER] Test Site For/Back Position Check #2  recognition failed.</t>
  </si>
  <si>
    <t>[TEST CHAMBER] Test Site For/Back Position Check #3  recognition failed.</t>
  </si>
  <si>
    <t>[TEST CHAMBER] Test site #2 Tray position check #2 recocognition failed.</t>
  </si>
  <si>
    <t>[TEST CHAMBER] Test Site#1 M/P Docking Check  recognition failed.</t>
  </si>
  <si>
    <t>[TEST CHAMBER] Test Site#2 M/P Docking Check  recognition failed.</t>
  </si>
  <si>
    <t>[TEST CHAMBER] Soak Shutter Open Sensor  recognition failed.</t>
  </si>
  <si>
    <t>[TEST CHAMBER] Soak Shutter Close Sensor  recognition failed.</t>
  </si>
  <si>
    <t>[TEST CHAMBER] Test Site#1 Docking #1 Lock Sensor  recognition failed.</t>
  </si>
  <si>
    <t>[TEST CHAMBER] Test Site#1 Docking #1 Unlock Sensor  recognition failed.</t>
  </si>
  <si>
    <t>[TEST CHAMBER] Test Site#1 Docking #2 Lock Sensor  recognition failed.</t>
  </si>
  <si>
    <t>[TEST CHAMBER] Test Site#1 Docking #2 Unlock Sensor  recognition failed.</t>
  </si>
  <si>
    <t>[TEST CHAMBER] Test Site#2 Docking #1 Lock Sensor  recognition failed.</t>
  </si>
  <si>
    <t>[TEST CHAMBER] Test Site#2 Docking #1 Unlock Sensor  recognition failed.</t>
  </si>
  <si>
    <t>[TEST CHAMBER] Test Site#2 Docking #2 Lock Sensor  recognition failed.</t>
  </si>
  <si>
    <t>[TEST CHAMBER] Test Site#2 Docking #2 Unlock Sensor  recognition failed.</t>
  </si>
  <si>
    <t>[TEST CHAMBER] Test Site#1 Docking #3 Lock Sensor  recognition failed.</t>
  </si>
  <si>
    <t>[TEST CHAMBER] Test Site#1 Docking #3 Unlock Sensor  recognition failed.</t>
  </si>
  <si>
    <t>[TEST CHAMBER] Test Site#1 Docking #4 Lock Sensor  recognition failed.</t>
  </si>
  <si>
    <t>[TEST CHAMBER] Test Site#1 Docking #4 Unlock Sensor  recognition failed.</t>
  </si>
  <si>
    <t>[TEST CHAMBER] Test Site#2 Docking #3 Lock Sensor  recognition failed.</t>
  </si>
  <si>
    <t>[TEST CHAMBER] Test Site#2 Docking #3 Unlock Sensor  recognition failed.</t>
  </si>
  <si>
    <t>[TEST CHAMBER] Test Site#2 Docking #4 Lock Sensor  recognition failed.</t>
  </si>
  <si>
    <t>[TEST CHAMBER] Test Site#2 Docking #4 Unlock Sensor  recognition failed.</t>
  </si>
  <si>
    <t>[TEST CHAMBER] Test Site Rear Safety Safety Door Lock  recognition failed.</t>
  </si>
  <si>
    <t>[TEST CHAMBER] Test Site #1 Docking Lock  operation failed.</t>
  </si>
  <si>
    <t>[TEST CHAMBER] Test Site #1 Middle Door Open  operation failed.</t>
  </si>
  <si>
    <t>[TEST CHAMBER] Test Site #1 Middle Door Lock  operation failed.</t>
  </si>
  <si>
    <t>[TEST CHAMBER] Test Site #2 Docking Lock  operation failed.</t>
  </si>
  <si>
    <t>[TEST CHAMBER] Test Site #2 Middle Door Open  operation failed.</t>
  </si>
  <si>
    <t>[TEST CHAMBER] Test Site #2 Middle Door Lock  operation failed.</t>
  </si>
  <si>
    <t>[TEST CHAMBER] Test Site Step For  operation failed.</t>
  </si>
  <si>
    <t>[TEST CHAMBER] The TESTER #1 T-tary is not the correct position.</t>
  </si>
  <si>
    <t>[TEST CHAMBER] The TESTER #2 T-tary is not the correct position.</t>
  </si>
  <si>
    <t>[DESOAK CHAMBER] Desoak#1 Tray Corner Guide Open #1 Sensor  Sensor detected.</t>
  </si>
  <si>
    <t>[DESOAK CHAMBER] Desoak#1 Tray Corner Guide Close #1 Sensor  Sensor detected.</t>
  </si>
  <si>
    <t>[DESOAK CHAMBER] Desoak#1 Tray Corner Gudie Open #2 Sensor  Sensor detected.</t>
  </si>
  <si>
    <t>[DESOAK CHAMBER] Desoak#1 Tray Corner Gudie Close #2 Sensor  Sensor detected.</t>
  </si>
  <si>
    <t>[DESOAK CHAMBER] Desoak#1 Tray Corner Gudie Open #3 Sensor  Sensor detected.</t>
  </si>
  <si>
    <t>[DESOAK CHAMBER] Desoak#1 Tray Corner Gudie Close #3 Sensor  Sensor detected.</t>
  </si>
  <si>
    <t>[DESOAK CHAMBER] Desoak#1 Tray Corner Gudie Open #4 Sensor  Sensor detected.</t>
  </si>
  <si>
    <t>[DESOAK CHAMBER] Desoak#1 Tray Corner Gudie Close #4 Sensor  Sensor detected.</t>
  </si>
  <si>
    <t>[DESOAK CHAMBER] Desoak#1 Corner Guide 10mm Up Sensor #1  Sensor detected.</t>
  </si>
  <si>
    <t>[DESOAK CHAMBER] Desoak#1 Corner Guide 10mm Down Sensor #1   Sensor detected.</t>
  </si>
  <si>
    <t>[DESOAK CHAMBER] Desoak#1 Corner Guide 101mm Up  Sensor #1  Sensor detected.</t>
  </si>
  <si>
    <t>[DESOAK CHAMBER] Desoak#1 Corner Guide 101mm Down Sensor #1  Sensor detected.</t>
  </si>
  <si>
    <t>[DESOAK CHAMBER] Desoak#1 Corner Guide 10mm Up Sensor #2  Sensor detected.</t>
  </si>
  <si>
    <t>[DESOAK CHAMBER] Desoak#1 Corner Guide 10mm Down Sensor #2  Sensor detected.</t>
  </si>
  <si>
    <t>[DESOAK CHAMBER] Desoak#1 Corner Guide 101mm Up  Sensor #2  Sensor detected.</t>
  </si>
  <si>
    <t>[DESOAK CHAMBER] Desoak#1 Corner Guide 101mm Down Sensor #2  Sensor detected.</t>
  </si>
  <si>
    <t>[DESOAK CHAMBER] Desoak#2 Tray Corner Guide Open #1 Sensor  Sensor detected.</t>
  </si>
  <si>
    <t>[DESOAK CHAMBER] Desoak#2 Tray Corner Guide Close #1 Sensor  Sensor detected.</t>
  </si>
  <si>
    <t>[DESOAK CHAMBER] Desoak#2 Tray Corner Gudie Open #2 Sensor  Sensor detected.</t>
  </si>
  <si>
    <t>[DESOAK CHAMBER] Desoak#2 Tray Corner Gudie Close #2 Sensor  Sensor detected.</t>
  </si>
  <si>
    <t>[DESOAK CHAMBER] Desoak#2 Tray Corner Gudie Open #3 Sensor  Sensor detected.</t>
  </si>
  <si>
    <t>[DESOAK CHAMBER] Desoak#2 Tray Corner Gudie Close #3 Sensor  Sensor detected.</t>
  </si>
  <si>
    <t>[DESOAK CHAMBER] Desoak#2 Tray Corner Gudie Open #4 Sensor  Sensor detected.</t>
  </si>
  <si>
    <t>[DESOAK CHAMBER] Desoak#2 Tray Corner Gudie Close #4 Sensor  Sensor detected.</t>
  </si>
  <si>
    <t>[DESOAK CHAMBER] Desoak#2 Corner Guide 10mm Up Sensor #1  Sensor detected.</t>
  </si>
  <si>
    <t>[DESOAK CHAMBER] Desoak#2 Corner Guide 10mm Down Sensor #1   Sensor detected.</t>
  </si>
  <si>
    <t>[DESOAK CHAMBER] Desoak#2 Corner Guide 101mm Up  Sensor #1  Sensor detected.</t>
  </si>
  <si>
    <t>[DESOAK CHAMBER] Desoak#2 Corner Guide 101mm Down Sensor #1  Sensor detected.</t>
  </si>
  <si>
    <t>[DESOAK CHAMBER] Desoak#2 Corner Guide 10mm Up Sensor #2  Sensor detected.</t>
  </si>
  <si>
    <t>[DESOAK CHAMBER] Desoak#2 Corner Guide 10mm Down Sensor #2  Sensor detected.</t>
  </si>
  <si>
    <t>[DESOAK CHAMBER] Desoak#2 Corner Guide 101mm Up  Sensor #2  Sensor detected.</t>
  </si>
  <si>
    <t>[DESOAK CHAMBER] Desoak#2 Corner Guide 101mm Down Sensor #2  Sensor detected.</t>
  </si>
  <si>
    <t>[DESOAK CHAMBER] Desoak#1 Tray Upper Guide Open Sensor #1  Sensor detected.</t>
  </si>
  <si>
    <t>[DESOAK CHAMBER] Desoak#1 Tray Upper Guide Close Sensor #1  Sensor detected.</t>
  </si>
  <si>
    <t>[DESOAK CHAMBER] Desoak#1 Tray Upper Guide Open Sensor #2  Sensor detected.</t>
  </si>
  <si>
    <t>[DESOAK CHAMBER] Desoak#1 Tray Upper Guide Close Sensor #2  Sensor detected.</t>
  </si>
  <si>
    <t>[DESOAK CHAMBER] Desoak#1 Tray Middle Guide Open Sensor #1  Sensor detected.</t>
  </si>
  <si>
    <t>[DESOAK CHAMBER] Desoak#1 Tray Middle Guide Close Sensor #1  Sensor detected.</t>
  </si>
  <si>
    <t>[DESOAK CHAMBER] Desoak#1 Tray Middle Guide Open Sensor #2  Sensor detected.</t>
  </si>
  <si>
    <t>[DESOAK CHAMBER] Desoak#1 Tray Middle Guide Close Sensor #2  Sensor detected.</t>
  </si>
  <si>
    <t>[DESOAK CHAMBER] Desoak#2 Tray Upper Guide Open Sensor #1  Sensor detected.</t>
  </si>
  <si>
    <t>[DESOAK CHAMBER] Desoak#2 Tray Upper Guide Close Sensor #1  Sensor detected.</t>
  </si>
  <si>
    <t>[DESOAK CHAMBER] Desoak#2 Tray Upper Guide Open Sensor #2  Sensor detected.</t>
  </si>
  <si>
    <t>[DESOAK CHAMBER] Desoak#2 Tray Upper Guide Close Sensor #2  Sensor detected.</t>
  </si>
  <si>
    <t>[DESOAK CHAMBER] Desoak#2 Tray Middle Guide Open Sensor #1  Sensor detected.</t>
  </si>
  <si>
    <t>[DESOAK CHAMBER] Desoak#2 Tray Middle Guide Close Sensor #1  Sensor detected.</t>
  </si>
  <si>
    <t>[DESOAK CHAMBER] Desoak#2 Tray Middle Guide Open Sensor #2  Sensor detected.</t>
  </si>
  <si>
    <t>[DESOAK CHAMBER] Desoak#2 Tray Middle Guide Close Sensor #2  Sensor detected.</t>
  </si>
  <si>
    <t>[DESOAK CHAMBER] Desoak #1 Tray Pusher Forward Check #1  Sensor detected.</t>
  </si>
  <si>
    <t>[DESOAK CHAMBER] Desoak #1 Tray Pusher Backward Check #1  Sensor detected.</t>
  </si>
  <si>
    <t>[DESOAK CHAMBER] Desoak #1 Tray Pusher Forward Check #2  Sensor detected.</t>
  </si>
  <si>
    <t>[DESOAK CHAMBER] Desoak #1 Tray Pusher Backward Check #2  Sensor detected.</t>
  </si>
  <si>
    <t>[DESOAK CHAMBER] Desoak #1 Upper Check  Sensor detected.</t>
  </si>
  <si>
    <t>[DESOAK CHAMBER] Desoak #1 Middle Check  Sensor detected.</t>
  </si>
  <si>
    <t>[DESOAK CHAMBER] Desoak #1 Lower Check  Sensor detected.</t>
  </si>
  <si>
    <t>[DESOAK CHAMBER] Desoak #1 Top Feeder Up  Sensor detected.</t>
  </si>
  <si>
    <t>[DESOAK CHAMBER] Desoak #1 Top Feeder Down  Sensor detected.</t>
  </si>
  <si>
    <t>[DESOAK CHAMBER] Desoak #2 Tray Pusher Forward Check #1  Sensor detected.</t>
  </si>
  <si>
    <t>[DESOAK CHAMBER] Desoak #2 Tray Pusher Backward Check #1  Sensor detected.</t>
  </si>
  <si>
    <t>[DESOAK CHAMBER] Desoak #2 Tray Pusher Forward Check #2  Sensor detected.</t>
  </si>
  <si>
    <t>[DESOAK CHAMBER] Desoak #2 Tray Pusher Backward Check #2  Sensor detected.</t>
  </si>
  <si>
    <t>[DESOAK CHAMBER] Desoak #2 Upper Check  Sensor detected.</t>
  </si>
  <si>
    <t>[DESOAK CHAMBER] Desoak #2 Middle Check  Sensor detected.</t>
  </si>
  <si>
    <t>[DESOAK CHAMBER] Desoak #2 Lower Check  Sensor detected.</t>
  </si>
  <si>
    <t>[DESOAK CHAMBER] Desoak #2 Top Feeder Up  Sensor detected.</t>
  </si>
  <si>
    <t>[DESOAK CHAMBER] Desoak #1 Bottom Feeder Up Sensor   Sensor detected.</t>
  </si>
  <si>
    <t>[DESOAK CHAMBER] Desoak #1 Bottom Feeder Down Sensor   Sensor detected.</t>
  </si>
  <si>
    <t>[DESOAK CHAMBER] Desoak #1 Pusher Up Sensor #1  Sensor detected.</t>
  </si>
  <si>
    <t>[DESOAK CHAMBER] Desoak #1 Pusher Down Sensor #1  Sensor detected.</t>
  </si>
  <si>
    <t>[DESOAK CHAMBER] Desoak #1 Pusher Up Sensor #2  Sensor detected.</t>
  </si>
  <si>
    <t>[DESOAK CHAMBER] Desoak #1 Pusher Down Sensor #2  Sensor detected.</t>
  </si>
  <si>
    <t>[DESOAK CHAMBER] Desoak #2 Bottom Feeder Up Sensor   Sensor detected.</t>
  </si>
  <si>
    <t>[DESOAK CHAMBER] Desoak #2 Bottom Feeder Down Sensor   Sensor detected.</t>
  </si>
  <si>
    <t>[DESOAK CHAMBER] Desoak #2 Pusher Up Sensor #1  Sensor detected.</t>
  </si>
  <si>
    <t>[DESOAK CHAMBER] Desoak #2 Pusher Down Sensor #1  Sensor detected.</t>
  </si>
  <si>
    <t>[DESOAK CHAMBER] Desoak #2 Pusher Up Sensor #2  Sensor detected.</t>
  </si>
  <si>
    <t>[DESOAK CHAMBER] Desoak #2 Pusher Down Sensor #2  Sensor detected.</t>
  </si>
  <si>
    <t>[DESOAK CHAMBER] Desoak Chamber Rear Safety Door Lock  Sensor detected.</t>
  </si>
  <si>
    <t>[DESOAK CHAMBER] Desoak Chamber Side Safety Door Lock #1  Sensor detected.</t>
  </si>
  <si>
    <t>[DESOAK CHAMBER] Desoak Chamber Side Safety Door Lock #2  Sensor detected.</t>
  </si>
  <si>
    <t>[DESOAK CHAMBER] Desoak#1 Tray Corner Guide Open #1 Sensor  recognition failed.</t>
  </si>
  <si>
    <t>[DESOAK CHAMBER] Desoak#1 Tray Corner Guide Close #1 Sensor  recognition failed.</t>
  </si>
  <si>
    <t>[DESOAK CHAMBER] Desoak#1 Tray Corner Gudie Open #2 Sensor  recognition failed.</t>
  </si>
  <si>
    <t>[DESOAK CHAMBER] Desoak#1 Tray Corner Gudie Close #2 Sensor  recognition failed.</t>
  </si>
  <si>
    <t>[DESOAK CHAMBER] Desoak#1 Tray Corner Gudie Open #3 Sensor  recognition failed.</t>
  </si>
  <si>
    <t>[DESOAK CHAMBER] Desoak#1 Tray Corner Gudie Close #3 Sensor  recognition failed.</t>
  </si>
  <si>
    <t>[DESOAK CHAMBER] Desoak#1 Tray Corner Gudie Open #4 Sensor  recognition failed.</t>
  </si>
  <si>
    <t>[DESOAK CHAMBER] Desoak#1 Tray Corner Gudie Close #4 Sensor  recognition failed.</t>
  </si>
  <si>
    <t>[DESOAK CHAMBER] Desoak#1 Corner Guide 10mm Up Sensor #1  recognition failed.</t>
  </si>
  <si>
    <t>[DESOAK CHAMBER] Desoak#1 Corner Guide 10mm Down Sensor #1   recognition failed.</t>
  </si>
  <si>
    <t>[DESOAK CHAMBER] Desoak#1 Corner Guide 101mm Up  Sensor #1  recognition failed.</t>
  </si>
  <si>
    <t>[DESOAK CHAMBER] Desoak#1 Corner Guide 101mm Down Sensor #1  recognition failed.</t>
  </si>
  <si>
    <t>[DESOAK CHAMBER] Desoak#1 Corner Guide 10mm Up Sensor #2  recognition failed.</t>
  </si>
  <si>
    <t>[DESOAK CHAMBER] Desoak#1 Corner Guide 10mm Down Sensor #2  recognition failed.</t>
  </si>
  <si>
    <t>[DESOAK CHAMBER] Desoak#1 Corner Guide 101mm Up  Sensor #2  recognition failed.</t>
  </si>
  <si>
    <t>[DESOAK CHAMBER] Desoak#1 Corner Guide 101mm Down Sensor #2  recognition failed.</t>
  </si>
  <si>
    <t>[DESOAK CHAMBER] Desoak#2 Tray Corner Guide Open #1 Sensor  recognition failed.</t>
  </si>
  <si>
    <t>[DESOAK CHAMBER] Desoak#2 Tray Corner Guide Close #1 Sensor  recognition failed.</t>
  </si>
  <si>
    <t>[DESOAK CHAMBER] Desoak#2 Tray Corner Gudie Open #2 Sensor  recognition failed.</t>
  </si>
  <si>
    <t>[DESOAK CHAMBER] Desoak#2 Tray Corner Gudie Close #2 Sensor  recognition failed.</t>
  </si>
  <si>
    <t>[DESOAK CHAMBER] Desoak#2 Tray Corner Gudie Open #3 Sensor  recognition failed.</t>
  </si>
  <si>
    <t>[DESOAK CHAMBER] Desoak#2 Tray Corner Gudie Close #3 Sensor  recognition failed.</t>
  </si>
  <si>
    <t>[DESOAK CHAMBER] Desoak#2 Tray Corner Gudie Open #4 Sensor  recognition failed.</t>
  </si>
  <si>
    <t>[DESOAK CHAMBER] Desoak#2 Tray Corner Gudie Close #4 Sensor  recognition failed.</t>
  </si>
  <si>
    <t>[DESOAK CHAMBER] Desoak#2 Corner Guide 10mm Up Sensor #1  recognition failed.</t>
  </si>
  <si>
    <t>[DESOAK CHAMBER] Desoak#2 Corner Guide 10mm Down Sensor #1   recognition failed.</t>
  </si>
  <si>
    <t>[DESOAK CHAMBER] Desoak#2 Corner Guide 101mm Up  Sensor #1  recognition failed.</t>
  </si>
  <si>
    <t>[DESOAK CHAMBER] Desoak#2 Corner Guide 101mm Down Sensor #1  recognition failed.</t>
  </si>
  <si>
    <t>[DESOAK CHAMBER] Desoak#2 Corner Guide 10mm Up Sensor #2  recognition failed.</t>
  </si>
  <si>
    <t>[DESOAK CHAMBER] Desoak#2 Corner Guide 10mm Down Sensor #2  recognition failed.</t>
  </si>
  <si>
    <t>[DESOAK CHAMBER] Desoak#2 Corner Guide 101mm Up  Sensor #2  recognition failed.</t>
  </si>
  <si>
    <t>[DESOAK CHAMBER] Desoak#2 Corner Guide 101mm Down Sensor #2  recognition failed.</t>
  </si>
  <si>
    <t>[DESOAK CHAMBER] Desoak#1 Tray Upper Guide Open Sensor #1  recognition failed.</t>
  </si>
  <si>
    <t>[DESOAK CHAMBER] Desoak#1 Tray Upper Guide Close Sensor #1  recognition failed.</t>
  </si>
  <si>
    <t>[DESOAK CHAMBER] Desoak#1 Tray Upper Guide Open Sensor #2  recognition failed.</t>
  </si>
  <si>
    <t>[DESOAK CHAMBER] Desoak#1 Tray Upper Guide Close Sensor #2  recognition failed.</t>
  </si>
  <si>
    <t>[DESOAK CHAMBER] Desoak#1 Tray Middle Guide Open Sensor #1  recognition failed.</t>
  </si>
  <si>
    <t>[DESOAK CHAMBER] Desoak#1 Tray Middle Guide Close Sensor #1  recognition failed.</t>
  </si>
  <si>
    <t>[DESOAK CHAMBER] Desoak#1 Tray Middle Guide Open Sensor #2  recognition failed.</t>
  </si>
  <si>
    <t>[DESOAK CHAMBER] Desoak#1 Tray Middle Guide Close Sensor #2  recognition failed.</t>
  </si>
  <si>
    <t>[DESOAK CHAMBER] Desoak#2 Tray Upper Guide Open Sensor #1  recognition failed.</t>
  </si>
  <si>
    <t>[DESOAK CHAMBER] Desoak#2 Tray Upper Guide Close Sensor #1  recognition failed.</t>
  </si>
  <si>
    <t>[DESOAK CHAMBER] Desoak#2 Tray Upper Guide Open Sensor #2  recognition failed.</t>
  </si>
  <si>
    <t>[DESOAK CHAMBER] Desoak#2 Tray Upper Guide Close Sensor #2  recognition failed.</t>
  </si>
  <si>
    <t>[DESOAK CHAMBER] Desoak#2 Tray Middle Guide Open Sensor #1  recognition failed.</t>
  </si>
  <si>
    <t>[DESOAK CHAMBER] Desoak#2 Tray Middle Guide Close Sensor #1  recognition failed.</t>
  </si>
  <si>
    <t>[DESOAK CHAMBER] Desoak#2 Tray Middle Guide Open Sensor #2  recognition failed.</t>
  </si>
  <si>
    <t>[DESOAK CHAMBER] Desoak#2 Tray Middle Guide Close Sensor #2  recognition failed.</t>
  </si>
  <si>
    <t>[DESOAK CHAMBER] Desoak #1 Tray Pusher Forward Check #1  recognition failed.</t>
  </si>
  <si>
    <t>[DESOAK CHAMBER] Desoak #1 Tray Pusher Backward Check #1  recognition failed.</t>
  </si>
  <si>
    <t>[DESOAK CHAMBER] Desoak #1 Tray Pusher Forward Check #2  recognition failed.</t>
  </si>
  <si>
    <t>[DESOAK CHAMBER] Desoak #1 Tray Pusher Backward Check #2  recognition failed.</t>
  </si>
  <si>
    <t>[DESOAK CHAMBER] Desoak #1 Upper Check  recognition failed.</t>
  </si>
  <si>
    <t>[DESOAK CHAMBER] Desoak #1 Middle Check  recognition failed.</t>
  </si>
  <si>
    <t>[DESOAK CHAMBER] Desoak #1 Lower Check  recognition failed.</t>
  </si>
  <si>
    <t>[DESOAK CHAMBER] Desoak #1 Top Feeder Up  recognition failed.</t>
  </si>
  <si>
    <t>[DESOAK CHAMBER] Desoak #1 Top Feeder Down  recognition failed.</t>
  </si>
  <si>
    <t>[DESOAK CHAMBER] Desoak #2 Tray Pusher Forward Check #1  recognition failed.</t>
  </si>
  <si>
    <t>[DESOAK CHAMBER] Desoak #2 Tray Pusher Backward Check #1  recognition failed.</t>
  </si>
  <si>
    <t>[DESOAK CHAMBER] Desoak #2 Tray Pusher Forward Check #2  recognition failed.</t>
  </si>
  <si>
    <t>[DESOAK CHAMBER] Desoak #2 Tray Pusher Backward Check #2  recognition failed.</t>
  </si>
  <si>
    <t>[DESOAK CHAMBER] Desoak #2 Upper Check  recognition failed.</t>
  </si>
  <si>
    <t>[DESOAK CHAMBER] Desoak #2 Middle Check  recognition failed.</t>
  </si>
  <si>
    <t>[DESOAK CHAMBER] Desoak #2 Lower Check  recognition failed.</t>
  </si>
  <si>
    <t>[DESOAK CHAMBER] Desoak #2 Top Feeder Up  recognition failed.</t>
  </si>
  <si>
    <t>[DESOAK CHAMBER] Desoak #1 Bottom Feeder Up Sensor   recognition failed.</t>
  </si>
  <si>
    <t>[DESOAK CHAMBER] Desoak #1 Bottom Feeder Down Sensor   recognition failed.</t>
  </si>
  <si>
    <t>[DESOAK CHAMBER] Desoak #1 Pusher Up Sensor #1  recognition failed.</t>
  </si>
  <si>
    <t>[DESOAK CHAMBER] Desoak #1 Pusher Down Sensor #1  recognition failed.</t>
  </si>
  <si>
    <t>[DESOAK CHAMBER] Desoak #1 Pusher Up Sensor #2  recognition failed.</t>
  </si>
  <si>
    <t>[DESOAK CHAMBER] Desoak #1 Pusher Down Sensor #2  recognition failed.</t>
  </si>
  <si>
    <t>[DESOAK CHAMBER] Desoak #2 Bottom Feeder Up Sensor   recognition failed.</t>
  </si>
  <si>
    <t>[DESOAK CHAMBER] Desoak #2 Bottom Feeder Down Sensor   recognition failed.</t>
  </si>
  <si>
    <t>[DESOAK CHAMBER] Desoak #2 Pusher Up Sensor #1  recognition failed.</t>
  </si>
  <si>
    <t>[DESOAK CHAMBER] Desoak #2 Pusher Down Sensor #1  recognition failed.</t>
  </si>
  <si>
    <t>[DESOAK CHAMBER] Desoak #2 Pusher Up Sensor #2  recognition failed.</t>
  </si>
  <si>
    <t>[DESOAK CHAMBER] Desoak #2 Pusher Down Sensor #2  recognition failed.</t>
  </si>
  <si>
    <t>[DESOAK CHAMBER] Desoak Chamber Rear Safety Door Lock  recognition failed.</t>
  </si>
  <si>
    <t>[DESOAK CHAMBER] Desoak Chamber Side Safety Door Lock #1  recognition failed.</t>
  </si>
  <si>
    <t>[DESOAK CHAMBER] Desoak Chamber Side Safety Door Lock #2  recognition failed.</t>
  </si>
  <si>
    <t>[DESOAK CHAMBER] Desoak Top Feeder Up  operation failed.</t>
  </si>
  <si>
    <t>[DESOAK CHAMBER] Desoak#1 Tray Upper Guide Open  operation failed.</t>
  </si>
  <si>
    <t>[DESOAK CHAMBER] Desoak#1 Tray Middle Guide Open  operation failed.</t>
  </si>
  <si>
    <t>[DESOAK CHAMBER] Desoak#1 Tray Corner Guide Open  operation failed.</t>
  </si>
  <si>
    <t>[DESOAK CHAMBER] Desoak#1 Tray Pusher For  operation failed.</t>
  </si>
  <si>
    <t>[DESOAK CHAMBER] Desoak#1 Pusher Up  operation failed.</t>
  </si>
  <si>
    <t>[DESOAK CHAMBER] Desoak#1 Bottom Feeder Up  operation failed.</t>
  </si>
  <si>
    <t>[DESOAK CHAMBER] Desoak#1 Tray Corner Guide 10mm Up  operation failed.</t>
  </si>
  <si>
    <t>[DESOAK CHAMBER] Desoak#1 Tray Corner Guide 101mm Up  operation failed.</t>
  </si>
  <si>
    <t>[DESOAK CHAMBER] Desoak#2 Tray Upper Guide Open  operation failed.</t>
  </si>
  <si>
    <t>[DESOAK CHAMBER] Desoak#2 Tray Middle Guide Open  operation failed.</t>
  </si>
  <si>
    <t>[DESOAK CHAMBER] Desoak#2 Tray Corner Guide Open  operation failed.</t>
  </si>
  <si>
    <t>[DESOAK CHAMBER] Desoak#2 Tray Pusher For  operation failed.</t>
  </si>
  <si>
    <t>[DESOAK CHAMBER] Desoak#2 Pusher Up  operation failed.</t>
  </si>
  <si>
    <t>[DESOAK CHAMBER] Desoak#2 Bottom Feeder Up  operation failed.</t>
  </si>
  <si>
    <t>[DESOAK CHAMBER] Desoak#2 Tray Corner Guide 10mm Up  operation failed.</t>
  </si>
  <si>
    <t>[DESOAK CHAMBER] Desoak#2 Tray Corner Guide 101mm Up  operation failed.</t>
  </si>
  <si>
    <t>[DESOAK CHAMBER] Add the T-tray to Desaok 1-2</t>
  </si>
  <si>
    <t xml:space="preserve">[DESOAK CHAMBER] Tray Added Complete . (Max : 10 tray). </t>
  </si>
  <si>
    <t>[DESOAK CHAMBER] Remove the T-tray to Desaok 1-2</t>
  </si>
  <si>
    <t>[DESOAK CHAMBER] Tray Removed Complete .</t>
  </si>
  <si>
    <t xml:space="preserve">[MOTOR] TRANSFER 1X Failed to return home. </t>
  </si>
  <si>
    <t xml:space="preserve">[MOTOR] TRANSFER 2X Failed to return home. </t>
  </si>
  <si>
    <t xml:space="preserve">[MOTOR] TRANSFER 1Z Failed to return home. </t>
  </si>
  <si>
    <t xml:space="preserve">[MOTOR] TRANSFER 2Z Failed to return home. </t>
  </si>
  <si>
    <t xml:space="preserve">[MOTOR] LOAD X Failed to return home. </t>
  </si>
  <si>
    <t xml:space="preserve">[MOTOR] LOAD Y Failed to return home. </t>
  </si>
  <si>
    <t xml:space="preserve">[MOTOR] UNLOAD X Failed to return home. </t>
  </si>
  <si>
    <t xml:space="preserve">[MOTOR] UNLOAD Y Failed to return home. </t>
  </si>
  <si>
    <t xml:space="preserve">[MOTOR] LOAD Z Failed to return home. </t>
  </si>
  <si>
    <t xml:space="preserve">[MOTOR] UNLOAD Z Failed to return home. </t>
  </si>
  <si>
    <t xml:space="preserve">[MOTOR] BUFFER Failed to return home. </t>
  </si>
  <si>
    <t xml:space="preserve">[MOTOR] SOAK 1 BOTTOM FEED Failed to return home. </t>
  </si>
  <si>
    <t xml:space="preserve">[MOTOR] SOAK 2 BOTTOM FEED Failed to return home. </t>
  </si>
  <si>
    <t xml:space="preserve">[MOTOR] SOAK TOP FEED Failed to return home. </t>
  </si>
  <si>
    <t xml:space="preserve">[MOTOR] DESOAK 1 BOTTOM_FEED Failed to return home. </t>
  </si>
  <si>
    <t xml:space="preserve">[MOTOR] DESOAK 2 BOTTOM_FEED Failed to return home. </t>
  </si>
  <si>
    <t xml:space="preserve">[MOTOR] DESOAK TOP FEED Failed to return home. </t>
  </si>
  <si>
    <t xml:space="preserve">[MOTOR] TEST PRESS 1 Failed to return home. </t>
  </si>
  <si>
    <t xml:space="preserve">[MOTOR] TEST PRESS 2 Failed to return home. </t>
  </si>
  <si>
    <t xml:space="preserve">[MOTOR] MP X Failed to return home. </t>
  </si>
  <si>
    <t xml:space="preserve">[MOTOR] MP ROTATION LEFT R Failed to return home. </t>
  </si>
  <si>
    <t xml:space="preserve">[MOTOR] MP ROTATION RIGHT R Failed to return home. </t>
  </si>
  <si>
    <t xml:space="preserve">[MOTOR] MP Z Failed to return home. </t>
  </si>
  <si>
    <t>[MOTOR] TRANSFER 1X Failed to move to desired location.</t>
  </si>
  <si>
    <t>[MOTOR] TRANSFER 2X Failed to move to desired location.</t>
  </si>
  <si>
    <t>[MOTOR] TRANSFER 1Z Failed to move to desired location.</t>
  </si>
  <si>
    <t>[MOTOR] TRANSFER 2Z Failed to move to desired location.</t>
  </si>
  <si>
    <t>[MOTOR] LOAD X Failed to move to desired location.</t>
  </si>
  <si>
    <t>[MOTOR] LOAD Y Failed to move to desired location.</t>
  </si>
  <si>
    <t>[MOTOR] UNLOAD X Failed to move to desired location.</t>
  </si>
  <si>
    <t>[MOTOR] UNLOAD Y Failed to move to desired location.</t>
  </si>
  <si>
    <t>[MOTOR] LOAD Z Failed to move to desired location.</t>
  </si>
  <si>
    <t>[MOTOR] UNLOAD Z Failed to move to desired location.</t>
  </si>
  <si>
    <t>[MOTOR] BUFFER Failed to move to desired location.</t>
  </si>
  <si>
    <t>[MOTOR] SOAK 1 BOTTOM FEED Failed to move to desired location.</t>
  </si>
  <si>
    <t>[MOTOR] SOAK 2 BOTTOM FEED Failed to move to desired location.</t>
  </si>
  <si>
    <t>[MOTOR] SOAK TOP FEED Failed to move to desired location.</t>
  </si>
  <si>
    <t>[MOTOR] DESOAK 1 BOTTOM_FEED Failed to move to desired location.</t>
  </si>
  <si>
    <t>[MOTOR] DESOAK 2 BOTTOM_FEED Failed to move to desired location.</t>
  </si>
  <si>
    <t>[MOTOR] DESOAK TOP FEED Failed to move to desired location.</t>
  </si>
  <si>
    <t>[MOTOR] TEST PRESS 1 Failed to move to desired location.</t>
  </si>
  <si>
    <t>[MOTOR] TEST PRESS 2 Failed to move to desired location.</t>
  </si>
  <si>
    <t>[MOTOR] MP X Failed to move to desired location.</t>
  </si>
  <si>
    <t>[MOTOR] MP ROTATION LEFT R Failed to move to desired location.</t>
  </si>
  <si>
    <t>[MOTOR] MP ROTATION RIGHT R Failed to move to desired location.</t>
  </si>
  <si>
    <t>[MOTOR] MP Z Failed to move to desired location.</t>
  </si>
  <si>
    <t xml:space="preserve">[MOTOR] TRANSFER 1X SW ERROR : Maximum movement has been exceeded. </t>
  </si>
  <si>
    <t xml:space="preserve">[MOTOR] TRANSFER 2X SW ERROR : Maximum movement has been exceeded. </t>
  </si>
  <si>
    <t xml:space="preserve">[MOTOR] TRANSFER 1Z SW ERROR : Maximum movement has been exceeded. </t>
  </si>
  <si>
    <t xml:space="preserve">[MOTOR] TRANSFER 2Z SW ERROR : Maximum movement has been exceeded. </t>
  </si>
  <si>
    <t xml:space="preserve">[MOTOR] LOAD X SW ERROR : Maximum movement has been exceeded. </t>
  </si>
  <si>
    <t xml:space="preserve">[MOTOR] LOAD Y SW ERROR : Maximum movement has been exceeded. </t>
  </si>
  <si>
    <t xml:space="preserve">[MOTOR] UNLOAD X SW ERROR : Maximum movement has been exceeded. </t>
  </si>
  <si>
    <t xml:space="preserve">[MOTOR] UNLOAD Y SW ERROR : Maximum movement has been exceeded. </t>
  </si>
  <si>
    <t xml:space="preserve">[MOTOR] LOAD Z SW ERROR : Maximum movement has been exceeded. </t>
  </si>
  <si>
    <t xml:space="preserve">[MOTOR] UNLOAD Z SW ERROR : Maximum movement has been exceeded. </t>
  </si>
  <si>
    <t xml:space="preserve">[MOTOR] BUFFER SW ERROR : Maximum movement has been exceeded. </t>
  </si>
  <si>
    <t xml:space="preserve">[MOTOR] SOAK 1 BOTTOM FEED SW ERROR : Maximum movement has been exceeded. </t>
  </si>
  <si>
    <t xml:space="preserve">[MOTOR] SOAK 2 BOTTOM FEED SW ERROR : Maximum movement has been exceeded. </t>
  </si>
  <si>
    <t xml:space="preserve">[MOTOR] SOAK TOP FEED SW ERROR : Maximum movement has been exceeded. </t>
  </si>
  <si>
    <t xml:space="preserve">[MOTOR] DESOAK 1 BOTTOM_FEED SW ERROR : Maximum movement has been exceeded. </t>
  </si>
  <si>
    <t xml:space="preserve">[MOTOR] DESOAK 2 BOTTOM_FEED SW ERROR : Maximum movement has been exceeded. </t>
  </si>
  <si>
    <t xml:space="preserve">[MOTOR] DESOAK TOP FEED SW ERROR : Maximum movement has been exceeded. </t>
  </si>
  <si>
    <t xml:space="preserve">[MOTOR] TEST PRESS 1 SW ERROR : Maximum movement has been exceeded. </t>
  </si>
  <si>
    <t xml:space="preserve">[MOTOR] TEST PRESS 2 SW ERROR : Maximum movement has been exceeded. </t>
  </si>
  <si>
    <t xml:space="preserve">[MOTOR] MP X SW ERROR : Maximum movement has been exceeded. </t>
  </si>
  <si>
    <t xml:space="preserve">[MOTOR] MP ROTATION LEFT R SW ERROR : Maximum movement has been exceeded. </t>
  </si>
  <si>
    <t xml:space="preserve">[MOTOR] MP ROTATION RIGHT R SW ERROR : Maximum movement has been exceeded. </t>
  </si>
  <si>
    <t xml:space="preserve">[MOTOR] MP Z SW ERROR : Maximum movement has been exceeded. </t>
  </si>
  <si>
    <t xml:space="preserve">[MOTOR] TRANSFER 1X Motor power is not supplied. </t>
  </si>
  <si>
    <t xml:space="preserve">[MOTOR] TRANSFER 2X Motor power is not supplied. </t>
  </si>
  <si>
    <t xml:space="preserve">[MOTOR] TRANSFER 1Z Motor power is not supplied. </t>
  </si>
  <si>
    <t xml:space="preserve">[MOTOR] TRANSFER 2Z Motor power is not supplied. </t>
  </si>
  <si>
    <t xml:space="preserve">[MOTOR] LOAD X Motor power is not supplied. </t>
  </si>
  <si>
    <t xml:space="preserve">[MOTOR] LOAD Y Motor power is not supplied. </t>
  </si>
  <si>
    <t xml:space="preserve">[MOTOR] UNLOAD X Motor power is not supplied. </t>
  </si>
  <si>
    <t xml:space="preserve">[MOTOR] UNLOAD Y Motor power is not supplied. </t>
  </si>
  <si>
    <t xml:space="preserve">[MOTOR] LOAD Z Motor power is not supplied. </t>
  </si>
  <si>
    <t xml:space="preserve">[MOTOR] UNLOAD Z Motor power is not supplied. </t>
  </si>
  <si>
    <t xml:space="preserve">[MOTOR] BUFFER Motor power is not supplied. </t>
  </si>
  <si>
    <t xml:space="preserve">[MOTOR] SOAK 1 BOTTOM FEED Motor power is not supplied. </t>
  </si>
  <si>
    <t xml:space="preserve">[MOTOR] SOAK 2 BOTTOM FEED Motor power is not supplied. </t>
  </si>
  <si>
    <t xml:space="preserve">[MOTOR] SOAK TOP FEED Motor power is not supplied. </t>
  </si>
  <si>
    <t xml:space="preserve">[MOTOR] DESOAK 1 BOTTOM_FEED Motor power is not supplied. </t>
  </si>
  <si>
    <t xml:space="preserve">[MOTOR] DESOAK 2 BOTTOM_FEED Motor power is not supplied. </t>
  </si>
  <si>
    <t xml:space="preserve">[MOTOR] DESOAK TOP FEED Motor power is not supplied. </t>
  </si>
  <si>
    <t xml:space="preserve">[MOTOR] TEST PRESS 1 Motor power is not supplied. </t>
  </si>
  <si>
    <t xml:space="preserve">[MOTOR] TEST PRESS 2 Motor power is not supplied. </t>
  </si>
  <si>
    <t xml:space="preserve">[MOTOR] MP X Motor power is not supplied. </t>
  </si>
  <si>
    <t xml:space="preserve">[MOTOR] MP ROTATION LEFT R Motor power is not supplied. </t>
  </si>
  <si>
    <t xml:space="preserve">[MOTOR] MP ROTATION RIGHT R Motor power is not supplied. </t>
  </si>
  <si>
    <t xml:space="preserve">[MOTOR] MP Z Motor power is not supplied. </t>
  </si>
  <si>
    <t xml:space="preserve">[MOTOR] TRANSFER 1X Motor alarm has occurred. </t>
  </si>
  <si>
    <t xml:space="preserve">[MOTOR] TRANSFER 2X Motor alarm has occurred. </t>
  </si>
  <si>
    <t xml:space="preserve">[MOTOR] TRANSFER 1Z Motor alarm has occurred. </t>
  </si>
  <si>
    <t xml:space="preserve">[MOTOR] TRANSFER 2Z Motor alarm has occurred. </t>
  </si>
  <si>
    <t xml:space="preserve">[MOTOR] LOAD X Motor alarm has occurred. </t>
  </si>
  <si>
    <t xml:space="preserve">[MOTOR] LOAD Y Motor alarm has occurred. </t>
  </si>
  <si>
    <t xml:space="preserve">[MOTOR] UNLOAD X Motor alarm has occurred. </t>
  </si>
  <si>
    <t xml:space="preserve">[MOTOR] UNLOAD Y Motor alarm has occurred. </t>
  </si>
  <si>
    <t xml:space="preserve">[MOTOR] LOAD Z Motor alarm has occurred. </t>
  </si>
  <si>
    <t xml:space="preserve">[MOTOR] UNLOAD Z Motor alarm has occurred. </t>
  </si>
  <si>
    <t xml:space="preserve">[MOTOR] BUFFER Motor alarm has occurred. </t>
  </si>
  <si>
    <t xml:space="preserve">[MOTOR] SOAK 1 BOTTOM FEED Motor alarm has occurred. </t>
  </si>
  <si>
    <t xml:space="preserve">[MOTOR] SOAK 2 BOTTOM FEED Motor alarm has occurred. </t>
  </si>
  <si>
    <t xml:space="preserve">[MOTOR] SOAK TOP FEED Motor alarm has occurred. </t>
  </si>
  <si>
    <t xml:space="preserve">[MOTOR] DESOAK 1 BOTTOM_FEED Motor alarm has occurred. </t>
  </si>
  <si>
    <t xml:space="preserve">[MOTOR] DESOAK 2 BOTTOM_FEED Motor alarm has occurred. </t>
  </si>
  <si>
    <t xml:space="preserve">[MOTOR] DESOAK TOP FEED Motor alarm has occurred. </t>
  </si>
  <si>
    <t xml:space="preserve">[MOTOR] TEST PRESS 1 Motor alarm has occurred. </t>
  </si>
  <si>
    <t xml:space="preserve">[MOTOR] TEST PRESS 2 Motor alarm has occurred. </t>
  </si>
  <si>
    <t xml:space="preserve">[MOTOR] MP X Motor alarm has occurred. </t>
  </si>
  <si>
    <t xml:space="preserve">[MOTOR] MP ROTATION LEFT R Motor alarm has occurred. </t>
  </si>
  <si>
    <t xml:space="preserve">[MOTOR] MP ROTATION RIGHT R Motor alarm has occurred. </t>
  </si>
  <si>
    <t xml:space="preserve">[MOTOR] MP Z Motor alarm has occurred. </t>
  </si>
  <si>
    <t xml:space="preserve">[MOTOR] TRANSFER 1X Origin check is failed. </t>
  </si>
  <si>
    <t xml:space="preserve">[MOTOR] TRANSFER 2X Origin check is failed. </t>
  </si>
  <si>
    <t xml:space="preserve">[MOTOR] TRANSFER 1Z Origin check is failed. </t>
  </si>
  <si>
    <t xml:space="preserve">[MOTOR] TRANSFER 2Z Origin check is failed. </t>
  </si>
  <si>
    <t xml:space="preserve">[MOTOR] LOAD X Origin check is failed. </t>
  </si>
  <si>
    <t xml:space="preserve">[MOTOR] LOAD Y Origin check is failed. </t>
  </si>
  <si>
    <t xml:space="preserve">[MOTOR] UNLOAD X Origin check is failed. </t>
  </si>
  <si>
    <t xml:space="preserve">[MOTOR] UNLOAD Y Origin check is failed. </t>
  </si>
  <si>
    <t xml:space="preserve">[MOTOR] LOAD Z Origin check is failed. </t>
  </si>
  <si>
    <t xml:space="preserve">[MOTOR] UNLOAD Z Origin check is failed. </t>
  </si>
  <si>
    <t xml:space="preserve">[MOTOR] BUFFER Origin check is failed. </t>
  </si>
  <si>
    <t xml:space="preserve">[MOTOR] SOAK 1 BOTTOM FEED Origin check is failed. </t>
  </si>
  <si>
    <t xml:space="preserve">[MOTOR] SOAK 2 BOTTOM FEED Origin check is failed. </t>
  </si>
  <si>
    <t xml:space="preserve">[MOTOR] SOAK TOP FEED Origin check is failed. </t>
  </si>
  <si>
    <t xml:space="preserve">[MOTOR] DESOAK 1 BOTTOM_FEED Origin check is failed. </t>
  </si>
  <si>
    <t xml:space="preserve">[MOTOR] DESOAK 2 BOTTOM_FEED Origin check is failed. </t>
  </si>
  <si>
    <t xml:space="preserve">[MOTOR] DESOAK TOP FEED Origin check is failed. </t>
  </si>
  <si>
    <t xml:space="preserve">[MOTOR] TEST PRESS 1 Origin check is failed. </t>
  </si>
  <si>
    <t xml:space="preserve">[MOTOR] TEST PRESS 2 Origin check is failed. </t>
  </si>
  <si>
    <t xml:space="preserve">[MOTOR] MP X Origin check is failed. </t>
  </si>
  <si>
    <t xml:space="preserve">[MOTOR] MP ROTATION LEFT R Origin check is failed. </t>
  </si>
  <si>
    <t xml:space="preserve">[MOTOR] MP ROTATION RIGHT R Origin check is failed. </t>
  </si>
  <si>
    <t xml:space="preserve">[MOTOR] MP Z Origin check is failed. </t>
  </si>
  <si>
    <t xml:space="preserve">[MOTOR] TRANSFER 1X The minus limit sensor has been detected. </t>
  </si>
  <si>
    <t xml:space="preserve">[MOTOR] TRANSFER 2X The minus limit sensor has been detected. </t>
  </si>
  <si>
    <t xml:space="preserve">[MOTOR] TRANSFER 1Z The minus limit sensor has been detected. </t>
  </si>
  <si>
    <t xml:space="preserve">[MOTOR] TRANSFER 2Z The minus limit sensor has been detected. </t>
  </si>
  <si>
    <t xml:space="preserve">[MOTOR] LOAD X The minus limit sensor has been detected. </t>
  </si>
  <si>
    <t xml:space="preserve">[MOTOR] LOAD Y The minus limit sensor has been detected. </t>
  </si>
  <si>
    <t xml:space="preserve">[MOTOR] UNLOAD X The minus limit sensor has been detected. </t>
  </si>
  <si>
    <t xml:space="preserve">[MOTOR] UNLOAD Y The minus limit sensor has been detected. </t>
  </si>
  <si>
    <t xml:space="preserve">[MOTOR] LOAD Z The minus limit sensor has been detected. </t>
  </si>
  <si>
    <t xml:space="preserve">[MOTOR] UNLOAD Z The minus limit sensor has been detected. </t>
  </si>
  <si>
    <t xml:space="preserve">[MOTOR] BUFFER The minus limit sensor has been detected. </t>
  </si>
  <si>
    <t xml:space="preserve">[MOTOR] SOAK 1 BOTTOM FEED The minus limit sensor has been detected. </t>
  </si>
  <si>
    <t xml:space="preserve">[MOTOR] SOAK 2 BOTTOM FEED The minus limit sensor has been detected. </t>
  </si>
  <si>
    <t xml:space="preserve">[MOTOR] SOAK TOP FEED The minus limit sensor has been detected. </t>
  </si>
  <si>
    <t xml:space="preserve">[MOTOR] DESOAK 1 BOTTOM_FEED The minus limit sensor has been detected. </t>
  </si>
  <si>
    <t xml:space="preserve">[MOTOR] DESOAK 2 BOTTOM_FEED The minus limit sensor has been detected. </t>
  </si>
  <si>
    <t xml:space="preserve">[MOTOR] DESOAK TOP FEED The minus limit sensor has been detected. </t>
  </si>
  <si>
    <t xml:space="preserve">[MOTOR] TEST PRESS 1 The minus limit sensor has been detected. </t>
  </si>
  <si>
    <t xml:space="preserve">[MOTOR] TEST PRESS 2 The minus limit sensor has been detected. </t>
  </si>
  <si>
    <t xml:space="preserve">[MOTOR] MP X The minus limit sensor has been detected. </t>
  </si>
  <si>
    <t xml:space="preserve">[MOTOR] MP ROTATION LEFT R The minus limit sensor has been detected. </t>
  </si>
  <si>
    <t xml:space="preserve">[MOTOR] MP ROTATION RIGHT R The minus limit sensor has been detected. </t>
  </si>
  <si>
    <t xml:space="preserve">[MOTOR] MP Z The minus limit sensor has been detected. </t>
  </si>
  <si>
    <t xml:space="preserve">[MOTOR] TRANSFER 1X The plus limit sensor has been detected. </t>
  </si>
  <si>
    <t xml:space="preserve">[MOTOR] TRANSFER 2X The plus limit sensor has been detected. </t>
  </si>
  <si>
    <t xml:space="preserve">[MOTOR] TRANSFER 1Z The plus limit sensor has been detected. </t>
  </si>
  <si>
    <t xml:space="preserve">[MOTOR] TRANSFER 2Z The plus limit sensor has been detected. </t>
  </si>
  <si>
    <t xml:space="preserve">[MOTOR] LOAD X The plus limit sensor has been detected. </t>
  </si>
  <si>
    <t xml:space="preserve">[MOTOR] LOAD Y The plus limit sensor has been detected. </t>
  </si>
  <si>
    <t xml:space="preserve">[MOTOR] UNLOAD X The plus limit sensor has been detected. </t>
  </si>
  <si>
    <t xml:space="preserve">[MOTOR] UNLOAD Y The plus limit sensor has been detected. </t>
  </si>
  <si>
    <t xml:space="preserve">[MOTOR] LOAD Z The plus limit sensor has been detected. </t>
  </si>
  <si>
    <t xml:space="preserve">[MOTOR] UNLOAD Z The plus limit sensor has been detected. </t>
  </si>
  <si>
    <t xml:space="preserve">[MOTOR] BUFFER The plus limit sensor has been detected. </t>
  </si>
  <si>
    <t xml:space="preserve">[MOTOR] SOAK 1 BOTTOM FEED The plus limit sensor has been detected. </t>
  </si>
  <si>
    <t xml:space="preserve">[MOTOR] SOAK 2 BOTTOM FEED The plus limit sensor has been detected. </t>
  </si>
  <si>
    <t xml:space="preserve">[MOTOR] SOAK TOP FEED The plus limit sensor has been detected. </t>
  </si>
  <si>
    <t xml:space="preserve">[MOTOR] DESOAK 1 BOTTOM_FEED The plus limit sensor has been detected. </t>
  </si>
  <si>
    <t xml:space="preserve">[MOTOR] DESOAK 2 BOTTOM_FEED The plus limit sensor has been detected. </t>
  </si>
  <si>
    <t xml:space="preserve">[MOTOR] DESOAK TOP FEED The plus limit sensor has been detected. </t>
  </si>
  <si>
    <t xml:space="preserve">[MOTOR] TEST PRESS 1 The plus limit sensor has been detected. </t>
  </si>
  <si>
    <t xml:space="preserve">[MOTOR] TEST PRESS 2 The plus limit sensor has been detected. </t>
  </si>
  <si>
    <t xml:space="preserve">[MOTOR] MP X The plus limit sensor has been detected. </t>
  </si>
  <si>
    <t xml:space="preserve">[MOTOR] MP ROTATION LEFT R The plus limit sensor has been detected. </t>
  </si>
  <si>
    <t xml:space="preserve">[MOTOR] MP ROTATION RIGHT R The plus limit sensor has been detected. </t>
  </si>
  <si>
    <t xml:space="preserve">[MOTOR] MP Z The plus limit sensor has been detected. </t>
  </si>
  <si>
    <t xml:space="preserve">[MOTOR] TRANSFER 1X Absolute encoder is not set. </t>
  </si>
  <si>
    <t xml:space="preserve">[MOTOR] TRANSFER 2X Absolute encoder is not set. </t>
  </si>
  <si>
    <t xml:space="preserve">[MOTOR] TRANSFER 1Z Absolute encoder is not set. </t>
  </si>
  <si>
    <t xml:space="preserve">[MOTOR] TRANSFER 2Z Absolute encoder is not set. </t>
  </si>
  <si>
    <t xml:space="preserve">[MOTOR] LOAD X Absolute encoder is not set. </t>
  </si>
  <si>
    <t xml:space="preserve">[MOTOR] LOAD Y Absolute encoder is not set. </t>
  </si>
  <si>
    <t xml:space="preserve">[MOTOR] UNLOAD X Absolute encoder is not set. </t>
  </si>
  <si>
    <t xml:space="preserve">[MOTOR] UNLOAD Y Absolute encoder is not set. </t>
  </si>
  <si>
    <t xml:space="preserve">[MOTOR] LOAD Z Absolute encoder is not set. </t>
  </si>
  <si>
    <t xml:space="preserve">[MOTOR] UNLOAD Z Absolute encoder is not set. </t>
  </si>
  <si>
    <t xml:space="preserve">[MOTOR] BUFFER Absolute encoder is not set. </t>
  </si>
  <si>
    <t xml:space="preserve">[MOTOR] SOAK 1 BOTTOM FEED Absolute encoder is not set. </t>
  </si>
  <si>
    <t xml:space="preserve">[MOTOR] SOAK 2 BOTTOM FEED Absolute encoder is not set. </t>
  </si>
  <si>
    <t xml:space="preserve">[MOTOR] SOAK TOP FEED Absolute encoder is not set. </t>
  </si>
  <si>
    <t xml:space="preserve">[MOTOR] DESOAK 1 BOTTOM_FEED Absolute encoder is not set. </t>
  </si>
  <si>
    <t xml:space="preserve">[MOTOR] DESOAK 2 BOTTOM_FEED Absolute encoder is not set. </t>
  </si>
  <si>
    <t xml:space="preserve">[MOTOR] DESOAK TOP FEED Absolute encoder is not set. </t>
  </si>
  <si>
    <t xml:space="preserve">[MOTOR] TEST PRESS 1 Absolute encoder is not set. </t>
  </si>
  <si>
    <t xml:space="preserve">[MOTOR] TEST PRESS 2 Absolute encoder is not set. </t>
  </si>
  <si>
    <t xml:space="preserve">[MOTOR] MP X Absolute encoder is not set. </t>
  </si>
  <si>
    <t xml:space="preserve">[MOTOR] MP ROTATION LEFT R Absolute encoder is not set. </t>
  </si>
  <si>
    <t xml:space="preserve">[MOTOR] MP ROTATION RIGHT R Absolute encoder is not set. </t>
  </si>
  <si>
    <t xml:space="preserve">[MOTOR] MP Z Absolute encoder is not set. </t>
  </si>
  <si>
    <t xml:space="preserve">[MOTOR] TRANSFER 1X Last Posion is not. </t>
  </si>
  <si>
    <t xml:space="preserve">[MOTOR] TRANSFER 2X Last Posion is not. </t>
  </si>
  <si>
    <t xml:space="preserve">[MOTOR] TRANSFER 1Z Last Posion is not. </t>
  </si>
  <si>
    <t xml:space="preserve">[MOTOR] TRANSFER 2Z Last Posion is not. </t>
  </si>
  <si>
    <t xml:space="preserve">[MOTOR] LOAD X Last Posion is not. </t>
  </si>
  <si>
    <t xml:space="preserve">[MOTOR] LOAD Y Last Posion is not. </t>
  </si>
  <si>
    <t xml:space="preserve">[MOTOR] UNLOAD X Last Posion is not. </t>
  </si>
  <si>
    <t xml:space="preserve">[MOTOR] UNLOAD Y Last Posion is not. </t>
  </si>
  <si>
    <t xml:space="preserve">[MOTOR] LOAD Z Last Posion is not. </t>
  </si>
  <si>
    <t xml:space="preserve">[MOTOR] UNLOAD Z Last Posion is not. </t>
  </si>
  <si>
    <t xml:space="preserve">[MOTOR] BUFFER Last Posion is not. </t>
  </si>
  <si>
    <t xml:space="preserve">[MOTOR] SOAK 1 BOTTOM FEED Last Posion is not. </t>
  </si>
  <si>
    <t xml:space="preserve">[MOTOR] SOAK 2 BOTTOM FEED Last Posion is not. </t>
  </si>
  <si>
    <t xml:space="preserve">[MOTOR] SOAK TOP FEED Last Posion is not. </t>
  </si>
  <si>
    <t xml:space="preserve">[MOTOR] DESOAK 1 BOTTOM_FEED Last Posion is not. </t>
  </si>
  <si>
    <t xml:space="preserve">[MOTOR] DESOAK 2 BOTTOM_FEED Last Posion is not. </t>
  </si>
  <si>
    <t xml:space="preserve">[MOTOR] DESOAK TOP FEED Last Posion is not. </t>
  </si>
  <si>
    <t xml:space="preserve">[MOTOR] TEST PRESS 1 Last Posion is not. </t>
  </si>
  <si>
    <t xml:space="preserve">[MOTOR] TEST PRESS 2 Last Posion is not. </t>
  </si>
  <si>
    <t xml:space="preserve">[MOTOR] MP X Last Posion is not. </t>
  </si>
  <si>
    <t xml:space="preserve">[MOTOR] MP ROTATION LEFT R Last Posion is not. </t>
  </si>
  <si>
    <t xml:space="preserve">[MOTOR] MP ROTATION RIGHT R Last Posion is not. </t>
  </si>
  <si>
    <t xml:space="preserve">[MOTOR] MP Z Last Posion is not. </t>
  </si>
  <si>
    <t>[ETC]Test site#2 tray position check #2 recognition failied.</t>
  </si>
  <si>
    <t>[ETC] E-STOP FRONT LEFT button pressed.</t>
  </si>
  <si>
    <t>[ETC] E-STOP FRONT RIGHT button pressed.</t>
  </si>
  <si>
    <t>[ETC] E-STOP MP Panel button pressed.</t>
  </si>
  <si>
    <t>[ETC] E-STOP REAR Panel button pressed.</t>
  </si>
  <si>
    <t>[ETC] Tray out reservation.</t>
  </si>
  <si>
    <t>[ETC] E-STOP Control Box button pressed.</t>
  </si>
  <si>
    <t>[ETC] All work has ended.</t>
  </si>
  <si>
    <t xml:space="preserve">[ETC] All work has ended.( Clean Out Mode ) </t>
  </si>
  <si>
    <t>[ETC] All work has ended.( Retest Force End )</t>
  </si>
  <si>
    <t xml:space="preserve">[ETC] Main Power is not supplied. </t>
  </si>
  <si>
    <t xml:space="preserve">[ETC] Main air is not being supplied normally. </t>
  </si>
  <si>
    <t>[ETC] Door Lock #1 Sensor not detected.</t>
  </si>
  <si>
    <t>[ETC] Door Lock #2 Sensor not detected.</t>
  </si>
  <si>
    <t>[ETC] Door Lock #3 Sensor not detected.</t>
  </si>
  <si>
    <t>[ETC] Door Lock #4 Sensor not detected.</t>
  </si>
  <si>
    <t>[ETC] Door Lock #5 Sensor not detected.</t>
  </si>
  <si>
    <t>[ETC] Door Lock #6 Sensor not detected.</t>
  </si>
  <si>
    <t>[ETC] Soak Chamber #1 Door Lock Sensor not detected.</t>
  </si>
  <si>
    <t>[ETC] Soak Chamber #2 Door Lock #1 Sensor not detected.</t>
  </si>
  <si>
    <t>[ETC] Soak Chamber #2 Door Lock #2 Sensor not detected.</t>
  </si>
  <si>
    <t>[ETC] Test Chamber Door Lock Sensor not detected.</t>
  </si>
  <si>
    <t>[ETC] Desoak Chamber #2 Door Lock #2 Sensor not detected.</t>
  </si>
  <si>
    <t>[ETC] Desoak Chamber #2 Door Lock #1 Sensor not detected.</t>
  </si>
  <si>
    <t>[ETC] Desoak Chamber #1 Door Lock Sensor not detected.</t>
  </si>
  <si>
    <t>[ETC] Front Area Sensor detected.</t>
  </si>
  <si>
    <t>[ETC] Host was not connected. [SECSGEM]</t>
  </si>
  <si>
    <t>[ETC] LoadPort1 cancel. [SECSGEM]</t>
  </si>
  <si>
    <t>[ETC] LoadPort2 cancel. [SECSGEM]</t>
  </si>
  <si>
    <t>[ETC] LoadPort4 cancel. [SECSGEM]</t>
  </si>
  <si>
    <t>[ETC] LoadPort5 cancel. [SECSGEM]</t>
  </si>
  <si>
    <t>[ETC] LoadPort6 cancel. [SECSGEM]</t>
  </si>
  <si>
    <t>[ETC] the LoadPort1 Access Mode is auto mode. [SECSGEM]</t>
  </si>
  <si>
    <t>[ETC] the LoadPort2 Access Mode is auto mode. [SECSGEM]</t>
  </si>
  <si>
    <t>[ETC] the LoadPort3 Access Mode is auto mode. [SECSGEM]</t>
  </si>
  <si>
    <t>[ETC] the LoadPort4 Access Mode is auto mode. [SECSGEM]</t>
  </si>
  <si>
    <t>[ETC] the LoadPort5 Access Mode is auto mode. [SECSGEM]</t>
  </si>
  <si>
    <t>[ETC] the LoadPort6 Access Mode is auto mode. [SECSGEM]</t>
  </si>
  <si>
    <t>[ETC] RPA Module Type is invalid. [SECSGEM]</t>
  </si>
  <si>
    <t>[ETC] T-Tray Module TYPE does not match the setting.</t>
  </si>
  <si>
    <t>[ETC] We didn`t get substrate map data from the host.</t>
  </si>
  <si>
    <t>[ETC]Substrate ID validation on HOST takes a long time.</t>
  </si>
  <si>
    <t>[ETC]Carrier ID validation on HOST takes a long time.</t>
  </si>
  <si>
    <t>[ETC]We didn`t get Slot map from the host.</t>
  </si>
  <si>
    <t>[ETC]Module ID validation on HOST takes a long time.</t>
  </si>
  <si>
    <t>[ETC]It takes a long time to get the Start Retest command from the Host.</t>
  </si>
  <si>
    <t>[TEMP] The temp controller data was not received . (Timeout)</t>
  </si>
  <si>
    <t>[TEMP] Temperature not in use mode.</t>
  </si>
  <si>
    <t>[TEMP] Temperature setting exceeded range.</t>
  </si>
  <si>
    <t>[TEMP] Temperature use mode.</t>
  </si>
  <si>
    <t>0 JAM</t>
  </si>
  <si>
    <t>Machine #1</t>
  </si>
  <si>
    <t xml:space="preserve">MNI # </t>
  </si>
  <si>
    <t>Ver 24.03.11.01(A2)</t>
  </si>
  <si>
    <t>Machine software Ver on 04/05/2024.</t>
  </si>
  <si>
    <t>DDR4 SODIMM / UDIMM Standard</t>
  </si>
  <si>
    <t>Machine #2</t>
  </si>
  <si>
    <t>T/Jam</t>
  </si>
  <si>
    <t>Warranty Start Date</t>
  </si>
  <si>
    <t>Warranty End Date</t>
  </si>
  <si>
    <t>Warranty Status</t>
  </si>
  <si>
    <t>Active</t>
  </si>
  <si>
    <t>M/C Software Ver</t>
  </si>
  <si>
    <t>Total Output (pcs)</t>
  </si>
  <si>
    <t>No of Jam</t>
  </si>
  <si>
    <t>Machine PPJ</t>
  </si>
  <si>
    <t>PPJ % (5000pcs)</t>
  </si>
  <si>
    <t xml:space="preserve">Product Type </t>
  </si>
  <si>
    <t>DDR4 SODIMM/UDIMM</t>
  </si>
  <si>
    <t>Top 3 Error station and percentage</t>
  </si>
  <si>
    <t>Unload hand</t>
  </si>
  <si>
    <t>Setplate</t>
  </si>
  <si>
    <t>Top 3 error Percentage</t>
  </si>
  <si>
    <t>Jan'2025 AD3208M Monthly report summary</t>
  </si>
  <si>
    <t>Raj</t>
  </si>
  <si>
    <t>#14 (AD3208-18)</t>
  </si>
  <si>
    <t>#31(AD3208-029)</t>
  </si>
  <si>
    <t>#31 (AD3208M-29)</t>
  </si>
  <si>
    <t>#14 (AD3208M-18)</t>
  </si>
  <si>
    <t>Feb'2025 AD3208M Monthly report summary</t>
  </si>
  <si>
    <t>Mar'2025 AD3208M Monthly report summary</t>
  </si>
  <si>
    <t>Tray flow</t>
  </si>
  <si>
    <t xml:space="preserve">Transfer </t>
  </si>
  <si>
    <t>April '2025 AD3208M Monthly report summary</t>
  </si>
  <si>
    <t>Desoak chamber</t>
  </si>
  <si>
    <t>soak chamber</t>
  </si>
  <si>
    <t>May '2025 AD3208M Monthly report summary</t>
  </si>
  <si>
    <t>June '2025 AD3208M Monthly report summary</t>
  </si>
  <si>
    <t xml:space="preserve"> </t>
  </si>
  <si>
    <t>Set plate</t>
  </si>
  <si>
    <t>DDR4 / DDR5 - SODIMM/UDIMM</t>
  </si>
  <si>
    <t>Load hand</t>
  </si>
  <si>
    <t>Production support (online)</t>
  </si>
  <si>
    <t>Production support (online) and  ATEMS project</t>
  </si>
  <si>
    <t>Week end</t>
  </si>
  <si>
    <t>Set Plate&amp;BUFFER</t>
  </si>
  <si>
    <t>LD Flow&amp;Middle</t>
  </si>
  <si>
    <t>INPUT FLOW</t>
  </si>
  <si>
    <t>TEST SITE</t>
  </si>
  <si>
    <t>OUTPUT FLOW</t>
  </si>
  <si>
    <t>UD Flow&amp;Middle</t>
  </si>
  <si>
    <t>MOTOR</t>
  </si>
  <si>
    <t>LD Tray Flow Preciser Up Sol  operation failed</t>
    <phoneticPr fontId="1" type="noConversion"/>
  </si>
  <si>
    <r>
      <t xml:space="preserve">TOP FEEDER GRIP </t>
    </r>
    <r>
      <rPr>
        <sz val="11"/>
        <color theme="1"/>
        <rFont val="맑은 고딕"/>
        <family val="2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주십시오.</t>
    </r>
    <phoneticPr fontId="1" type="noConversion"/>
  </si>
  <si>
    <r>
      <t xml:space="preserve">TOP FEEDER GRIP </t>
    </r>
    <r>
      <rPr>
        <sz val="11"/>
        <color theme="1"/>
        <rFont val="맑은 고딕"/>
        <family val="2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주십시오</t>
    </r>
    <r>
      <rPr>
        <sz val="11"/>
        <color theme="1"/>
        <rFont val="Calibri"/>
        <family val="2"/>
      </rPr>
      <t>.</t>
    </r>
    <phoneticPr fontId="1" type="noConversion"/>
  </si>
  <si>
    <t>UNLOAD_FLOW_MIDDLE_FEEDER_Y Axis Motor alarm has occurred.</t>
    <phoneticPr fontId="1" type="noConversion"/>
  </si>
  <si>
    <r>
      <t xml:space="preserve">BOTTOM GRIP </t>
    </r>
    <r>
      <rPr>
        <sz val="11"/>
        <color theme="1"/>
        <rFont val="맑은 고딕"/>
        <family val="2"/>
        <charset val="129"/>
      </rPr>
      <t>상태가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아닙니다</t>
    </r>
    <r>
      <rPr>
        <sz val="11"/>
        <color theme="1"/>
        <rFont val="Calibri"/>
        <family val="2"/>
      </rPr>
      <t>.</t>
    </r>
    <phoneticPr fontId="1" type="noConversion"/>
  </si>
  <si>
    <t>ULD Tray Lift Rear Top Check</t>
    <phoneticPr fontId="1" type="noConversion"/>
  </si>
  <si>
    <t>LD Tray Flow Preciser Up Sol</t>
    <phoneticPr fontId="1" type="noConversion"/>
  </si>
  <si>
    <t>Module detected on Load Hand.</t>
    <phoneticPr fontId="1" type="noConversion"/>
  </si>
  <si>
    <t xml:space="preserve">LD Tray Lift Front Top Check </t>
    <phoneticPr fontId="1" type="noConversion"/>
  </si>
  <si>
    <t xml:space="preserve">LD Tray Flow Preciser Up Sol </t>
    <phoneticPr fontId="1" type="noConversion"/>
  </si>
  <si>
    <t>LD Tray Flow Top T-Tray Check</t>
    <phoneticPr fontId="1" type="noConversion"/>
  </si>
  <si>
    <t xml:space="preserve"> LD Tray Flow Preciser Up Sol</t>
    <phoneticPr fontId="1" type="noConversion"/>
  </si>
  <si>
    <r>
      <t>T-TAY</t>
    </r>
    <r>
      <rPr>
        <sz val="11"/>
        <color theme="1"/>
        <rFont val="맑은 고딕"/>
        <family val="2"/>
        <charset val="129"/>
      </rPr>
      <t xml:space="preserve">가 걸려 </t>
    </r>
    <r>
      <rPr>
        <sz val="11"/>
        <color theme="1"/>
        <rFont val="Calibri"/>
        <family val="2"/>
      </rPr>
      <t xml:space="preserve">UP </t>
    </r>
    <r>
      <rPr>
        <sz val="11"/>
        <color theme="1"/>
        <rFont val="맑은 고딕"/>
        <family val="2"/>
        <charset val="129"/>
      </rPr>
      <t xml:space="preserve">동장 </t>
    </r>
    <r>
      <rPr>
        <sz val="11"/>
        <color theme="1"/>
        <rFont val="Calibri"/>
        <family val="2"/>
      </rPr>
      <t>fail</t>
    </r>
    <r>
      <rPr>
        <sz val="11"/>
        <color theme="1"/>
        <rFont val="맑은 고딕"/>
        <family val="2"/>
        <charset val="129"/>
      </rPr>
      <t xml:space="preserve"> 현상으로 Preciser </t>
    </r>
    <r>
      <rPr>
        <sz val="11"/>
        <color theme="1"/>
        <rFont val="Calibri"/>
        <family val="2"/>
      </rPr>
      <t xml:space="preserve">down/up </t>
    </r>
    <r>
      <rPr>
        <sz val="11"/>
        <color theme="1"/>
        <rFont val="맑은 고딕"/>
        <family val="2"/>
        <charset val="129"/>
      </rPr>
      <t>하여 정상 동작 확인</t>
    </r>
    <phoneticPr fontId="1" type="noConversion"/>
  </si>
  <si>
    <r>
      <t>T-TAY</t>
    </r>
    <r>
      <rPr>
        <sz val="11"/>
        <color theme="1"/>
        <rFont val="맑은 고딕"/>
        <family val="2"/>
        <charset val="129"/>
      </rPr>
      <t xml:space="preserve"> 삽입 시 부정확 한 위치에 넣어서 발생</t>
    </r>
    <phoneticPr fontId="1" type="noConversion"/>
  </si>
  <si>
    <t xml:space="preserve">더미자재로 런중 자재 못집음 </t>
    <phoneticPr fontId="1" type="noConversion"/>
  </si>
  <si>
    <t>Hand Module is not Exist. Check the Exist Sensor.[ No.1 ] [ No.3 ] [ No.5 ] [ No.7 ]</t>
    <phoneticPr fontId="1" type="noConversion"/>
  </si>
  <si>
    <t>Load Bacode Position Setting Fail</t>
    <phoneticPr fontId="1" type="noConversion"/>
  </si>
  <si>
    <t>Load Transfer C-Tray Step check failed</t>
    <phoneticPr fontId="1" type="noConversion"/>
  </si>
  <si>
    <t>TEST_SITE_FRONT_Z Axis Failed to return home.</t>
    <phoneticPr fontId="1" type="noConversion"/>
  </si>
  <si>
    <t>UNLOAD_TRANSFER_Z Axis Motor power is not supplied</t>
    <phoneticPr fontId="1" type="noConversion"/>
  </si>
  <si>
    <t>TEST_SITE_FRONT_Z Axis Motor power is not supplied</t>
    <phoneticPr fontId="1" type="noConversion"/>
  </si>
  <si>
    <r>
      <t xml:space="preserve">09/02 </t>
    </r>
    <r>
      <rPr>
        <sz val="11"/>
        <color theme="1"/>
        <rFont val="맑은 고딕"/>
        <family val="2"/>
        <charset val="129"/>
      </rPr>
      <t xml:space="preserve">우익 시설점검으로 MAIN </t>
    </r>
    <r>
      <rPr>
        <sz val="11"/>
        <color theme="1"/>
        <rFont val="Calibri"/>
        <family val="2"/>
      </rPr>
      <t xml:space="preserve">POWER OFF </t>
    </r>
    <r>
      <rPr>
        <sz val="11"/>
        <color theme="1"/>
        <rFont val="맑은 고딕"/>
        <family val="2"/>
        <charset val="129"/>
      </rPr>
      <t xml:space="preserve">후 재가동 시 에러발생 </t>
    </r>
    <phoneticPr fontId="1" type="noConversion"/>
  </si>
  <si>
    <t>BCR reading fail</t>
    <phoneticPr fontId="1" type="noConversion"/>
  </si>
  <si>
    <r>
      <rPr>
        <sz val="11"/>
        <color theme="1"/>
        <rFont val="맑은 고딕"/>
        <family val="2"/>
        <charset val="129"/>
      </rPr>
      <t xml:space="preserve">자재 사이드 이물질 관련 점검 중 </t>
    </r>
    <r>
      <rPr>
        <sz val="11"/>
        <color theme="1"/>
        <rFont val="Calibri"/>
        <family val="2"/>
      </rPr>
      <t>INIT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발생/</t>
    </r>
    <r>
      <rPr>
        <sz val="11"/>
        <color theme="1"/>
        <rFont val="Calibri"/>
        <family val="2"/>
      </rPr>
      <t>Top feeder home check</t>
    </r>
    <phoneticPr fontId="1" type="noConversion"/>
  </si>
  <si>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이물질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관련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점검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INIT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>/Top feeder home check</t>
    </r>
    <phoneticPr fontId="1" type="noConversion"/>
  </si>
  <si>
    <r>
      <rPr>
        <sz val="11"/>
        <color theme="1"/>
        <rFont val="맑은 고딕"/>
        <family val="2"/>
        <charset val="129"/>
      </rPr>
      <t xml:space="preserve">자재 사이드 이물질 관련 점검 중 </t>
    </r>
    <r>
      <rPr>
        <sz val="11"/>
        <color theme="1"/>
        <rFont val="Calibri"/>
        <family val="2"/>
      </rPr>
      <t>INIT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  <charset val="129"/>
      </rPr>
      <t>/T-tray POS check</t>
    </r>
    <phoneticPr fontId="1" type="noConversion"/>
  </si>
  <si>
    <t>검증자재로 런중 자재 못집음/hand reteaching</t>
    <phoneticPr fontId="1" type="noConversion"/>
  </si>
  <si>
    <t>Hand Module is not Exist. Check the Exist Sensor.[ No.3 ]</t>
    <phoneticPr fontId="1" type="noConversion"/>
  </si>
  <si>
    <t>Hand Module is not Exist. Check the Exist Sensor.[ No.5 ]</t>
    <phoneticPr fontId="1" type="noConversion"/>
  </si>
  <si>
    <t>Load Transfer C-Tray direction check failed</t>
    <phoneticPr fontId="1" type="noConversion"/>
  </si>
  <si>
    <r>
      <rPr>
        <sz val="11"/>
        <color theme="1"/>
        <rFont val="맑은 고딕"/>
        <family val="2"/>
        <charset val="129"/>
      </rPr>
      <t xml:space="preserve">검증자재 투입 시 </t>
    </r>
    <r>
      <rPr>
        <sz val="11"/>
        <color theme="1"/>
        <rFont val="Calibri"/>
        <family val="2"/>
      </rPr>
      <t xml:space="preserve">c-tary </t>
    </r>
    <r>
      <rPr>
        <sz val="11"/>
        <color theme="1"/>
        <rFont val="맑은 고딕"/>
        <family val="2"/>
        <charset val="129"/>
      </rPr>
      <t xml:space="preserve">투입 </t>
    </r>
    <r>
      <rPr>
        <sz val="11"/>
        <color theme="1"/>
        <rFont val="Calibri"/>
        <family val="2"/>
      </rPr>
      <t>miss</t>
    </r>
    <phoneticPr fontId="1" type="noConversion"/>
  </si>
  <si>
    <r>
      <t xml:space="preserve">Load Transfer </t>
    </r>
    <r>
      <rPr>
        <sz val="11"/>
        <color theme="1"/>
        <rFont val="맑은 고딕"/>
        <family val="2"/>
        <charset val="129"/>
      </rPr>
      <t xml:space="preserve">방향 </t>
    </r>
    <r>
      <rPr>
        <sz val="11"/>
        <color theme="1"/>
        <rFont val="Calibri"/>
        <family val="2"/>
      </rPr>
      <t xml:space="preserve">check </t>
    </r>
    <r>
      <rPr>
        <sz val="11"/>
        <color theme="1"/>
        <rFont val="맑은 고딕"/>
        <family val="2"/>
        <charset val="129"/>
      </rPr>
      <t xml:space="preserve">실패/ 위치 재조정 후 </t>
    </r>
    <r>
      <rPr>
        <sz val="11"/>
        <color theme="1"/>
        <rFont val="Calibri"/>
        <family val="2"/>
      </rPr>
      <t>run</t>
    </r>
    <phoneticPr fontId="1" type="noConversion"/>
  </si>
  <si>
    <t>Hand Module is not Exist. Check the Exist Sensor.[ No.2 ] [ No.4 ] [ No.6 ] [ No.8 ]</t>
    <phoneticPr fontId="1" type="noConversion"/>
  </si>
  <si>
    <t>Module barcode communication does not respond.</t>
    <phoneticPr fontId="1" type="noConversion"/>
  </si>
  <si>
    <t>Empty Stacker Manual C-Tray Stopper Check</t>
    <phoneticPr fontId="1" type="noConversion"/>
  </si>
  <si>
    <r>
      <t xml:space="preserve">Dummy </t>
    </r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&lt;-&gt; </t>
    </r>
    <r>
      <rPr>
        <sz val="11"/>
        <color theme="1"/>
        <rFont val="맑은 고딕"/>
        <family val="2"/>
        <charset val="129"/>
      </rPr>
      <t>양산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차이로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인하여</t>
    </r>
    <r>
      <rPr>
        <sz val="11"/>
        <color theme="1"/>
        <rFont val="Calibri"/>
        <family val="2"/>
      </rPr>
      <t xml:space="preserve"> Picking Err.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>/hand reteaching</t>
    </r>
    <phoneticPr fontId="1" type="noConversion"/>
  </si>
  <si>
    <t>BCR communication fail/reconnect</t>
    <phoneticPr fontId="1" type="noConversion"/>
  </si>
  <si>
    <t>UNLOAD_HAND_Z Axis Origin check is failed</t>
    <phoneticPr fontId="1" type="noConversion"/>
  </si>
  <si>
    <t>UD hand home check</t>
    <phoneticPr fontId="1" type="noConversion"/>
  </si>
  <si>
    <t>LD Tray Flow Top T-Tray Check   Sensor detected</t>
    <phoneticPr fontId="1" type="noConversion"/>
  </si>
  <si>
    <t>T-tay POS check</t>
    <phoneticPr fontId="1" type="noConversion"/>
  </si>
  <si>
    <t>Tester communication Result error</t>
    <phoneticPr fontId="1" type="noConversion"/>
  </si>
  <si>
    <r>
      <t xml:space="preserve">tester </t>
    </r>
    <r>
      <rPr>
        <sz val="11"/>
        <color theme="1"/>
        <rFont val="맑은 고딕"/>
        <family val="2"/>
        <charset val="129"/>
      </rPr>
      <t>통신 Err.</t>
    </r>
    <phoneticPr fontId="1" type="noConversion"/>
  </si>
  <si>
    <r>
      <t>Picking Err.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/LD HANDPICKER GRIPPER </t>
    </r>
    <r>
      <rPr>
        <sz val="11"/>
        <color theme="1"/>
        <rFont val="맑은 고딕"/>
        <family val="2"/>
        <charset val="129"/>
      </rPr>
      <t>재조정</t>
    </r>
    <phoneticPr fontId="1" type="noConversion"/>
  </si>
  <si>
    <t>Hand Module is not Exist. Check the Exist Sensor.[ No.8 ]</t>
    <phoneticPr fontId="1" type="noConversion"/>
  </si>
  <si>
    <t>The module barcode could not be read properly</t>
    <phoneticPr fontId="1" type="noConversion"/>
  </si>
  <si>
    <r>
      <t xml:space="preserve">stopper POS </t>
    </r>
    <r>
      <rPr>
        <sz val="11"/>
        <color theme="1"/>
        <rFont val="맑은 고딕"/>
        <family val="2"/>
        <charset val="129"/>
      </rPr>
      <t>조정</t>
    </r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</si>
  <si>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 xml:space="preserve">방향 </t>
    </r>
    <r>
      <rPr>
        <sz val="11"/>
        <color theme="1"/>
        <rFont val="Calibri"/>
        <family val="2"/>
      </rPr>
      <t>check Err. Transfer Z</t>
    </r>
    <r>
      <rPr>
        <sz val="11"/>
        <color theme="1"/>
        <rFont val="맑은 고딕"/>
        <family val="2"/>
        <charset val="129"/>
      </rPr>
      <t>축 reteaching</t>
    </r>
    <phoneticPr fontId="1" type="noConversion"/>
  </si>
  <si>
    <r>
      <t>Picking Err.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>/hand reteaching</t>
    </r>
    <phoneticPr fontId="1" type="noConversion"/>
  </si>
  <si>
    <t>LD#1 Stacker C-Tray Front Base Guide Tray Check   recognition failed.</t>
    <phoneticPr fontId="1" type="noConversion"/>
  </si>
  <si>
    <r>
      <rPr>
        <sz val="11"/>
        <color theme="1"/>
        <rFont val="맑은 고딕"/>
        <family val="2"/>
        <charset val="129"/>
      </rPr>
      <t xml:space="preserve">우익 반도체 정비사 휴먼 </t>
    </r>
    <r>
      <rPr>
        <sz val="11"/>
        <color theme="1"/>
        <rFont val="Calibri"/>
        <family val="2"/>
      </rPr>
      <t>Err.</t>
    </r>
    <phoneticPr fontId="1" type="noConversion"/>
  </si>
  <si>
    <t>Hand Module is not Exist. Check the Exist Sensor.[ No.7 ]</t>
    <phoneticPr fontId="1" type="noConversion"/>
  </si>
  <si>
    <t>LD#1 Set-Plate Tray Support Unlock Sol</t>
    <phoneticPr fontId="1" type="noConversion"/>
  </si>
  <si>
    <t>Load Transfer C-Tray direction check failed.</t>
    <phoneticPr fontId="1" type="noConversion"/>
  </si>
  <si>
    <t>Hand Module is not Exist. Check the Exist Sensor.[ No.2 ]</t>
    <phoneticPr fontId="1" type="noConversion"/>
  </si>
  <si>
    <t>ULD#1 Stacker C-Tray Middle Base Guide Stopper Off Sol</t>
    <phoneticPr fontId="1" type="noConversion"/>
  </si>
  <si>
    <t xml:space="preserve"> ReJect Stacker C-Tray Bottom Base Input Check</t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</si>
  <si>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 xml:space="preserve">방향 </t>
    </r>
    <r>
      <rPr>
        <sz val="11"/>
        <color theme="1"/>
        <rFont val="Calibri"/>
        <family val="2"/>
      </rPr>
      <t xml:space="preserve">check Err./C-tray </t>
    </r>
    <r>
      <rPr>
        <sz val="11"/>
        <color theme="1"/>
        <rFont val="맑은 고딕"/>
        <family val="2"/>
        <charset val="129"/>
      </rPr>
      <t xml:space="preserve">살짝만 건들여도 </t>
    </r>
    <r>
      <rPr>
        <sz val="11"/>
        <color theme="1"/>
        <rFont val="Calibri"/>
        <family val="2"/>
      </rPr>
      <t>sensor</t>
    </r>
    <r>
      <rPr>
        <sz val="11"/>
        <color theme="1"/>
        <rFont val="맑은 고딕"/>
        <family val="2"/>
        <charset val="129"/>
      </rPr>
      <t>인식 원인 파악중</t>
    </r>
    <phoneticPr fontId="1" type="noConversion"/>
  </si>
  <si>
    <r>
      <t xml:space="preserve"> SENSOR CABLE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너무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타이트하여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접불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발생/magnetic sensor POS 조정</t>
    </r>
    <phoneticPr fontId="1" type="noConversion"/>
  </si>
  <si>
    <r>
      <t xml:space="preserve">ReJect Stacker C-Tray </t>
    </r>
    <r>
      <rPr>
        <sz val="11"/>
        <color theme="1"/>
        <rFont val="맑은 고딕"/>
        <family val="2"/>
        <charset val="129"/>
      </rPr>
      <t>투입 시 걸림 현상/투입 할 당시 과도하게 틀어지게 투입해서 발생</t>
    </r>
    <phoneticPr fontId="1" type="noConversion"/>
  </si>
  <si>
    <r>
      <rPr>
        <sz val="11"/>
        <color theme="1"/>
        <rFont val="맑은 고딕"/>
        <family val="2"/>
        <charset val="129"/>
      </rPr>
      <t xml:space="preserve">단발성 </t>
    </r>
    <r>
      <rPr>
        <sz val="11"/>
        <color theme="1"/>
        <rFont val="Calibri"/>
        <family val="2"/>
      </rPr>
      <t>Err.</t>
    </r>
    <r>
      <rPr>
        <sz val="11"/>
        <color theme="1"/>
        <rFont val="맑은 고딕"/>
        <family val="2"/>
        <charset val="129"/>
      </rPr>
      <t>로 판단</t>
    </r>
    <phoneticPr fontId="1" type="noConversion"/>
  </si>
  <si>
    <t>Unoad Transfer C-Tray direction check failed.</t>
    <phoneticPr fontId="1" type="noConversion"/>
  </si>
  <si>
    <r>
      <t>Load Transfer</t>
    </r>
    <r>
      <rPr>
        <sz val="11"/>
        <color theme="1"/>
        <rFont val="맑은 고딕"/>
        <family val="2"/>
        <charset val="129"/>
      </rPr>
      <t xml:space="preserve">가 </t>
    </r>
    <r>
      <rPr>
        <sz val="11"/>
        <color theme="1"/>
        <rFont val="Calibri"/>
        <family val="2"/>
      </rPr>
      <t>Empty Stacker</t>
    </r>
    <r>
      <rPr>
        <sz val="11"/>
        <color theme="1"/>
        <rFont val="맑은 고딕"/>
        <family val="2"/>
        <charset val="129"/>
      </rPr>
      <t>에 내려 놓을 때 틀어짐 발생/</t>
    </r>
    <r>
      <rPr>
        <sz val="11"/>
        <color theme="1"/>
        <rFont val="Calibri"/>
        <family val="2"/>
      </rPr>
      <t xml:space="preserve">Load Transfer L,R GRIP </t>
    </r>
    <r>
      <rPr>
        <sz val="11"/>
        <color theme="1"/>
        <rFont val="맑은 고딕"/>
        <family val="2"/>
        <charset val="129"/>
      </rPr>
      <t>티칭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진행</t>
    </r>
    <phoneticPr fontId="1" type="noConversion"/>
  </si>
  <si>
    <t>LD#1 Stacker Manual C-Tray Front Stopper Check</t>
    <phoneticPr fontId="1" type="noConversion"/>
  </si>
  <si>
    <t>Unloader Transfer Head Tray Check   recognition failed.</t>
    <phoneticPr fontId="1" type="noConversion"/>
  </si>
  <si>
    <t>-</t>
    <phoneticPr fontId="1" type="noConversion"/>
  </si>
  <si>
    <r>
      <t xml:space="preserve">Stopper </t>
    </r>
    <r>
      <rPr>
        <sz val="11"/>
        <color theme="1"/>
        <rFont val="맑은 고딕"/>
        <family val="2"/>
        <charset val="129"/>
      </rPr>
      <t>오동작/Manual 동작확인</t>
    </r>
    <phoneticPr fontId="1" type="noConversion"/>
  </si>
  <si>
    <t>Load Bacode Position Setting Fail.</t>
    <phoneticPr fontId="1" type="noConversion"/>
  </si>
  <si>
    <t>Hand Module is not Exist. Check the Exist Sensor.[ No.# ]</t>
    <phoneticPr fontId="1" type="noConversion"/>
  </si>
  <si>
    <r>
      <rPr>
        <sz val="11"/>
        <color theme="1"/>
        <rFont val="맑은 고딕"/>
        <family val="2"/>
        <charset val="129"/>
      </rPr>
      <t xml:space="preserve">삽입 당시에 </t>
    </r>
    <r>
      <rPr>
        <sz val="11"/>
        <color theme="1"/>
        <rFont val="Calibri"/>
        <family val="2"/>
      </rPr>
      <t xml:space="preserve">C-Tray </t>
    </r>
    <r>
      <rPr>
        <sz val="11"/>
        <color theme="1"/>
        <rFont val="맑은 고딕"/>
        <family val="2"/>
        <charset val="129"/>
      </rPr>
      <t>틀어짐 발생</t>
    </r>
    <r>
      <rPr>
        <sz val="11"/>
        <color theme="1"/>
        <rFont val="Calibri"/>
        <family val="2"/>
        <charset val="129"/>
      </rPr>
      <t xml:space="preserve">/Manual </t>
    </r>
    <r>
      <rPr>
        <sz val="11"/>
        <color theme="1"/>
        <rFont val="맑은 고딕"/>
        <family val="2"/>
        <charset val="129"/>
      </rPr>
      <t xml:space="preserve">동작으로 </t>
    </r>
    <r>
      <rPr>
        <sz val="11"/>
        <color theme="1"/>
        <rFont val="Calibri"/>
        <family val="2"/>
      </rPr>
      <t xml:space="preserve">POS </t>
    </r>
    <r>
      <rPr>
        <sz val="11"/>
        <color theme="1"/>
        <rFont val="맑은 고딕"/>
        <family val="2"/>
        <charset val="129"/>
      </rPr>
      <t>맞춤</t>
    </r>
    <phoneticPr fontId="1" type="noConversion"/>
  </si>
  <si>
    <t>Unloader Picker Module Clamp Cylinder #7 Sol  operation failed</t>
    <phoneticPr fontId="1" type="noConversion"/>
  </si>
  <si>
    <r>
      <t xml:space="preserve">UNLOAD HANDPICKER Z-AXIS LM OIL </t>
    </r>
    <r>
      <rPr>
        <sz val="11"/>
        <color theme="1"/>
        <rFont val="맑은 고딕"/>
        <family val="2"/>
        <charset val="129"/>
      </rPr>
      <t>받침</t>
    </r>
    <r>
      <rPr>
        <sz val="11"/>
        <color theme="1"/>
        <rFont val="Calibri"/>
        <family val="2"/>
      </rPr>
      <t xml:space="preserve"> BRK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Calibri"/>
        <family val="2"/>
      </rPr>
      <t xml:space="preserve"> MAGNETIC SENSOR </t>
    </r>
    <r>
      <rPr>
        <sz val="11"/>
        <color theme="1"/>
        <rFont val="맑은 고딕"/>
        <family val="2"/>
        <charset val="129"/>
      </rPr>
      <t>간섭으로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인해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./ MAGNETIC SENSOR CABLE </t>
    </r>
    <r>
      <rPr>
        <sz val="11"/>
        <color theme="1"/>
        <rFont val="맑은 고딕"/>
        <family val="2"/>
        <charset val="129"/>
      </rPr>
      <t>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정리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진행</t>
    </r>
    <r>
      <rPr>
        <sz val="11"/>
        <color theme="1"/>
        <rFont val="Calibri"/>
        <family val="2"/>
      </rPr>
      <t>.</t>
    </r>
    <phoneticPr fontId="1" type="noConversion"/>
  </si>
  <si>
    <t>The module barcode could not be read properly.</t>
  </si>
  <si>
    <t>Loader Transfer Head Tray Check   recognition failed</t>
    <phoneticPr fontId="1" type="noConversion"/>
  </si>
  <si>
    <t>LD#1 Set-Plate Tray Support L Unlock Sensor   recognition failed.</t>
    <phoneticPr fontId="1" type="noConversion"/>
  </si>
  <si>
    <r>
      <t>SENSOR CABLE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너무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타이트하여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접불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발생/magnetic sensor POS 조정</t>
    </r>
    <phoneticPr fontId="1" type="noConversion"/>
  </si>
  <si>
    <t>LD#1 Set-Plate Tray Support Unlock Sol  operation failed.</t>
    <phoneticPr fontId="1" type="noConversion"/>
  </si>
  <si>
    <t>LD#2 Set-Plate Z-Axis Up Sensor   recognition failed.</t>
    <phoneticPr fontId="1" type="noConversion"/>
  </si>
  <si>
    <t>LD Middle Feeder Tray Side Lock Sol  operation failed.</t>
    <phoneticPr fontId="1" type="noConversion"/>
  </si>
  <si>
    <r>
      <rPr>
        <sz val="11"/>
        <color theme="1"/>
        <rFont val="맑은 고딕"/>
        <family val="2"/>
        <charset val="129"/>
      </rPr>
      <t xml:space="preserve">바코드 통신 </t>
    </r>
    <r>
      <rPr>
        <sz val="11"/>
        <color theme="1"/>
        <rFont val="Calibri"/>
        <family val="2"/>
      </rPr>
      <t>Err.</t>
    </r>
    <phoneticPr fontId="1" type="noConversion"/>
  </si>
  <si>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투입시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트레이가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제대로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쌓이지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않은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들어가며 </t>
    </r>
    <r>
      <rPr>
        <sz val="11"/>
        <color theme="1"/>
        <rFont val="Calibri"/>
        <family val="2"/>
      </rPr>
      <t>TRANSFER</t>
    </r>
    <r>
      <rPr>
        <sz val="11"/>
        <color theme="1"/>
        <rFont val="맑은 고딕"/>
        <family val="2"/>
        <charset val="129"/>
      </rPr>
      <t>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트레이</t>
    </r>
    <r>
      <rPr>
        <sz val="11"/>
        <color theme="1"/>
        <rFont val="Calibri"/>
        <family val="2"/>
      </rPr>
      <t xml:space="preserve"> align </t>
    </r>
    <r>
      <rPr>
        <sz val="11"/>
        <color theme="1"/>
        <rFont val="맑은 고딕"/>
        <family val="2"/>
        <charset val="129"/>
      </rPr>
      <t>맞지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않고 </t>
    </r>
    <r>
      <rPr>
        <sz val="11"/>
        <color theme="1"/>
        <rFont val="Calibri"/>
        <family val="2"/>
      </rPr>
      <t xml:space="preserve">SET PLATE </t>
    </r>
    <r>
      <rPr>
        <sz val="11"/>
        <color theme="1"/>
        <rFont val="맑은 고딕"/>
        <family val="2"/>
        <charset val="129"/>
      </rPr>
      <t>안착이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제대로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되지않아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>.</t>
    </r>
    <phoneticPr fontId="1" type="noConversion"/>
  </si>
  <si>
    <r>
      <t xml:space="preserve">T-tray </t>
    </r>
    <r>
      <rPr>
        <sz val="11"/>
        <color theme="1"/>
        <rFont val="맑은 고딕"/>
        <family val="2"/>
        <charset val="129"/>
      </rPr>
      <t>바디 데미지 검증 위해 붙여두었던 라인테이프가 접찹력이 떨어져 side lock Sol에 걸려서 나온 Err.</t>
    </r>
    <phoneticPr fontId="1" type="noConversion"/>
  </si>
  <si>
    <r>
      <t xml:space="preserve">NOREAD </t>
    </r>
    <r>
      <rPr>
        <sz val="11"/>
        <color theme="1"/>
        <rFont val="맑은 고딕"/>
        <family val="2"/>
        <charset val="129"/>
      </rPr>
      <t>다량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>. Y</t>
    </r>
    <r>
      <rPr>
        <sz val="11"/>
        <color theme="1"/>
        <rFont val="맑은 고딕"/>
        <family val="2"/>
        <charset val="129"/>
      </rPr>
      <t>축 티칭</t>
    </r>
    <phoneticPr fontId="1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</si>
  <si>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Calibri"/>
        <family val="2"/>
      </rPr>
      <t xml:space="preserve"> LOT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Calibri"/>
        <family val="2"/>
      </rPr>
      <t xml:space="preserve"> NOREAD </t>
    </r>
    <r>
      <rPr>
        <sz val="11"/>
        <color theme="1"/>
        <rFont val="맑은 고딕"/>
        <family val="2"/>
        <charset val="129"/>
      </rPr>
      <t>다량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>.</t>
    </r>
    <r>
      <rPr>
        <sz val="11"/>
        <color theme="1"/>
        <rFont val="Calibri"/>
        <family val="2"/>
        <charset val="129"/>
      </rPr>
      <t xml:space="preserve"> Y</t>
    </r>
    <r>
      <rPr>
        <sz val="11"/>
        <color theme="1"/>
        <rFont val="맑은 고딕"/>
        <family val="2"/>
        <charset val="129"/>
      </rPr>
      <t>축 티칭</t>
    </r>
    <phoneticPr fontId="1" type="noConversion"/>
  </si>
  <si>
    <r>
      <t xml:space="preserve">Set plate Lock Sensor Unlock </t>
    </r>
    <r>
      <rPr>
        <sz val="11"/>
        <color theme="1"/>
        <rFont val="맑은 고딕"/>
        <family val="2"/>
        <charset val="129"/>
      </rPr>
      <t>동작 실패</t>
    </r>
    <phoneticPr fontId="1" type="noConversion"/>
  </si>
  <si>
    <t>Hand Module is not Exist. Check the Exist Sensor.[ No.8 #]</t>
    <phoneticPr fontId="1" type="noConversion"/>
  </si>
  <si>
    <t>ULD#1 Stacker C-Tray Middle Base Guide Stopper Off Sol    operation failed</t>
    <phoneticPr fontId="1" type="noConversion"/>
  </si>
  <si>
    <r>
      <t xml:space="preserve">Set plate Lock Sensor Unlock </t>
    </r>
    <r>
      <rPr>
        <sz val="11"/>
        <color theme="1"/>
        <rFont val="맑은 고딕"/>
        <family val="2"/>
        <charset val="129"/>
      </rPr>
      <t>동작 실패</t>
    </r>
    <r>
      <rPr>
        <sz val="11"/>
        <color theme="1"/>
        <rFont val="Calibri"/>
        <family val="2"/>
      </rPr>
      <t xml:space="preserve">/Sensor </t>
    </r>
    <r>
      <rPr>
        <sz val="11"/>
        <color theme="1"/>
        <rFont val="맑은 고딕"/>
        <family val="2"/>
        <charset val="129"/>
      </rPr>
      <t>교체진행</t>
    </r>
    <phoneticPr fontId="1" type="noConversion"/>
  </si>
  <si>
    <t>방향체크 알람/원인 파악 중</t>
    <phoneticPr fontId="1" type="noConversion"/>
  </si>
  <si>
    <r>
      <t>BCR reading fail/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Calibri"/>
        <family val="2"/>
      </rPr>
      <t xml:space="preserve">LD HAND X,Y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</si>
  <si>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r>
      <t xml:space="preserve">BCR reading fail/ ULD HAND 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</si>
  <si>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r>
      <t xml:space="preserve">BCR reading fail/ ULD HAND X,Y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</si>
  <si>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r>
      <t xml:space="preserve">BCR reading fail/ LD HAND X,Y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</si>
  <si>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r>
      <t xml:space="preserve">LD HAND X,Y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</si>
  <si>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t>Bottom Door Check Left Side#3 Check  Sensor detected</t>
    <phoneticPr fontId="1" type="noConversion"/>
  </si>
  <si>
    <r>
      <t xml:space="preserve">Tester Client </t>
    </r>
    <r>
      <rPr>
        <sz val="11"/>
        <color theme="1"/>
        <rFont val="맑은 고딕"/>
        <family val="2"/>
        <charset val="129"/>
      </rPr>
      <t>통신</t>
    </r>
    <r>
      <rPr>
        <sz val="11"/>
        <color theme="1"/>
        <rFont val="Calibri"/>
        <family val="2"/>
      </rPr>
      <t xml:space="preserve"> Data Size Error </t>
    </r>
    <r>
      <rPr>
        <sz val="11"/>
        <color theme="1"/>
        <rFont val="맑은 고딕"/>
        <family val="2"/>
        <charset val="129"/>
      </rPr>
      <t>발생하였습니다</t>
    </r>
    <phoneticPr fontId="1" type="noConversion"/>
  </si>
  <si>
    <r>
      <t xml:space="preserve">tester </t>
    </r>
    <r>
      <rPr>
        <sz val="11"/>
        <color theme="1"/>
        <rFont val="맑은 고딕"/>
        <family val="2"/>
        <charset val="129"/>
      </rPr>
      <t>통신</t>
    </r>
    <r>
      <rPr>
        <sz val="11"/>
        <color theme="1"/>
        <rFont val="Calibri"/>
        <family val="2"/>
      </rPr>
      <t xml:space="preserve"> Err.</t>
    </r>
    <phoneticPr fontId="1" type="noConversion"/>
  </si>
  <si>
    <r>
      <t xml:space="preserve">ETC </t>
    </r>
    <r>
      <rPr>
        <sz val="11"/>
        <color theme="1"/>
        <rFont val="맑은 고딕"/>
        <family val="2"/>
        <charset val="129"/>
      </rPr>
      <t xml:space="preserve">알람 </t>
    </r>
    <r>
      <rPr>
        <sz val="11"/>
        <color theme="1"/>
        <rFont val="Calibri"/>
        <family val="2"/>
      </rPr>
      <t xml:space="preserve">Run </t>
    </r>
    <r>
      <rPr>
        <sz val="11"/>
        <color theme="1"/>
        <rFont val="맑은 고딕"/>
        <family val="2"/>
        <charset val="129"/>
      </rPr>
      <t xml:space="preserve">중에 </t>
    </r>
    <r>
      <rPr>
        <sz val="11"/>
        <color theme="1"/>
        <rFont val="Calibri"/>
        <family val="2"/>
      </rPr>
      <t xml:space="preserve">Door Check </t>
    </r>
    <r>
      <rPr>
        <sz val="11"/>
        <color theme="1"/>
        <rFont val="맑은 고딕"/>
        <family val="2"/>
        <charset val="129"/>
      </rPr>
      <t xml:space="preserve">알람 발생/ 원인 파악필요 해당 </t>
    </r>
    <r>
      <rPr>
        <sz val="11"/>
        <color theme="1"/>
        <rFont val="Calibri"/>
        <family val="2"/>
      </rPr>
      <t xml:space="preserve">Err. 
</t>
    </r>
    <r>
      <rPr>
        <sz val="11"/>
        <color theme="1"/>
        <rFont val="맑은 고딕"/>
        <family val="2"/>
        <charset val="129"/>
      </rPr>
      <t xml:space="preserve">이후 같은 </t>
    </r>
    <r>
      <rPr>
        <sz val="11"/>
        <color theme="1"/>
        <rFont val="Calibri"/>
        <family val="2"/>
      </rPr>
      <t xml:space="preserve">Door </t>
    </r>
    <r>
      <rPr>
        <sz val="11"/>
        <color theme="1"/>
        <rFont val="맑은 고딕"/>
        <family val="2"/>
        <charset val="129"/>
      </rPr>
      <t xml:space="preserve">흔들어보거나 당겼을때 동일 </t>
    </r>
    <r>
      <rPr>
        <sz val="11"/>
        <color theme="1"/>
        <rFont val="Calibri"/>
        <family val="2"/>
      </rPr>
      <t xml:space="preserve">Err. </t>
    </r>
    <r>
      <rPr>
        <sz val="11"/>
        <color theme="1"/>
        <rFont val="맑은 고딕"/>
        <family val="2"/>
        <charset val="129"/>
      </rPr>
      <t>미발생</t>
    </r>
    <phoneticPr fontId="1" type="noConversion"/>
  </si>
  <si>
    <t>Front Test Site Tray R-Dimm Right Check   recognition failed.</t>
    <phoneticPr fontId="1" type="noConversion"/>
  </si>
  <si>
    <r>
      <t xml:space="preserve">Transfer C-TRAY </t>
    </r>
    <r>
      <rPr>
        <sz val="11"/>
        <color theme="1"/>
        <rFont val="맑은 고딕"/>
        <family val="2"/>
        <charset val="129"/>
      </rPr>
      <t>방향감지</t>
    </r>
    <r>
      <rPr>
        <sz val="11"/>
        <color theme="1"/>
        <rFont val="Calibri"/>
        <family val="2"/>
      </rPr>
      <t xml:space="preserve"> Err. 
LD2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다량으로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발생하여</t>
    </r>
    <r>
      <rPr>
        <sz val="11"/>
        <color theme="1"/>
        <rFont val="Calibri"/>
        <family val="2"/>
      </rPr>
      <t xml:space="preserve"> Z</t>
    </r>
    <r>
      <rPr>
        <sz val="11"/>
        <color theme="1"/>
        <rFont val="맑은 고딕"/>
        <family val="2"/>
        <charset val="129"/>
      </rPr>
      <t>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base align check </t>
    </r>
    <r>
      <rPr>
        <sz val="11"/>
        <color theme="1"/>
        <rFont val="맑은 고딕"/>
        <family val="2"/>
        <charset val="129"/>
      </rPr>
      <t>진행</t>
    </r>
    <phoneticPr fontId="1" type="noConversion"/>
  </si>
  <si>
    <t>야간에 발생하여 추가로 발생 시 센서 포지션이나 트레이 위치 확인 필요</t>
    <phoneticPr fontId="1" type="noConversion"/>
  </si>
  <si>
    <t>The module barcode could not be read properly.</t>
    <phoneticPr fontId="1" type="noConversion"/>
  </si>
  <si>
    <t>Loader Transfer Head Tray Check   recognition failed.</t>
    <phoneticPr fontId="1" type="noConversion"/>
  </si>
  <si>
    <t>ULD#1 Stacker C-Tray Middle Base Guide Stopper Off Sol    operation failed.</t>
    <phoneticPr fontId="1" type="noConversion"/>
  </si>
  <si>
    <r>
      <t xml:space="preserve"> Tray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살짝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걸려서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오픈이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안됨</t>
    </r>
    <r>
      <rPr>
        <sz val="11"/>
        <color theme="1"/>
        <rFont val="Calibri"/>
        <family val="2"/>
      </rPr>
      <t xml:space="preserve"> (Stoper </t>
    </r>
    <r>
      <rPr>
        <sz val="11"/>
        <color theme="1"/>
        <rFont val="맑은 고딕"/>
        <family val="2"/>
        <charset val="129"/>
      </rPr>
      <t>위치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Calibri"/>
        <family val="2"/>
      </rPr>
      <t>)</t>
    </r>
    <phoneticPr fontId="1" type="noConversion"/>
  </si>
  <si>
    <r>
      <t>Tray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살짝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걸려서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오픈이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안됨</t>
    </r>
    <phoneticPr fontId="1" type="noConversion"/>
  </si>
  <si>
    <r>
      <t>LD Transfer</t>
    </r>
    <r>
      <rPr>
        <sz val="11"/>
        <color theme="1"/>
        <rFont val="맑은 고딕"/>
        <family val="2"/>
        <charset val="129"/>
      </rPr>
      <t xml:space="preserve">에서 </t>
    </r>
    <r>
      <rPr>
        <sz val="11"/>
        <color theme="1"/>
        <rFont val="Calibri"/>
        <family val="2"/>
      </rPr>
      <t xml:space="preserve">Tray </t>
    </r>
    <r>
      <rPr>
        <sz val="11"/>
        <color theme="1"/>
        <rFont val="맑은 고딕"/>
        <family val="2"/>
        <charset val="129"/>
      </rPr>
      <t xml:space="preserve">집어가려다 떨어짐 </t>
    </r>
    <r>
      <rPr>
        <sz val="11"/>
        <color theme="1"/>
        <rFont val="Calibri"/>
        <family val="2"/>
      </rPr>
      <t xml:space="preserve">Tray </t>
    </r>
    <r>
      <rPr>
        <sz val="11"/>
        <color theme="1"/>
        <rFont val="맑은 고딕"/>
        <family val="2"/>
        <charset val="129"/>
      </rPr>
      <t>투입 시 8단에서 틀어진 것으로 확인</t>
    </r>
    <phoneticPr fontId="1" type="noConversion"/>
  </si>
  <si>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TRAY </t>
    </r>
    <r>
      <rPr>
        <sz val="11"/>
        <color theme="1"/>
        <rFont val="맑은 고딕"/>
        <family val="2"/>
        <charset val="129"/>
      </rPr>
      <t>문제로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보임</t>
    </r>
    <r>
      <rPr>
        <sz val="11"/>
        <color theme="1"/>
        <rFont val="Calibri"/>
        <family val="2"/>
      </rPr>
      <t xml:space="preserve">.  </t>
    </r>
    <r>
      <rPr>
        <sz val="11"/>
        <color theme="1"/>
        <rFont val="맑은 고딕"/>
        <family val="2"/>
        <charset val="129"/>
      </rPr>
      <t>우익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자체에서</t>
    </r>
    <r>
      <rPr>
        <sz val="11"/>
        <color theme="1"/>
        <rFont val="Calibri"/>
        <family val="2"/>
      </rPr>
      <t xml:space="preserve"> TRAY </t>
    </r>
    <r>
      <rPr>
        <sz val="11"/>
        <color theme="1"/>
        <rFont val="맑은 고딕"/>
        <family val="2"/>
        <charset val="129"/>
      </rPr>
      <t>반복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순환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사용으로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>경도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차이가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있다고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</t>
    </r>
    <phoneticPr fontId="1" type="noConversion"/>
  </si>
  <si>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Calibri"/>
        <family val="2"/>
      </rPr>
      <t xml:space="preserve"> TRAY </t>
    </r>
    <r>
      <rPr>
        <sz val="11"/>
        <color theme="1"/>
        <rFont val="맑은 고딕"/>
        <family val="2"/>
        <charset val="129"/>
      </rPr>
      <t>문제로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보임</t>
    </r>
    <r>
      <rPr>
        <sz val="11"/>
        <color theme="1"/>
        <rFont val="Calibri"/>
        <family val="2"/>
      </rPr>
      <t xml:space="preserve">.  </t>
    </r>
    <r>
      <rPr>
        <sz val="11"/>
        <color theme="1"/>
        <rFont val="맑은 고딕"/>
        <family val="2"/>
        <charset val="129"/>
      </rPr>
      <t>우익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자체에서</t>
    </r>
    <r>
      <rPr>
        <sz val="11"/>
        <color theme="1"/>
        <rFont val="Calibri"/>
        <family val="2"/>
      </rPr>
      <t xml:space="preserve"> TRAY </t>
    </r>
    <r>
      <rPr>
        <sz val="11"/>
        <color theme="1"/>
        <rFont val="맑은 고딕"/>
        <family val="2"/>
        <charset val="129"/>
      </rPr>
      <t>반복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순환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사용으로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>경도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차이가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있다고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</t>
    </r>
    <r>
      <rPr>
        <sz val="11"/>
        <color theme="1"/>
        <rFont val="Calibri"/>
        <family val="2"/>
        <charset val="129"/>
      </rPr>
      <t xml:space="preserve">/ HAND 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</si>
  <si>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r>
      <t>Trasfer</t>
    </r>
    <r>
      <rPr>
        <sz val="11"/>
        <color theme="1"/>
        <rFont val="맑은 고딕"/>
        <family val="2"/>
        <charset val="129"/>
      </rPr>
      <t>에서 못잡아감</t>
    </r>
    <phoneticPr fontId="1" type="noConversion"/>
  </si>
  <si>
    <t>방향체크 알람/센서 POS문제로 파악 중</t>
    <phoneticPr fontId="1" type="noConversion"/>
  </si>
  <si>
    <r>
      <t xml:space="preserve">BCR reading fail/ LD HAND 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</si>
  <si>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t>Hand Module is not Exist. Check the Exist Sensor.[ No.1 ]</t>
  </si>
  <si>
    <t>HAND Y AXIS 티칭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</si>
</sst>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맑은 고딕"/>
      <family val="2"/>
      <scheme val="minor"/>
    </font>
    <font>
      <b/>
      <sz val="8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B050"/>
      <name val="맑은 고딕"/>
      <family val="2"/>
      <scheme val="minor"/>
    </font>
    <font>
      <b/>
      <sz val="8"/>
      <color theme="4"/>
      <name val="맑은 고딕"/>
      <family val="2"/>
      <scheme val="minor"/>
    </font>
    <font>
      <sz val="8"/>
      <color rgb="FF000000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0" fillId="4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16" fontId="5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/>
    </xf>
    <xf numFmtId="176" fontId="0" fillId="9" borderId="1" xfId="0" applyNumberForma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8" fillId="2" borderId="0" xfId="0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8" fillId="0" borderId="11" xfId="0" applyFont="1" applyBorder="1"/>
    <xf numFmtId="0" fontId="8" fillId="0" borderId="5" xfId="0" applyFont="1" applyBorder="1"/>
    <xf numFmtId="0" fontId="12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7" fillId="3" borderId="4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0" borderId="8" xfId="0" applyFont="1" applyBorder="1"/>
    <xf numFmtId="0" fontId="8" fillId="8" borderId="1" xfId="0" applyFont="1" applyFill="1" applyBorder="1" applyAlignment="1">
      <alignment horizontal="center"/>
    </xf>
    <xf numFmtId="10" fontId="8" fillId="8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4" fontId="11" fillId="0" borderId="14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top" wrapText="1"/>
    </xf>
    <xf numFmtId="0" fontId="0" fillId="4" borderId="9" xfId="0" applyFill="1" applyBorder="1" applyAlignment="1">
      <alignment horizontal="center" vertical="center"/>
    </xf>
    <xf numFmtId="14" fontId="0" fillId="0" borderId="14" xfId="0" applyNumberFormat="1" applyBorder="1" applyAlignment="1">
      <alignment horizontal="left" vertical="center"/>
    </xf>
    <xf numFmtId="0" fontId="7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8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0" fontId="8" fillId="8" borderId="1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/>
    </xf>
    <xf numFmtId="176" fontId="8" fillId="8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FF"/>
      <color rgb="FFF583ED"/>
      <color rgb="FFFC7CED"/>
      <color rgb="FFF676E1"/>
      <color rgb="FF9BA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'#SLH1'!$A$25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'#SLH1'!$C$25:$AG$25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D98-869A-773C984447E7}"/>
            </c:ext>
          </c:extLst>
        </c:ser>
        <c:ser>
          <c:idx val="4"/>
          <c:order val="4"/>
          <c:tx>
            <c:strRef>
              <c:f>'#SLH1'!$A$26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56-4ED1-BBC8-C6C35A40FE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5-4D98-869A-773C984447E7}"/>
            </c:ext>
          </c:extLst>
        </c:ser>
        <c:ser>
          <c:idx val="5"/>
          <c:order val="5"/>
          <c:tx>
            <c:strRef>
              <c:f>'#SLH1'!$A$27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41-4D7C-8904-205D1FB3B6FD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A56-4ED1-BBC8-C6C35A40FE57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A56-4ED1-BBC8-C6C35A40FE57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A56-4ED1-BBC8-C6C35A40FE57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7A-4964-AEF1-AB9123CAC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5-4D98-869A-773C984447E7}"/>
            </c:ext>
          </c:extLst>
        </c:ser>
        <c:ser>
          <c:idx val="6"/>
          <c:order val="6"/>
          <c:tx>
            <c:strRef>
              <c:f>'#SLH1'!$A$28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341-4D7C-8904-205D1FB3B6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15-4D98-869A-773C984447E7}"/>
            </c:ext>
          </c:extLst>
        </c:ser>
        <c:ser>
          <c:idx val="7"/>
          <c:order val="7"/>
          <c:tx>
            <c:strRef>
              <c:f>'#SLH1'!$A$29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15-4D98-869A-773C984447E7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56-4ED1-BBC8-C6C35A40FE57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A56-4ED1-BBC8-C6C35A40FE57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7A-4964-AEF1-AB9123CAC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6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15-4D98-869A-773C984447E7}"/>
            </c:ext>
          </c:extLst>
        </c:ser>
        <c:ser>
          <c:idx val="8"/>
          <c:order val="8"/>
          <c:tx>
            <c:strRef>
              <c:f>'#SLH1'!$A$30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341-4D7C-8904-205D1FB3B6FD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341-4D7C-8904-205D1FB3B6FD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56-4ED1-BBC8-C6C35A40FE57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A56-4ED1-BBC8-C6C35A40FE57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7A-4964-AEF1-AB9123CAC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15-4D98-869A-773C984447E7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15-4D98-869A-773C984447E7}"/>
            </c:ext>
          </c:extLst>
        </c:ser>
        <c:ser>
          <c:idx val="10"/>
          <c:order val="10"/>
          <c:tx>
            <c:strRef>
              <c:f>'#SLH1'!$A$32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583ED"/>
              </a:solidFill>
              <a:ln>
                <a:solidFill>
                  <a:srgbClr val="FF66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715-4D98-869A-773C984447E7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341-4D7C-8904-205D1FB3B6FD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A56-4ED1-BBC8-C6C35A40FE57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7A-4964-AEF1-AB9123CAC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'#SLH1'!$C$32:$AG$32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715-4D98-869A-773C984447E7}"/>
            </c:ext>
          </c:extLst>
        </c:ser>
        <c:ser>
          <c:idx val="11"/>
          <c:order val="11"/>
          <c:tx>
            <c:strRef>
              <c:f>'#SLH1'!$A$34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15-4D98-869A-773C9844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9041424"/>
        <c:axId val="1179055152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5715-4D98-869A-773C984447E7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15-4D98-869A-773C984447E7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15-4D98-869A-773C984447E7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15-4D98-869A-773C984447E7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15-4D98-869A-773C984447E7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15-4D98-869A-773C984447E7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715-4D98-869A-773C984447E7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15-4D98-869A-773C984447E7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715-4D98-869A-773C984447E7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15-4D98-869A-773C984447E7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715-4D98-869A-773C984447E7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15-4D98-869A-773C984447E7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715-4D98-869A-773C984447E7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15-4D98-869A-773C984447E7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715-4D98-869A-773C984447E7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15-4D98-869A-773C984447E7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715-4D98-869A-773C984447E7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715-4D98-869A-773C984447E7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715-4D98-869A-773C984447E7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715-4D98-869A-773C984447E7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715-4D98-869A-773C984447E7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15-4D98-869A-773C984447E7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715-4D98-869A-773C984447E7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15-4D98-869A-773C984447E7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715-4D98-869A-773C984447E7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715-4D98-869A-773C984447E7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715-4D98-869A-773C984447E7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715-4D98-869A-773C984447E7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715-4D98-869A-773C984447E7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715-4D98-869A-773C984447E7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715-4D98-869A-773C984447E7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715-4D98-869A-773C984447E7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250</c:v>
                </c:pt>
                <c:pt idx="1">
                  <c:v>0</c:v>
                </c:pt>
                <c:pt idx="2">
                  <c:v>272</c:v>
                </c:pt>
                <c:pt idx="3">
                  <c:v>1925</c:v>
                </c:pt>
                <c:pt idx="4">
                  <c:v>780</c:v>
                </c:pt>
                <c:pt idx="5">
                  <c:v>0</c:v>
                </c:pt>
                <c:pt idx="6">
                  <c:v>0</c:v>
                </c:pt>
                <c:pt idx="7">
                  <c:v>5599</c:v>
                </c:pt>
                <c:pt idx="8">
                  <c:v>6175</c:v>
                </c:pt>
                <c:pt idx="9">
                  <c:v>6424</c:v>
                </c:pt>
                <c:pt idx="10">
                  <c:v>1341</c:v>
                </c:pt>
                <c:pt idx="11">
                  <c:v>3140</c:v>
                </c:pt>
                <c:pt idx="12">
                  <c:v>0</c:v>
                </c:pt>
                <c:pt idx="13">
                  <c:v>0</c:v>
                </c:pt>
                <c:pt idx="14">
                  <c:v>200</c:v>
                </c:pt>
                <c:pt idx="15">
                  <c:v>0</c:v>
                </c:pt>
                <c:pt idx="16">
                  <c:v>0</c:v>
                </c:pt>
                <c:pt idx="17">
                  <c:v>2917</c:v>
                </c:pt>
                <c:pt idx="18">
                  <c:v>10616</c:v>
                </c:pt>
                <c:pt idx="19">
                  <c:v>13541</c:v>
                </c:pt>
                <c:pt idx="20">
                  <c:v>14874</c:v>
                </c:pt>
                <c:pt idx="21">
                  <c:v>4086</c:v>
                </c:pt>
                <c:pt idx="22">
                  <c:v>3186</c:v>
                </c:pt>
                <c:pt idx="23">
                  <c:v>8058</c:v>
                </c:pt>
                <c:pt idx="24">
                  <c:v>23241</c:v>
                </c:pt>
                <c:pt idx="25">
                  <c:v>10938</c:v>
                </c:pt>
                <c:pt idx="26">
                  <c:v>16723</c:v>
                </c:pt>
                <c:pt idx="27">
                  <c:v>32</c:v>
                </c:pt>
                <c:pt idx="28">
                  <c:v>434</c:v>
                </c:pt>
                <c:pt idx="29">
                  <c:v>613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715-4D98-869A-773C984447E7}"/>
            </c:ext>
          </c:extLst>
        </c:ser>
        <c:ser>
          <c:idx val="2"/>
          <c:order val="2"/>
          <c:tx>
            <c:strRef>
              <c:f>'#SLH1'!$A$24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02-41AD-8E3D-0A1F05A6FB8F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41-4D7C-8904-205D1FB3B6FD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A56-4ED1-BBC8-C6C35A40FE57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A56-4ED1-BBC8-C6C35A40FE57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A56-4ED1-BBC8-C6C35A40FE57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A56-4ED1-BBC8-C6C35A40FE57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'#SLH1'!$C$24:$AG$24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213.88888888888889</c:v>
                </c:pt>
                <c:pt idx="4">
                  <c:v>97.5</c:v>
                </c:pt>
                <c:pt idx="5">
                  <c:v>0</c:v>
                </c:pt>
                <c:pt idx="6">
                  <c:v>0</c:v>
                </c:pt>
                <c:pt idx="7">
                  <c:v>373.26666666666665</c:v>
                </c:pt>
                <c:pt idx="8">
                  <c:v>475</c:v>
                </c:pt>
                <c:pt idx="9">
                  <c:v>803</c:v>
                </c:pt>
                <c:pt idx="10">
                  <c:v>335.25</c:v>
                </c:pt>
                <c:pt idx="11">
                  <c:v>3140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972.33333333333337</c:v>
                </c:pt>
                <c:pt idx="18">
                  <c:v>1516.5714285714287</c:v>
                </c:pt>
                <c:pt idx="19">
                  <c:v>1504.5555555555557</c:v>
                </c:pt>
                <c:pt idx="20">
                  <c:v>1239.5</c:v>
                </c:pt>
                <c:pt idx="21">
                  <c:v>681</c:v>
                </c:pt>
                <c:pt idx="22">
                  <c:v>796.5</c:v>
                </c:pt>
                <c:pt idx="23">
                  <c:v>2686</c:v>
                </c:pt>
                <c:pt idx="24">
                  <c:v>2324.1</c:v>
                </c:pt>
                <c:pt idx="25">
                  <c:v>994.36363636363637</c:v>
                </c:pt>
                <c:pt idx="26">
                  <c:v>4180.75</c:v>
                </c:pt>
                <c:pt idx="27">
                  <c:v>32</c:v>
                </c:pt>
                <c:pt idx="28">
                  <c:v>434</c:v>
                </c:pt>
                <c:pt idx="29">
                  <c:v>613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715-4D98-869A-773C984447E7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56-5715-4D98-869A-773C984447E7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57-5715-4D98-869A-773C984447E7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58-5715-4D98-869A-773C984447E7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59-5715-4D98-869A-773C984447E7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5A-5715-4D98-869A-773C984447E7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5B-5715-4D98-869A-773C9844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737744"/>
        <c:axId val="1041736912"/>
      </c:lineChart>
      <c:dateAx>
        <c:axId val="104173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36912"/>
        <c:crosses val="autoZero"/>
        <c:auto val="1"/>
        <c:lblOffset val="100"/>
        <c:baseTimeUnit val="days"/>
      </c:dateAx>
      <c:valAx>
        <c:axId val="1041736912"/>
        <c:scaling>
          <c:orientation val="minMax"/>
          <c:max val="7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37744"/>
        <c:crosses val="autoZero"/>
        <c:crossBetween val="between"/>
        <c:majorUnit val="1500"/>
      </c:valAx>
      <c:valAx>
        <c:axId val="1179055152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41424"/>
        <c:crosses val="max"/>
        <c:crossBetween val="between"/>
        <c:majorUnit val="4"/>
      </c:valAx>
      <c:dateAx>
        <c:axId val="11790414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11790551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108DE-4CB1-4693-96A8-6CE020B17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78BF-39B8-4FF7-ADD5-BF2CBECB65A6}">
  <dimension ref="A1:AP1363"/>
  <sheetViews>
    <sheetView tabSelected="1" topLeftCell="C1" zoomScaleNormal="100" zoomScaleSheetLayoutView="80" workbookViewId="0">
      <selection activeCell="D20" sqref="D20"/>
    </sheetView>
  </sheetViews>
  <sheetFormatPr defaultRowHeight="16.5" x14ac:dyDescent="0.25"/>
  <cols>
    <col min="1" max="1" width="11.7578125" bestFit="1" customWidth="1"/>
    <col min="2" max="2" width="10.2734375" customWidth="1"/>
    <col min="3" max="4" width="7.796875" style="1" customWidth="1"/>
    <col min="5" max="7" width="8.29296875" style="1" bestFit="1" customWidth="1"/>
    <col min="8" max="30" width="8.29296875" bestFit="1" customWidth="1"/>
    <col min="31" max="31" width="8.29296875" customWidth="1"/>
    <col min="32" max="33" width="8.29296875" bestFit="1" customWidth="1"/>
    <col min="34" max="34" width="6.0625" customWidth="1"/>
    <col min="35" max="35" width="12.5" bestFit="1" customWidth="1"/>
  </cols>
  <sheetData>
    <row r="1" spans="1:22" ht="14.45" customHeight="1" x14ac:dyDescent="0.35">
      <c r="A1" s="6"/>
      <c r="B1" s="6"/>
      <c r="C1" s="6"/>
      <c r="D1" s="6"/>
      <c r="L1" s="6"/>
      <c r="M1" s="6"/>
      <c r="N1" s="6"/>
      <c r="S1" s="8"/>
      <c r="T1" s="8"/>
      <c r="U1" s="8"/>
      <c r="V1" s="8"/>
    </row>
    <row r="2" spans="1:22" ht="14.45" customHeight="1" x14ac:dyDescent="0.35">
      <c r="A2" s="6"/>
      <c r="B2" s="6"/>
      <c r="C2" s="6"/>
      <c r="D2" s="6"/>
      <c r="L2" s="6"/>
      <c r="M2" s="6"/>
      <c r="N2" s="6"/>
      <c r="S2" s="8"/>
      <c r="T2" s="8"/>
      <c r="U2" s="8"/>
      <c r="V2" s="8"/>
    </row>
    <row r="3" spans="1:22" ht="14.45" customHeight="1" x14ac:dyDescent="0.35">
      <c r="A3" s="6"/>
      <c r="B3" s="6"/>
      <c r="C3" s="6"/>
      <c r="D3" s="6"/>
      <c r="L3" s="6"/>
      <c r="M3" s="6"/>
      <c r="N3" s="6"/>
      <c r="S3" s="8"/>
      <c r="T3" s="8"/>
      <c r="U3" s="8"/>
      <c r="V3" s="8"/>
    </row>
    <row r="4" spans="1:22" ht="14.45" customHeight="1" x14ac:dyDescent="0.35">
      <c r="A4" s="6"/>
      <c r="B4" s="6"/>
      <c r="C4" s="6"/>
      <c r="D4" s="6"/>
      <c r="L4" s="6"/>
      <c r="M4" s="6"/>
      <c r="N4" s="6"/>
      <c r="S4" s="8"/>
      <c r="T4" s="8"/>
      <c r="U4" s="8"/>
      <c r="V4" s="8"/>
    </row>
    <row r="5" spans="1:22" ht="14.45" customHeight="1" x14ac:dyDescent="0.35">
      <c r="A5" s="6"/>
      <c r="B5" s="6"/>
      <c r="C5" s="6"/>
      <c r="D5" s="6"/>
      <c r="L5" s="6"/>
      <c r="M5" s="6"/>
      <c r="N5" s="6"/>
      <c r="S5" s="8"/>
      <c r="T5" s="8"/>
      <c r="U5" s="8"/>
      <c r="V5" s="8"/>
    </row>
    <row r="6" spans="1:22" ht="14.45" customHeight="1" x14ac:dyDescent="0.35">
      <c r="A6" s="6"/>
      <c r="B6" s="6"/>
      <c r="C6" s="6"/>
      <c r="D6" s="6"/>
      <c r="L6" s="6"/>
      <c r="M6" s="6"/>
      <c r="N6" s="6"/>
      <c r="S6" s="8"/>
      <c r="T6" s="8"/>
      <c r="U6" s="8"/>
      <c r="V6" s="8"/>
    </row>
    <row r="7" spans="1:22" ht="14.45" customHeight="1" x14ac:dyDescent="0.35">
      <c r="A7" s="6"/>
      <c r="B7" s="6"/>
      <c r="C7" s="6"/>
      <c r="D7" s="6"/>
      <c r="L7" s="6"/>
      <c r="M7" s="6"/>
      <c r="N7" s="6"/>
      <c r="S7" s="8"/>
      <c r="T7" s="8"/>
      <c r="U7" s="8"/>
      <c r="V7" s="8"/>
    </row>
    <row r="8" spans="1:22" ht="14.45" customHeight="1" x14ac:dyDescent="0.35">
      <c r="A8" s="6"/>
      <c r="B8" s="6"/>
      <c r="C8" s="6"/>
      <c r="D8" s="6"/>
      <c r="L8" s="6"/>
      <c r="M8" s="6"/>
      <c r="N8" s="6"/>
      <c r="S8" s="8"/>
      <c r="T8" s="8"/>
      <c r="U8" s="8"/>
      <c r="V8" s="8"/>
    </row>
    <row r="9" spans="1:22" ht="14.45" customHeight="1" x14ac:dyDescent="0.35">
      <c r="A9" s="6"/>
      <c r="B9" s="6"/>
      <c r="C9" s="6"/>
      <c r="D9" s="6"/>
      <c r="L9" s="6"/>
      <c r="M9" s="6"/>
      <c r="N9" s="6"/>
      <c r="S9" s="8"/>
      <c r="T9" s="8"/>
      <c r="U9" s="8"/>
      <c r="V9" s="8"/>
    </row>
    <row r="10" spans="1:22" ht="14.45" customHeight="1" x14ac:dyDescent="0.35">
      <c r="A10" s="6"/>
      <c r="B10" s="6"/>
      <c r="C10" s="6"/>
      <c r="D10" s="6"/>
      <c r="L10" s="6"/>
      <c r="M10" s="6"/>
      <c r="N10" s="6"/>
      <c r="S10" s="8"/>
      <c r="T10" s="8"/>
      <c r="U10" s="8"/>
      <c r="V10" s="8"/>
    </row>
    <row r="11" spans="1:22" ht="14.45" customHeight="1" x14ac:dyDescent="0.35">
      <c r="A11" s="6"/>
      <c r="B11" s="6"/>
      <c r="C11" s="6"/>
      <c r="D11" s="6"/>
      <c r="L11" s="6"/>
      <c r="M11" s="6"/>
      <c r="N11" s="6"/>
      <c r="S11" s="8"/>
      <c r="T11" s="8"/>
      <c r="U11" s="8"/>
      <c r="V11" s="8"/>
    </row>
    <row r="12" spans="1:22" ht="14.45" customHeight="1" x14ac:dyDescent="0.35">
      <c r="A12" s="6"/>
      <c r="B12" s="6"/>
      <c r="C12" s="6"/>
      <c r="D12" s="6"/>
      <c r="L12" s="6"/>
      <c r="M12" s="6"/>
      <c r="N12" s="6"/>
      <c r="S12" s="8"/>
      <c r="T12" s="8"/>
      <c r="U12" s="8"/>
      <c r="V12" s="8"/>
    </row>
    <row r="13" spans="1:22" ht="14.45" customHeight="1" x14ac:dyDescent="0.35">
      <c r="A13" s="6"/>
      <c r="B13" s="6"/>
      <c r="C13" s="6"/>
      <c r="D13" s="6"/>
      <c r="G13" s="7"/>
      <c r="H13" s="7"/>
      <c r="I13" s="7"/>
      <c r="K13" s="10"/>
      <c r="L13" s="10"/>
      <c r="M13" s="10"/>
    </row>
    <row r="14" spans="1:22" ht="14.45" customHeight="1" x14ac:dyDescent="0.35">
      <c r="A14" s="6"/>
      <c r="B14" s="6"/>
      <c r="C14" s="6"/>
      <c r="D14" s="6"/>
      <c r="G14" s="7"/>
      <c r="H14" s="7"/>
      <c r="I14" s="7"/>
      <c r="K14" s="10"/>
      <c r="L14" s="10"/>
      <c r="M14" s="10"/>
    </row>
    <row r="15" spans="1:22" ht="14.45" customHeight="1" x14ac:dyDescent="0.35">
      <c r="A15" s="6"/>
      <c r="B15" s="6"/>
      <c r="C15" s="6"/>
      <c r="D15" s="6"/>
      <c r="G15" s="7"/>
      <c r="H15" s="7"/>
      <c r="I15" s="7"/>
      <c r="K15" s="10"/>
      <c r="L15" s="10"/>
      <c r="M15" s="10"/>
    </row>
    <row r="16" spans="1:22" ht="14.45" customHeight="1" x14ac:dyDescent="0.35">
      <c r="A16" s="6"/>
      <c r="B16" s="6"/>
      <c r="C16" s="6"/>
      <c r="D16" s="6"/>
      <c r="G16" s="7"/>
      <c r="H16" s="7"/>
      <c r="I16" s="7"/>
      <c r="K16" s="10"/>
      <c r="L16" s="10"/>
      <c r="M16" s="10"/>
    </row>
    <row r="17" spans="1:36" ht="14.45" customHeight="1" x14ac:dyDescent="0.35">
      <c r="A17" s="6"/>
      <c r="B17" s="6"/>
      <c r="C17" s="6"/>
      <c r="D17" s="6"/>
      <c r="G17" s="7"/>
      <c r="H17" s="7"/>
      <c r="I17" s="7"/>
      <c r="K17" s="10"/>
      <c r="L17" s="10"/>
      <c r="M17" s="10"/>
    </row>
    <row r="18" spans="1:36" ht="14.45" customHeight="1" x14ac:dyDescent="0.35">
      <c r="A18" s="6"/>
      <c r="B18" s="6"/>
      <c r="C18" s="6"/>
      <c r="D18" s="6"/>
      <c r="G18" s="7"/>
      <c r="H18" s="7"/>
      <c r="I18" s="7"/>
      <c r="K18" s="10"/>
      <c r="L18" s="10"/>
      <c r="M18" s="10"/>
    </row>
    <row r="19" spans="1:36" ht="14.45" customHeight="1" x14ac:dyDescent="0.35">
      <c r="A19" s="6"/>
      <c r="B19" s="6"/>
      <c r="C19" s="6"/>
      <c r="D19" s="6"/>
      <c r="G19" s="7"/>
      <c r="H19" s="7"/>
      <c r="I19" s="7"/>
      <c r="K19" s="10"/>
      <c r="L19" s="10"/>
      <c r="M19" s="10"/>
    </row>
    <row r="20" spans="1:36" ht="14.45" customHeight="1" x14ac:dyDescent="0.35">
      <c r="A20" s="6"/>
      <c r="B20" s="6"/>
      <c r="C20" s="6"/>
      <c r="D20" s="6"/>
      <c r="G20" s="7"/>
      <c r="H20" s="7"/>
      <c r="I20" s="7"/>
      <c r="K20" s="10"/>
      <c r="L20" s="10"/>
      <c r="M20" s="10"/>
    </row>
    <row r="21" spans="1:36" ht="14.45" customHeight="1" x14ac:dyDescent="0.25">
      <c r="A21" s="149" t="s">
        <v>0</v>
      </c>
      <c r="B21" s="150"/>
      <c r="C21" s="4" t="s">
        <v>9</v>
      </c>
      <c r="D21" s="4" t="s">
        <v>10</v>
      </c>
      <c r="E21" s="4" t="s">
        <v>11</v>
      </c>
      <c r="F21" s="4" t="s">
        <v>12</v>
      </c>
      <c r="G21" s="4" t="s">
        <v>6</v>
      </c>
      <c r="H21" s="4" t="s">
        <v>7</v>
      </c>
      <c r="I21" s="4" t="s">
        <v>8</v>
      </c>
      <c r="J21" s="4" t="s">
        <v>9</v>
      </c>
      <c r="K21" s="4" t="s">
        <v>10</v>
      </c>
      <c r="L21" s="4" t="s">
        <v>11</v>
      </c>
      <c r="M21" s="4" t="s">
        <v>12</v>
      </c>
      <c r="N21" s="4" t="s">
        <v>6</v>
      </c>
      <c r="O21" s="4" t="s">
        <v>7</v>
      </c>
      <c r="P21" s="4" t="s">
        <v>8</v>
      </c>
      <c r="Q21" s="4" t="s">
        <v>9</v>
      </c>
      <c r="R21" s="4" t="s">
        <v>10</v>
      </c>
      <c r="S21" s="4" t="s">
        <v>11</v>
      </c>
      <c r="T21" s="4" t="s">
        <v>12</v>
      </c>
      <c r="U21" s="4" t="s">
        <v>6</v>
      </c>
      <c r="V21" s="4" t="s">
        <v>7</v>
      </c>
      <c r="W21" s="4" t="s">
        <v>8</v>
      </c>
      <c r="X21" s="4" t="s">
        <v>9</v>
      </c>
      <c r="Y21" s="4" t="s">
        <v>10</v>
      </c>
      <c r="Z21" s="4" t="s">
        <v>11</v>
      </c>
      <c r="AA21" s="4" t="s">
        <v>12</v>
      </c>
      <c r="AB21" s="4" t="s">
        <v>6</v>
      </c>
      <c r="AC21" s="4" t="s">
        <v>7</v>
      </c>
      <c r="AD21" s="4" t="s">
        <v>8</v>
      </c>
      <c r="AE21" s="4" t="s">
        <v>9</v>
      </c>
      <c r="AF21" s="4" t="s">
        <v>10</v>
      </c>
      <c r="AG21" s="4"/>
      <c r="AH21" s="140" t="s">
        <v>26</v>
      </c>
      <c r="AI21" s="151" t="s">
        <v>27</v>
      </c>
      <c r="AJ21" s="140" t="s">
        <v>17</v>
      </c>
    </row>
    <row r="22" spans="1:36" s="15" customFormat="1" ht="14.45" customHeight="1" x14ac:dyDescent="0.2">
      <c r="A22" s="143" t="s">
        <v>1</v>
      </c>
      <c r="B22" s="144"/>
      <c r="C22" s="16">
        <v>45901</v>
      </c>
      <c r="D22" s="16">
        <v>45902</v>
      </c>
      <c r="E22" s="16">
        <v>45903</v>
      </c>
      <c r="F22" s="16">
        <v>45904</v>
      </c>
      <c r="G22" s="16">
        <v>45905</v>
      </c>
      <c r="H22" s="16">
        <v>45906</v>
      </c>
      <c r="I22" s="16">
        <v>45907</v>
      </c>
      <c r="J22" s="16">
        <v>45908</v>
      </c>
      <c r="K22" s="16">
        <v>45909</v>
      </c>
      <c r="L22" s="16">
        <v>45910</v>
      </c>
      <c r="M22" s="16">
        <v>45911</v>
      </c>
      <c r="N22" s="16">
        <v>45912</v>
      </c>
      <c r="O22" s="16">
        <v>45913</v>
      </c>
      <c r="P22" s="16">
        <v>45914</v>
      </c>
      <c r="Q22" s="16">
        <v>45915</v>
      </c>
      <c r="R22" s="16">
        <v>45916</v>
      </c>
      <c r="S22" s="16">
        <v>45917</v>
      </c>
      <c r="T22" s="16">
        <v>45918</v>
      </c>
      <c r="U22" s="16">
        <v>45919</v>
      </c>
      <c r="V22" s="16">
        <v>45920</v>
      </c>
      <c r="W22" s="16">
        <v>45921</v>
      </c>
      <c r="X22" s="16">
        <v>45922</v>
      </c>
      <c r="Y22" s="16">
        <v>45923</v>
      </c>
      <c r="Z22" s="16">
        <v>45924</v>
      </c>
      <c r="AA22" s="16">
        <v>45925</v>
      </c>
      <c r="AB22" s="16">
        <v>45926</v>
      </c>
      <c r="AC22" s="16">
        <v>45927</v>
      </c>
      <c r="AD22" s="16">
        <v>45928</v>
      </c>
      <c r="AE22" s="16">
        <v>45929</v>
      </c>
      <c r="AF22" s="16">
        <v>45930</v>
      </c>
      <c r="AG22" s="16"/>
      <c r="AH22" s="141"/>
      <c r="AI22" s="152"/>
      <c r="AJ22" s="141"/>
    </row>
    <row r="23" spans="1:36" ht="14.45" customHeight="1" x14ac:dyDescent="0.25">
      <c r="A23" s="145" t="s">
        <v>5</v>
      </c>
      <c r="B23" s="146"/>
      <c r="C23" s="13">
        <f>SUMIF($A39:$A370,C22,$B39:$B370)</f>
        <v>250</v>
      </c>
      <c r="D23" s="13">
        <v>0</v>
      </c>
      <c r="E23" s="13">
        <f>SUMIF($A39:$A370,E22,$B39:$B370)</f>
        <v>272</v>
      </c>
      <c r="F23" s="13">
        <f>SUMIF($A39:$A370,F22,$B39:$B370)</f>
        <v>1925</v>
      </c>
      <c r="G23" s="13">
        <f>SUMIF($A39:$A370,G22,$B39:$B370)</f>
        <v>780</v>
      </c>
      <c r="H23" s="13">
        <f>SUMIF($A39:$A370,H22,$B39:$B370)</f>
        <v>0</v>
      </c>
      <c r="I23" s="13">
        <f>SUMIF($A39:$A370,I22,$B39:$B370)</f>
        <v>0</v>
      </c>
      <c r="J23" s="13">
        <f>SUMIF($A39:$A370,J22,$B39:$B370)</f>
        <v>5599</v>
      </c>
      <c r="K23" s="13">
        <f>SUMIF($A39:$A370,K22,$B39:$B370)</f>
        <v>6175</v>
      </c>
      <c r="L23" s="13">
        <f>SUMIF($A39:$A370,L22,$B39:$B370)</f>
        <v>6424</v>
      </c>
      <c r="M23" s="13">
        <f>SUMIF($A39:$A370,M22,$B39:$B370)</f>
        <v>1341</v>
      </c>
      <c r="N23" s="13">
        <f>SUMIF($A39:$A370,N22,$B39:$B370)</f>
        <v>3140</v>
      </c>
      <c r="O23" s="13">
        <f>SUMIF($A39:$A370,O22,$B39:$B370)</f>
        <v>0</v>
      </c>
      <c r="P23" s="13">
        <f>SUMIF($A39:$A370,P22,$B39:$B370)</f>
        <v>0</v>
      </c>
      <c r="Q23" s="13">
        <f>SUMIF($A39:$A370,Q22,$B39:$B370)</f>
        <v>200</v>
      </c>
      <c r="R23" s="13">
        <f>SUMIF($A39:$A370,R22,$B39:$B370)</f>
        <v>0</v>
      </c>
      <c r="S23" s="13">
        <f>SUMIF($A39:$A370,S22,$B39:$B370)</f>
        <v>0</v>
      </c>
      <c r="T23" s="13">
        <f>SUMIF($A39:$A370,T22,$B39:$B370)</f>
        <v>2917</v>
      </c>
      <c r="U23" s="13">
        <f>SUMIF($A39:$A370,U22,$B39:$B370)</f>
        <v>10616</v>
      </c>
      <c r="V23" s="13">
        <f>SUMIF($A39:$A370,V22,$B39:$B370)</f>
        <v>13541</v>
      </c>
      <c r="W23" s="13">
        <f>SUMIF($A39:$A370,W22,$B39:$B370)</f>
        <v>14874</v>
      </c>
      <c r="X23" s="13">
        <f>SUMIF($A39:$A370,X22,$B39:$B370)</f>
        <v>4086</v>
      </c>
      <c r="Y23" s="13">
        <f>SUMIF($A39:$A370,Y22,$B39:$B370)</f>
        <v>3186</v>
      </c>
      <c r="Z23" s="13">
        <f>SUMIF($A39:$A370,Z22,$B39:$B370)</f>
        <v>8058</v>
      </c>
      <c r="AA23" s="13">
        <f>SUMIF($A39:$A370,AA22,$B39:$B370)</f>
        <v>23241</v>
      </c>
      <c r="AB23" s="13">
        <f>SUMIF($A39:$A370,AB22,$B39:$B370)</f>
        <v>10938</v>
      </c>
      <c r="AC23" s="13">
        <f>SUMIF($A39:$A370,AC22,$B39:$B370)</f>
        <v>16723</v>
      </c>
      <c r="AD23" s="13">
        <f>SUMIF($A39:$A370,AD22,$B39:$B370)</f>
        <v>32</v>
      </c>
      <c r="AE23" s="13">
        <f>SUMIF($A39:$A370,AE22,$B39:$B370)</f>
        <v>434</v>
      </c>
      <c r="AF23" s="13">
        <f>SUMIF($A39:$A370,AF22,$B39:$B370)</f>
        <v>613</v>
      </c>
      <c r="AG23" s="13">
        <f>SUMIF($A39:$A370,AG22,$B39:$B370)</f>
        <v>0</v>
      </c>
      <c r="AH23" s="141"/>
      <c r="AI23" s="11">
        <f>SUM(C23:AG23)</f>
        <v>135365</v>
      </c>
      <c r="AJ23" s="141"/>
    </row>
    <row r="24" spans="1:36" ht="14.45" customHeight="1" x14ac:dyDescent="0.25">
      <c r="A24" s="147" t="s">
        <v>4</v>
      </c>
      <c r="B24" s="148"/>
      <c r="C24" s="12">
        <f t="shared" ref="C24" si="0">IFERROR(C23/C36,0)</f>
        <v>0</v>
      </c>
      <c r="D24" s="12">
        <f>IFERROR(D23/D36,0)</f>
        <v>0</v>
      </c>
      <c r="E24" s="12">
        <f>IFERROR(E23/E36,0)</f>
        <v>0</v>
      </c>
      <c r="F24" s="12">
        <f>IFERROR(F23/F36,0)</f>
        <v>213.88888888888889</v>
      </c>
      <c r="G24" s="12">
        <f>IFERROR(G23/G36,0)</f>
        <v>97.5</v>
      </c>
      <c r="H24" s="12">
        <f t="shared" ref="H24:R24" si="1">IFERROR(H23/H36,0)</f>
        <v>0</v>
      </c>
      <c r="I24" s="12">
        <f t="shared" si="1"/>
        <v>0</v>
      </c>
      <c r="J24" s="12">
        <f t="shared" si="1"/>
        <v>373.26666666666665</v>
      </c>
      <c r="K24" s="12">
        <f t="shared" si="1"/>
        <v>475</v>
      </c>
      <c r="L24" s="12">
        <f t="shared" si="1"/>
        <v>803</v>
      </c>
      <c r="M24" s="12">
        <f t="shared" si="1"/>
        <v>335.25</v>
      </c>
      <c r="N24" s="12">
        <f t="shared" si="1"/>
        <v>3140</v>
      </c>
      <c r="O24" s="12">
        <f t="shared" si="1"/>
        <v>0</v>
      </c>
      <c r="P24" s="12">
        <f t="shared" si="1"/>
        <v>0</v>
      </c>
      <c r="Q24" s="12">
        <f>IFERROR(Q23/Q36,0)</f>
        <v>0</v>
      </c>
      <c r="R24" s="12">
        <f t="shared" si="1"/>
        <v>0</v>
      </c>
      <c r="S24" s="12">
        <f t="shared" ref="S24" si="2">IFERROR(S23/S36,0)</f>
        <v>0</v>
      </c>
      <c r="T24" s="12">
        <f t="shared" ref="T24" si="3">IFERROR(T23/T36,0)</f>
        <v>972.33333333333337</v>
      </c>
      <c r="U24" s="12">
        <f t="shared" ref="U24" si="4">IFERROR(U23/U36,0)</f>
        <v>1516.5714285714287</v>
      </c>
      <c r="V24" s="12">
        <f t="shared" ref="V24" si="5">IFERROR(V23/V36,0)</f>
        <v>1504.5555555555557</v>
      </c>
      <c r="W24" s="12">
        <f t="shared" ref="W24" si="6">IFERROR(W23/W36,0)</f>
        <v>1239.5</v>
      </c>
      <c r="X24" s="12">
        <f t="shared" ref="X24" si="7">IFERROR(X23/X36,0)</f>
        <v>681</v>
      </c>
      <c r="Y24" s="12">
        <f t="shared" ref="Y24" si="8">IFERROR(Y23/Y36,0)</f>
        <v>796.5</v>
      </c>
      <c r="Z24" s="12">
        <f t="shared" ref="Z24" si="9">IFERROR(Z23/Z36,0)</f>
        <v>2686</v>
      </c>
      <c r="AA24" s="12">
        <f t="shared" ref="AA24" si="10">IFERROR(AA23/AA36,0)</f>
        <v>2324.1</v>
      </c>
      <c r="AB24" s="12">
        <f t="shared" ref="AB24" si="11">IFERROR(AB23/AB36,0)</f>
        <v>994.36363636363637</v>
      </c>
      <c r="AC24" s="12">
        <f t="shared" ref="AC24" si="12">IFERROR(AC23/AC36,0)</f>
        <v>4180.75</v>
      </c>
      <c r="AD24" s="12">
        <f t="shared" ref="AD24" si="13">IFERROR(AD23/AD36,0)</f>
        <v>32</v>
      </c>
      <c r="AE24" s="12">
        <f t="shared" ref="AE24" si="14">IFERROR(AE23/AE36,0)</f>
        <v>434</v>
      </c>
      <c r="AF24" s="12">
        <f t="shared" ref="AF24" si="15">IFERROR(AF23/AF36,0)</f>
        <v>613</v>
      </c>
      <c r="AG24" s="12">
        <f t="shared" ref="AG24" si="16">IFERROR(AG23/AG36,0)</f>
        <v>0</v>
      </c>
      <c r="AH24" s="142"/>
      <c r="AI24" s="12">
        <f>AI23/AH36</f>
        <v>1041.2692307692307</v>
      </c>
      <c r="AJ24" s="142"/>
    </row>
    <row r="25" spans="1:36" ht="14.45" customHeight="1" x14ac:dyDescent="0.25">
      <c r="A25" s="138" t="s">
        <v>15</v>
      </c>
      <c r="B25" s="139"/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0</v>
      </c>
      <c r="I25" s="4">
        <v>0</v>
      </c>
      <c r="J25" s="4">
        <v>1</v>
      </c>
      <c r="K25" s="4">
        <v>2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</v>
      </c>
      <c r="AD25" s="4">
        <v>0</v>
      </c>
      <c r="AE25" s="4">
        <v>0</v>
      </c>
      <c r="AF25" s="4">
        <v>0</v>
      </c>
      <c r="AG25" s="4">
        <v>0</v>
      </c>
      <c r="AH25" s="4">
        <f>SUBTOTAL(9,C25:AG25)</f>
        <v>7</v>
      </c>
      <c r="AI25" s="17">
        <f>AH25/AH36</f>
        <v>5.3846153846153849E-2</v>
      </c>
      <c r="AJ25" s="4"/>
    </row>
    <row r="26" spans="1:36" ht="14.45" customHeight="1" x14ac:dyDescent="0.25">
      <c r="A26" s="117" t="s">
        <v>20</v>
      </c>
      <c r="B26" s="118"/>
      <c r="C26" s="4">
        <v>0</v>
      </c>
      <c r="D26" s="4">
        <v>0</v>
      </c>
      <c r="E26" s="4">
        <v>0</v>
      </c>
      <c r="F26" s="4">
        <v>1</v>
      </c>
      <c r="G26" s="4">
        <v>0</v>
      </c>
      <c r="H26" s="4">
        <v>0</v>
      </c>
      <c r="I26" s="4">
        <v>0</v>
      </c>
      <c r="J26" s="4">
        <v>1</v>
      </c>
      <c r="K26" s="4">
        <v>2</v>
      </c>
      <c r="L26" s="4">
        <v>4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0</v>
      </c>
      <c r="W26" s="4">
        <v>2</v>
      </c>
      <c r="X26" s="4">
        <v>0</v>
      </c>
      <c r="Y26" s="4">
        <v>1</v>
      </c>
      <c r="Z26" s="4">
        <v>2</v>
      </c>
      <c r="AA26" s="4">
        <v>5</v>
      </c>
      <c r="AB26" s="4">
        <v>4</v>
      </c>
      <c r="AC26" s="4">
        <v>2</v>
      </c>
      <c r="AD26" s="4">
        <v>0</v>
      </c>
      <c r="AE26" s="4">
        <v>0</v>
      </c>
      <c r="AF26" s="4">
        <v>0</v>
      </c>
      <c r="AG26" s="4">
        <v>0</v>
      </c>
      <c r="AH26" s="18">
        <f t="shared" ref="AH26:AH32" si="17">SUBTOTAL(9,C26:AG26)</f>
        <v>26</v>
      </c>
      <c r="AI26" s="26">
        <f>AH26/AH36</f>
        <v>0.2</v>
      </c>
      <c r="AJ26" s="4"/>
    </row>
    <row r="27" spans="1:36" ht="14.45" customHeight="1" x14ac:dyDescent="0.25">
      <c r="A27" s="115" t="s">
        <v>2925</v>
      </c>
      <c r="B27" s="116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3</v>
      </c>
      <c r="W27" s="4">
        <v>4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19">
        <f t="shared" si="17"/>
        <v>9</v>
      </c>
      <c r="AI27" s="27">
        <f>AH27/AH36</f>
        <v>6.9230769230769235E-2</v>
      </c>
      <c r="AJ27" s="4"/>
    </row>
    <row r="28" spans="1:36" ht="14.45" customHeight="1" x14ac:dyDescent="0.25">
      <c r="A28" s="131" t="s">
        <v>2926</v>
      </c>
      <c r="B28" s="132"/>
      <c r="C28" s="4">
        <v>0</v>
      </c>
      <c r="D28" s="4">
        <v>0</v>
      </c>
      <c r="E28" s="4">
        <v>0</v>
      </c>
      <c r="F28" s="4">
        <v>3</v>
      </c>
      <c r="G28" s="4">
        <v>2</v>
      </c>
      <c r="H28" s="4">
        <v>0</v>
      </c>
      <c r="I28" s="4">
        <v>0</v>
      </c>
      <c r="J28" s="4">
        <v>2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f>SUBTOTAL(9,C28:AF28)</f>
        <v>8</v>
      </c>
      <c r="AI28" s="17">
        <f>AH28/AH36</f>
        <v>6.1538461538461542E-2</v>
      </c>
      <c r="AJ28" s="4"/>
    </row>
    <row r="29" spans="1:36" ht="14.45" customHeight="1" x14ac:dyDescent="0.25">
      <c r="A29" s="117" t="s">
        <v>21</v>
      </c>
      <c r="B29" s="118"/>
      <c r="C29" s="4">
        <v>0</v>
      </c>
      <c r="D29" s="4">
        <v>0</v>
      </c>
      <c r="E29" s="4">
        <v>0</v>
      </c>
      <c r="F29" s="4">
        <v>3</v>
      </c>
      <c r="G29" s="4">
        <v>1</v>
      </c>
      <c r="H29" s="4">
        <v>0</v>
      </c>
      <c r="I29" s="4">
        <v>0</v>
      </c>
      <c r="J29" s="4">
        <v>9</v>
      </c>
      <c r="K29" s="4">
        <v>4</v>
      </c>
      <c r="L29" s="4">
        <v>3</v>
      </c>
      <c r="M29" s="4">
        <v>3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</v>
      </c>
      <c r="U29" s="4">
        <v>4</v>
      </c>
      <c r="V29" s="4">
        <v>4</v>
      </c>
      <c r="W29" s="4">
        <v>4</v>
      </c>
      <c r="X29" s="4">
        <v>5</v>
      </c>
      <c r="Y29" s="4">
        <v>1</v>
      </c>
      <c r="Z29" s="4">
        <v>0</v>
      </c>
      <c r="AA29" s="4">
        <v>2</v>
      </c>
      <c r="AB29" s="4">
        <v>6</v>
      </c>
      <c r="AC29" s="4">
        <v>0</v>
      </c>
      <c r="AD29" s="4">
        <v>1</v>
      </c>
      <c r="AE29" s="4">
        <v>1</v>
      </c>
      <c r="AF29" s="4">
        <v>1</v>
      </c>
      <c r="AG29" s="4">
        <v>0</v>
      </c>
      <c r="AH29" s="18">
        <f>SUBTOTAL(9,C29:AG29)</f>
        <v>53</v>
      </c>
      <c r="AI29" s="26">
        <f>AH29/AH36</f>
        <v>0.40769230769230769</v>
      </c>
      <c r="AJ29" s="4"/>
    </row>
    <row r="30" spans="1:36" ht="14.45" customHeight="1" x14ac:dyDescent="0.25">
      <c r="A30" s="115" t="s">
        <v>22</v>
      </c>
      <c r="B30" s="116"/>
      <c r="C30" s="4">
        <v>0</v>
      </c>
      <c r="D30" s="4">
        <v>0</v>
      </c>
      <c r="E30" s="4">
        <v>0</v>
      </c>
      <c r="F30" s="4">
        <v>2</v>
      </c>
      <c r="G30" s="4">
        <v>3</v>
      </c>
      <c r="H30" s="4">
        <v>0</v>
      </c>
      <c r="I30" s="4">
        <v>0</v>
      </c>
      <c r="J30" s="4">
        <v>1</v>
      </c>
      <c r="K30" s="4">
        <v>4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2</v>
      </c>
      <c r="U30" s="4">
        <v>1</v>
      </c>
      <c r="V30" s="4">
        <v>1</v>
      </c>
      <c r="W30" s="4">
        <v>1</v>
      </c>
      <c r="X30" s="4">
        <v>1</v>
      </c>
      <c r="Y30" s="4">
        <v>2</v>
      </c>
      <c r="Z30" s="4">
        <v>0</v>
      </c>
      <c r="AA30" s="4">
        <v>2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19">
        <f t="shared" si="17"/>
        <v>22</v>
      </c>
      <c r="AI30" s="27">
        <f>AH30/AH36</f>
        <v>0.16923076923076924</v>
      </c>
      <c r="AJ30" s="4"/>
    </row>
    <row r="31" spans="1:36" ht="14.45" customHeight="1" x14ac:dyDescent="0.25">
      <c r="A31" s="131" t="s">
        <v>2927</v>
      </c>
      <c r="B31" s="132"/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f t="shared" si="17"/>
        <v>0</v>
      </c>
      <c r="AI31" s="17">
        <f>AH31/AH36</f>
        <v>0</v>
      </c>
      <c r="AJ31" s="4"/>
    </row>
    <row r="32" spans="1:36" ht="14.45" customHeight="1" x14ac:dyDescent="0.25">
      <c r="A32" s="117" t="s">
        <v>2928</v>
      </c>
      <c r="B32" s="118"/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1</v>
      </c>
      <c r="AB32" s="4">
        <v>1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18">
        <f t="shared" si="17"/>
        <v>5</v>
      </c>
      <c r="AI32" s="26">
        <f>AH32/AH36</f>
        <v>3.8461538461538464E-2</v>
      </c>
      <c r="AJ32" s="4"/>
    </row>
    <row r="33" spans="1:40" ht="14.45" customHeight="1" x14ac:dyDescent="0.25">
      <c r="A33" s="117" t="s">
        <v>2929</v>
      </c>
      <c r="B33" s="118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18"/>
      <c r="AI33" s="26"/>
      <c r="AJ33" s="4"/>
    </row>
    <row r="34" spans="1:40" ht="14.45" customHeight="1" x14ac:dyDescent="0.25">
      <c r="A34" s="115" t="s">
        <v>2930</v>
      </c>
      <c r="B34" s="116"/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19">
        <f>SUBTOTAL(9,C34:AG34)</f>
        <v>0</v>
      </c>
      <c r="AI34" s="27">
        <f>AH34/AH36</f>
        <v>0</v>
      </c>
      <c r="AJ34" s="4"/>
    </row>
    <row r="35" spans="1:40" ht="14.45" customHeight="1" x14ac:dyDescent="0.25">
      <c r="A35" s="115" t="s">
        <v>2931</v>
      </c>
      <c r="B35" s="116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19"/>
      <c r="AI35" s="27"/>
      <c r="AJ35" s="4"/>
    </row>
    <row r="36" spans="1:40" x14ac:dyDescent="0.25">
      <c r="A36" s="137" t="s">
        <v>13</v>
      </c>
      <c r="B36" s="137"/>
      <c r="C36" s="9">
        <v>0</v>
      </c>
      <c r="D36" s="9">
        <f t="shared" ref="D36:AG36" si="18">SUM(D25:D35)</f>
        <v>0</v>
      </c>
      <c r="E36" s="9">
        <v>0</v>
      </c>
      <c r="F36" s="9">
        <v>9</v>
      </c>
      <c r="G36" s="9">
        <v>8</v>
      </c>
      <c r="H36" s="9">
        <f t="shared" si="18"/>
        <v>0</v>
      </c>
      <c r="I36" s="9">
        <f t="shared" si="18"/>
        <v>0</v>
      </c>
      <c r="J36" s="9">
        <v>15</v>
      </c>
      <c r="K36" s="9">
        <v>13</v>
      </c>
      <c r="L36" s="9">
        <v>8</v>
      </c>
      <c r="M36" s="9">
        <v>4</v>
      </c>
      <c r="N36" s="9">
        <v>1</v>
      </c>
      <c r="O36" s="9">
        <f t="shared" si="18"/>
        <v>0</v>
      </c>
      <c r="P36" s="9">
        <f t="shared" si="18"/>
        <v>0</v>
      </c>
      <c r="Q36" s="9">
        <f>SUM(Q25:Q35)</f>
        <v>0</v>
      </c>
      <c r="R36" s="9">
        <f t="shared" si="18"/>
        <v>0</v>
      </c>
      <c r="S36" s="9">
        <f t="shared" si="18"/>
        <v>0</v>
      </c>
      <c r="T36" s="9">
        <v>3</v>
      </c>
      <c r="U36" s="9">
        <v>7</v>
      </c>
      <c r="V36" s="9">
        <v>9</v>
      </c>
      <c r="W36" s="9">
        <v>12</v>
      </c>
      <c r="X36" s="9">
        <v>6</v>
      </c>
      <c r="Y36" s="9">
        <v>4</v>
      </c>
      <c r="Z36" s="9">
        <v>3</v>
      </c>
      <c r="AA36" s="9">
        <v>10</v>
      </c>
      <c r="AB36" s="9">
        <v>11</v>
      </c>
      <c r="AC36" s="9">
        <v>4</v>
      </c>
      <c r="AD36" s="9">
        <v>1</v>
      </c>
      <c r="AE36" s="9">
        <f t="shared" si="18"/>
        <v>1</v>
      </c>
      <c r="AF36" s="9">
        <f t="shared" si="18"/>
        <v>1</v>
      </c>
      <c r="AG36" s="9">
        <f t="shared" si="18"/>
        <v>0</v>
      </c>
      <c r="AH36" s="9">
        <f>SUBTOTAL(9,C36:AG36)</f>
        <v>130</v>
      </c>
      <c r="AI36" s="137" t="s">
        <v>34</v>
      </c>
      <c r="AJ36" s="137"/>
    </row>
    <row r="37" spans="1:40" s="5" customFormat="1" x14ac:dyDescent="0.25"/>
    <row r="38" spans="1:40" s="5" customFormat="1" x14ac:dyDescent="0.25">
      <c r="A38" s="51" t="s">
        <v>35</v>
      </c>
      <c r="B38" s="64">
        <f>SUM(B40:B476)</f>
        <v>135365</v>
      </c>
      <c r="C38" s="52" t="s">
        <v>2887</v>
      </c>
      <c r="D38" s="9">
        <f>AH36</f>
        <v>130</v>
      </c>
      <c r="E38" s="53" t="s">
        <v>4</v>
      </c>
      <c r="F38" s="54">
        <f>AI24</f>
        <v>1041.2692307692307</v>
      </c>
      <c r="G38" s="55" t="s">
        <v>33</v>
      </c>
      <c r="H38" s="55" t="e">
        <f>#REF!</f>
        <v>#REF!</v>
      </c>
    </row>
    <row r="39" spans="1:40" s="5" customFormat="1" x14ac:dyDescent="0.25">
      <c r="A39" s="135" t="s">
        <v>1</v>
      </c>
      <c r="B39" s="133" t="s">
        <v>5</v>
      </c>
      <c r="C39" s="119" t="s">
        <v>23</v>
      </c>
      <c r="D39" s="121" t="s">
        <v>3</v>
      </c>
      <c r="E39" s="122"/>
      <c r="F39" s="125" t="s">
        <v>16</v>
      </c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7"/>
      <c r="U39" s="153" t="s">
        <v>19</v>
      </c>
      <c r="V39" s="154"/>
      <c r="W39" s="154"/>
      <c r="X39" s="154"/>
      <c r="Y39" s="154"/>
      <c r="Z39" s="154"/>
      <c r="AA39" s="154"/>
      <c r="AB39" s="155"/>
      <c r="AC39" s="153" t="s">
        <v>2</v>
      </c>
      <c r="AD39" s="154"/>
      <c r="AE39" s="154"/>
      <c r="AF39" s="154"/>
      <c r="AG39" s="154"/>
      <c r="AH39" s="155"/>
      <c r="AI39" s="14"/>
      <c r="AJ39" s="14"/>
      <c r="AK39" s="14"/>
      <c r="AL39" s="14"/>
      <c r="AM39" s="14"/>
      <c r="AN39" s="14"/>
    </row>
    <row r="40" spans="1:40" s="5" customFormat="1" x14ac:dyDescent="0.25">
      <c r="A40" s="136"/>
      <c r="B40" s="134"/>
      <c r="C40" s="120"/>
      <c r="D40" s="123"/>
      <c r="E40" s="124"/>
      <c r="F40" s="128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30"/>
      <c r="U40" s="156"/>
      <c r="V40" s="157"/>
      <c r="W40" s="157"/>
      <c r="X40" s="157"/>
      <c r="Y40" s="157"/>
      <c r="Z40" s="157"/>
      <c r="AA40" s="157"/>
      <c r="AB40" s="158"/>
      <c r="AC40" s="156"/>
      <c r="AD40" s="157"/>
      <c r="AE40" s="157"/>
      <c r="AF40" s="157"/>
      <c r="AG40" s="157"/>
      <c r="AH40" s="158"/>
      <c r="AI40" s="14"/>
      <c r="AJ40" s="14"/>
      <c r="AK40" s="14"/>
      <c r="AL40" s="14"/>
      <c r="AM40" s="14"/>
      <c r="AN40" s="14"/>
    </row>
    <row r="41" spans="1:40" s="5" customFormat="1" hidden="1" x14ac:dyDescent="0.25">
      <c r="A41" s="65"/>
      <c r="B41" s="66"/>
      <c r="C41" s="63"/>
      <c r="D41" s="81"/>
      <c r="E41" s="4"/>
      <c r="F41" s="88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90"/>
      <c r="U41" s="95"/>
      <c r="V41" s="96"/>
      <c r="W41" s="96"/>
      <c r="X41" s="96"/>
      <c r="Y41" s="96"/>
      <c r="Z41" s="96"/>
      <c r="AA41" s="96"/>
      <c r="AB41" s="97"/>
      <c r="AC41" s="67"/>
      <c r="AD41" s="68"/>
      <c r="AE41" s="68"/>
      <c r="AF41" s="68"/>
      <c r="AG41" s="68"/>
      <c r="AH41" s="69"/>
      <c r="AI41" s="14"/>
      <c r="AJ41" s="14"/>
      <c r="AK41" s="14"/>
      <c r="AL41" s="14"/>
      <c r="AM41" s="14"/>
      <c r="AN41" s="14"/>
    </row>
    <row r="42" spans="1:40" s="5" customFormat="1" hidden="1" x14ac:dyDescent="0.25">
      <c r="A42" s="65"/>
      <c r="B42" s="66"/>
      <c r="C42" s="63"/>
      <c r="D42" s="81"/>
      <c r="E42" s="4"/>
      <c r="F42" s="88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90"/>
      <c r="U42" s="95"/>
      <c r="V42" s="96"/>
      <c r="W42" s="96"/>
      <c r="X42" s="96"/>
      <c r="Y42" s="96"/>
      <c r="Z42" s="96"/>
      <c r="AA42" s="96"/>
      <c r="AB42" s="97"/>
      <c r="AC42" s="67"/>
      <c r="AD42" s="68"/>
      <c r="AE42" s="68"/>
      <c r="AF42" s="68"/>
      <c r="AG42" s="68"/>
      <c r="AH42" s="69"/>
      <c r="AI42" s="14"/>
      <c r="AJ42" s="14"/>
      <c r="AK42" s="14"/>
      <c r="AL42" s="14"/>
      <c r="AM42" s="14"/>
      <c r="AN42" s="14"/>
    </row>
    <row r="43" spans="1:40" s="5" customFormat="1" hidden="1" x14ac:dyDescent="0.25">
      <c r="A43" s="65"/>
      <c r="B43" s="66"/>
      <c r="C43" s="63"/>
      <c r="D43" s="81"/>
      <c r="E43" s="4"/>
      <c r="F43" s="88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90"/>
      <c r="U43" s="95"/>
      <c r="V43" s="96"/>
      <c r="W43" s="96"/>
      <c r="X43" s="96"/>
      <c r="Y43" s="96"/>
      <c r="Z43" s="96"/>
      <c r="AA43" s="96"/>
      <c r="AB43" s="97"/>
      <c r="AC43" s="67"/>
      <c r="AD43" s="68"/>
      <c r="AE43" s="68"/>
      <c r="AF43" s="68"/>
      <c r="AG43" s="68"/>
      <c r="AH43" s="69"/>
      <c r="AI43" s="14"/>
      <c r="AJ43" s="14"/>
      <c r="AK43" s="14"/>
      <c r="AL43" s="14"/>
      <c r="AM43" s="14"/>
      <c r="AN43" s="14"/>
    </row>
    <row r="44" spans="1:40" s="5" customFormat="1" hidden="1" x14ac:dyDescent="0.25">
      <c r="A44" s="65"/>
      <c r="B44" s="66"/>
      <c r="C44" s="63"/>
      <c r="D44" s="81"/>
      <c r="E44" s="4"/>
      <c r="F44" s="88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90"/>
      <c r="U44" s="95"/>
      <c r="V44" s="96"/>
      <c r="W44" s="96"/>
      <c r="X44" s="96"/>
      <c r="Y44" s="96"/>
      <c r="Z44" s="96"/>
      <c r="AA44" s="96"/>
      <c r="AB44" s="97"/>
      <c r="AC44" s="67"/>
      <c r="AD44" s="68"/>
      <c r="AE44" s="68"/>
      <c r="AF44" s="68"/>
      <c r="AG44" s="68"/>
      <c r="AH44" s="69"/>
      <c r="AI44" s="14"/>
      <c r="AJ44" s="14"/>
      <c r="AK44" s="14"/>
      <c r="AL44" s="14"/>
      <c r="AM44" s="14"/>
      <c r="AN44" s="14"/>
    </row>
    <row r="45" spans="1:40" s="5" customFormat="1" hidden="1" x14ac:dyDescent="0.25">
      <c r="A45" s="65"/>
      <c r="B45" s="66"/>
      <c r="C45" s="63"/>
      <c r="D45" s="81"/>
      <c r="E45" s="4"/>
      <c r="F45" s="88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90"/>
      <c r="U45" s="95"/>
      <c r="V45" s="96"/>
      <c r="W45" s="96"/>
      <c r="X45" s="96"/>
      <c r="Y45" s="96"/>
      <c r="Z45" s="96"/>
      <c r="AA45" s="96"/>
      <c r="AB45" s="97"/>
      <c r="AC45" s="67"/>
      <c r="AD45" s="68"/>
      <c r="AE45" s="68"/>
      <c r="AF45" s="68"/>
      <c r="AG45" s="68"/>
      <c r="AH45" s="69"/>
      <c r="AI45" s="14"/>
      <c r="AJ45" s="14"/>
      <c r="AK45" s="14"/>
      <c r="AL45" s="14"/>
      <c r="AM45" s="14"/>
      <c r="AN45" s="14"/>
    </row>
    <row r="46" spans="1:40" s="5" customFormat="1" hidden="1" x14ac:dyDescent="0.25">
      <c r="A46" s="65"/>
      <c r="B46" s="66"/>
      <c r="C46" s="63"/>
      <c r="D46" s="81"/>
      <c r="E46" s="4"/>
      <c r="F46" s="88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90"/>
      <c r="U46" s="95"/>
      <c r="V46" s="96"/>
      <c r="W46" s="96"/>
      <c r="X46" s="96"/>
      <c r="Y46" s="96"/>
      <c r="Z46" s="96"/>
      <c r="AA46" s="96"/>
      <c r="AB46" s="97"/>
      <c r="AC46" s="67"/>
      <c r="AD46" s="68"/>
      <c r="AE46" s="68"/>
      <c r="AF46" s="68"/>
      <c r="AG46" s="68"/>
      <c r="AH46" s="69"/>
      <c r="AI46" s="14"/>
      <c r="AJ46" s="14"/>
      <c r="AK46" s="14"/>
      <c r="AL46" s="14"/>
      <c r="AM46" s="14"/>
      <c r="AN46" s="14"/>
    </row>
    <row r="47" spans="1:40" s="5" customFormat="1" hidden="1" x14ac:dyDescent="0.25">
      <c r="A47" s="65"/>
      <c r="B47" s="66"/>
      <c r="C47" s="63"/>
      <c r="D47" s="81"/>
      <c r="E47" s="4"/>
      <c r="F47" s="88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90"/>
      <c r="U47" s="95"/>
      <c r="V47" s="96"/>
      <c r="W47" s="96"/>
      <c r="X47" s="96"/>
      <c r="Y47" s="96"/>
      <c r="Z47" s="96"/>
      <c r="AA47" s="96"/>
      <c r="AB47" s="97"/>
      <c r="AC47" s="67"/>
      <c r="AD47" s="68"/>
      <c r="AE47" s="68"/>
      <c r="AF47" s="68"/>
      <c r="AG47" s="68"/>
      <c r="AH47" s="69"/>
      <c r="AI47" s="14"/>
      <c r="AJ47" s="14"/>
      <c r="AK47" s="14"/>
      <c r="AL47" s="14"/>
      <c r="AM47" s="14"/>
      <c r="AN47" s="14"/>
    </row>
    <row r="48" spans="1:40" s="5" customFormat="1" hidden="1" x14ac:dyDescent="0.25">
      <c r="A48" s="65"/>
      <c r="B48" s="66"/>
      <c r="C48" s="63"/>
      <c r="D48" s="81"/>
      <c r="E48" s="4"/>
      <c r="F48" s="88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90"/>
      <c r="U48" s="95"/>
      <c r="V48" s="96"/>
      <c r="W48" s="96"/>
      <c r="X48" s="96"/>
      <c r="Y48" s="96"/>
      <c r="Z48" s="96"/>
      <c r="AA48" s="96"/>
      <c r="AB48" s="97"/>
      <c r="AC48" s="67"/>
      <c r="AD48" s="68"/>
      <c r="AE48" s="68"/>
      <c r="AF48" s="68"/>
      <c r="AG48" s="68"/>
      <c r="AH48" s="69"/>
      <c r="AI48" s="14"/>
      <c r="AJ48" s="14"/>
      <c r="AK48" s="14"/>
      <c r="AL48" s="14"/>
      <c r="AM48" s="14"/>
      <c r="AN48" s="14"/>
    </row>
    <row r="49" spans="1:40" s="5" customFormat="1" hidden="1" x14ac:dyDescent="0.25">
      <c r="A49" s="65"/>
      <c r="B49" s="66"/>
      <c r="C49" s="63"/>
      <c r="D49" s="81"/>
      <c r="E49" s="4"/>
      <c r="F49" s="88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  <c r="U49" s="95"/>
      <c r="V49" s="96"/>
      <c r="W49" s="96"/>
      <c r="X49" s="96"/>
      <c r="Y49" s="96"/>
      <c r="Z49" s="96"/>
      <c r="AA49" s="96"/>
      <c r="AB49" s="97"/>
      <c r="AC49" s="67"/>
      <c r="AD49" s="68"/>
      <c r="AE49" s="68"/>
      <c r="AF49" s="68"/>
      <c r="AG49" s="68"/>
      <c r="AH49" s="69"/>
      <c r="AI49" s="14"/>
      <c r="AJ49" s="14"/>
      <c r="AK49" s="14"/>
      <c r="AL49" s="14"/>
      <c r="AM49" s="14"/>
      <c r="AN49" s="14"/>
    </row>
    <row r="50" spans="1:40" s="5" customFormat="1" hidden="1" x14ac:dyDescent="0.25">
      <c r="A50" s="65"/>
      <c r="B50" s="66"/>
      <c r="C50" s="63"/>
      <c r="D50" s="81"/>
      <c r="E50" s="4"/>
      <c r="F50" s="88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  <c r="U50" s="95"/>
      <c r="V50" s="96"/>
      <c r="W50" s="96"/>
      <c r="X50" s="96"/>
      <c r="Y50" s="96"/>
      <c r="Z50" s="96"/>
      <c r="AA50" s="96"/>
      <c r="AB50" s="97"/>
      <c r="AC50" s="67"/>
      <c r="AD50" s="68"/>
      <c r="AE50" s="68"/>
      <c r="AF50" s="68"/>
      <c r="AG50" s="68"/>
      <c r="AH50" s="69"/>
      <c r="AI50" s="14"/>
      <c r="AJ50" s="14"/>
      <c r="AK50" s="14"/>
      <c r="AL50" s="14"/>
      <c r="AM50" s="14"/>
      <c r="AN50" s="14"/>
    </row>
    <row r="51" spans="1:40" s="5" customFormat="1" hidden="1" x14ac:dyDescent="0.25">
      <c r="A51" s="65"/>
      <c r="B51" s="66"/>
      <c r="C51" s="63"/>
      <c r="D51" s="81"/>
      <c r="E51" s="4"/>
      <c r="F51" s="88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90"/>
      <c r="U51" s="95"/>
      <c r="V51" s="96"/>
      <c r="W51" s="96"/>
      <c r="X51" s="96"/>
      <c r="Y51" s="96"/>
      <c r="Z51" s="96"/>
      <c r="AA51" s="96"/>
      <c r="AB51" s="97"/>
      <c r="AC51" s="67"/>
      <c r="AD51" s="68"/>
      <c r="AE51" s="68"/>
      <c r="AF51" s="68"/>
      <c r="AG51" s="68"/>
      <c r="AH51" s="69"/>
      <c r="AI51" s="14"/>
      <c r="AJ51" s="14"/>
      <c r="AK51" s="14"/>
      <c r="AL51" s="14"/>
      <c r="AM51" s="14"/>
      <c r="AN51" s="14"/>
    </row>
    <row r="52" spans="1:40" s="5" customFormat="1" x14ac:dyDescent="0.25">
      <c r="A52" s="65">
        <v>45930</v>
      </c>
      <c r="B52" s="66">
        <v>613</v>
      </c>
      <c r="C52" s="63"/>
      <c r="D52" s="81">
        <v>38013</v>
      </c>
      <c r="E52" s="4">
        <v>1</v>
      </c>
      <c r="F52" s="88" t="s">
        <v>3044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  <c r="U52" s="104" t="s">
        <v>3045</v>
      </c>
      <c r="V52" s="99"/>
      <c r="W52" s="99"/>
      <c r="X52" s="99"/>
      <c r="Y52" s="99"/>
      <c r="Z52" s="99"/>
      <c r="AA52" s="99"/>
      <c r="AB52" s="100"/>
      <c r="AC52" s="82"/>
      <c r="AD52" s="83"/>
      <c r="AE52" s="83"/>
      <c r="AF52" s="83"/>
      <c r="AG52" s="83"/>
      <c r="AH52" s="84"/>
      <c r="AI52" s="14"/>
      <c r="AJ52" s="14"/>
      <c r="AK52" s="14"/>
      <c r="AL52" s="14"/>
      <c r="AM52" s="14"/>
      <c r="AN52" s="14"/>
    </row>
    <row r="53" spans="1:40" s="5" customFormat="1" x14ac:dyDescent="0.25">
      <c r="A53" s="65">
        <v>45929</v>
      </c>
      <c r="B53" s="66">
        <v>434</v>
      </c>
      <c r="C53" s="63"/>
      <c r="D53" s="81">
        <v>28003</v>
      </c>
      <c r="E53" s="4">
        <v>1</v>
      </c>
      <c r="F53" s="88" t="s">
        <v>3033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  <c r="U53" s="91" t="s">
        <v>3043</v>
      </c>
      <c r="V53" s="92"/>
      <c r="W53" s="92"/>
      <c r="X53" s="92"/>
      <c r="Y53" s="92"/>
      <c r="Z53" s="92"/>
      <c r="AA53" s="92"/>
      <c r="AB53" s="93"/>
      <c r="AC53" s="82"/>
      <c r="AD53" s="83"/>
      <c r="AE53" s="83"/>
      <c r="AF53" s="83"/>
      <c r="AG53" s="83"/>
      <c r="AH53" s="84"/>
      <c r="AI53" s="14"/>
      <c r="AJ53" s="14"/>
      <c r="AK53" s="14"/>
      <c r="AL53" s="14"/>
      <c r="AM53" s="14"/>
      <c r="AN53" s="14"/>
    </row>
    <row r="54" spans="1:40" s="5" customFormat="1" x14ac:dyDescent="0.25">
      <c r="A54" s="65">
        <v>45928</v>
      </c>
      <c r="B54" s="66">
        <v>32</v>
      </c>
      <c r="C54" s="63"/>
      <c r="D54" s="81">
        <v>28003</v>
      </c>
      <c r="E54" s="4">
        <v>1</v>
      </c>
      <c r="F54" s="88" t="s">
        <v>3033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  <c r="U54" s="91" t="s">
        <v>3043</v>
      </c>
      <c r="V54" s="92"/>
      <c r="W54" s="92"/>
      <c r="X54" s="92"/>
      <c r="Y54" s="92"/>
      <c r="Z54" s="92"/>
      <c r="AA54" s="92"/>
      <c r="AB54" s="93"/>
      <c r="AC54" s="67"/>
      <c r="AD54" s="68"/>
      <c r="AE54" s="68"/>
      <c r="AF54" s="68"/>
      <c r="AG54" s="68"/>
      <c r="AH54" s="69"/>
      <c r="AI54" s="14"/>
      <c r="AJ54" s="14"/>
      <c r="AK54" s="14"/>
      <c r="AL54" s="14"/>
      <c r="AM54" s="14"/>
      <c r="AN54" s="14"/>
    </row>
    <row r="55" spans="1:40" s="5" customFormat="1" x14ac:dyDescent="0.25">
      <c r="A55" s="65">
        <v>45927</v>
      </c>
      <c r="B55" s="85">
        <v>16723</v>
      </c>
      <c r="C55" s="63"/>
      <c r="D55" s="81">
        <v>5034</v>
      </c>
      <c r="E55" s="4">
        <v>1</v>
      </c>
      <c r="F55" s="88" t="s">
        <v>3035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90"/>
      <c r="U55" s="98" t="s">
        <v>3037</v>
      </c>
      <c r="V55" s="99"/>
      <c r="W55" s="99"/>
      <c r="X55" s="99"/>
      <c r="Y55" s="99"/>
      <c r="Z55" s="99"/>
      <c r="AA55" s="99"/>
      <c r="AB55" s="100"/>
      <c r="AC55" s="67"/>
      <c r="AD55" s="68"/>
      <c r="AE55" s="68"/>
      <c r="AF55" s="68"/>
      <c r="AG55" s="68"/>
      <c r="AH55" s="69"/>
      <c r="AI55" s="14"/>
      <c r="AJ55" s="14"/>
      <c r="AK55" s="14"/>
      <c r="AL55" s="14"/>
      <c r="AM55" s="14"/>
      <c r="AN55" s="14"/>
    </row>
    <row r="56" spans="1:40" s="5" customFormat="1" x14ac:dyDescent="0.25">
      <c r="A56" s="65">
        <v>45927</v>
      </c>
      <c r="B56" s="86"/>
      <c r="C56" s="63"/>
      <c r="D56" s="81">
        <v>12384</v>
      </c>
      <c r="E56" s="4">
        <v>1</v>
      </c>
      <c r="F56" s="88" t="s">
        <v>3034</v>
      </c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  <c r="U56" s="91" t="s">
        <v>3041</v>
      </c>
      <c r="V56" s="92"/>
      <c r="W56" s="92"/>
      <c r="X56" s="92"/>
      <c r="Y56" s="92"/>
      <c r="Z56" s="92"/>
      <c r="AA56" s="92"/>
      <c r="AB56" s="93"/>
      <c r="AC56" s="67"/>
      <c r="AD56" s="68"/>
      <c r="AE56" s="68"/>
      <c r="AF56" s="68"/>
      <c r="AG56" s="68"/>
      <c r="AH56" s="69"/>
      <c r="AI56" s="14"/>
      <c r="AJ56" s="14"/>
      <c r="AK56" s="14"/>
      <c r="AL56" s="14"/>
      <c r="AM56" s="14"/>
      <c r="AN56" s="14"/>
    </row>
    <row r="57" spans="1:40" s="5" customFormat="1" ht="35.25" customHeight="1" x14ac:dyDescent="0.25">
      <c r="A57" s="65">
        <v>45927</v>
      </c>
      <c r="B57" s="86"/>
      <c r="C57" s="63"/>
      <c r="D57" s="81">
        <v>38013</v>
      </c>
      <c r="E57" s="4">
        <v>1</v>
      </c>
      <c r="F57" s="88" t="s">
        <v>2986</v>
      </c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90"/>
      <c r="U57" s="104" t="s">
        <v>3040</v>
      </c>
      <c r="V57" s="99"/>
      <c r="W57" s="99"/>
      <c r="X57" s="99"/>
      <c r="Y57" s="99"/>
      <c r="Z57" s="99"/>
      <c r="AA57" s="99"/>
      <c r="AB57" s="100"/>
      <c r="AC57" s="67"/>
      <c r="AD57" s="68"/>
      <c r="AE57" s="68"/>
      <c r="AF57" s="68"/>
      <c r="AG57" s="68"/>
      <c r="AH57" s="69"/>
      <c r="AI57" s="14"/>
      <c r="AJ57" s="14"/>
      <c r="AK57" s="14"/>
      <c r="AL57" s="14"/>
      <c r="AM57" s="14"/>
      <c r="AN57" s="14"/>
    </row>
    <row r="58" spans="1:40" s="5" customFormat="1" ht="18" customHeight="1" x14ac:dyDescent="0.25">
      <c r="A58" s="65">
        <v>45927</v>
      </c>
      <c r="B58" s="87"/>
      <c r="C58" s="63"/>
      <c r="D58" s="81">
        <v>18002</v>
      </c>
      <c r="E58" s="4">
        <v>1</v>
      </c>
      <c r="F58" s="88" t="s">
        <v>2961</v>
      </c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90"/>
      <c r="U58" s="94" t="s">
        <v>3042</v>
      </c>
      <c r="V58" s="92"/>
      <c r="W58" s="92"/>
      <c r="X58" s="92"/>
      <c r="Y58" s="92"/>
      <c r="Z58" s="92"/>
      <c r="AA58" s="92"/>
      <c r="AB58" s="93"/>
      <c r="AC58" s="67"/>
      <c r="AD58" s="68"/>
      <c r="AE58" s="68"/>
      <c r="AF58" s="68"/>
      <c r="AG58" s="68"/>
      <c r="AH58" s="69"/>
      <c r="AI58" s="14"/>
      <c r="AJ58" s="14"/>
      <c r="AK58" s="14"/>
      <c r="AL58" s="14"/>
      <c r="AM58" s="14"/>
      <c r="AN58" s="14"/>
    </row>
    <row r="59" spans="1:40" s="5" customFormat="1" x14ac:dyDescent="0.25">
      <c r="A59" s="65">
        <v>45926</v>
      </c>
      <c r="B59" s="85">
        <v>10938</v>
      </c>
      <c r="C59" s="63"/>
      <c r="D59" s="81">
        <v>28014</v>
      </c>
      <c r="E59" s="4">
        <v>1</v>
      </c>
      <c r="F59" s="88" t="s">
        <v>2983</v>
      </c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90"/>
      <c r="U59" s="91" t="s">
        <v>3025</v>
      </c>
      <c r="V59" s="92"/>
      <c r="W59" s="92"/>
      <c r="X59" s="92"/>
      <c r="Y59" s="92"/>
      <c r="Z59" s="92"/>
      <c r="AA59" s="92"/>
      <c r="AB59" s="93"/>
      <c r="AC59" s="67"/>
      <c r="AD59" s="68"/>
      <c r="AE59" s="68"/>
      <c r="AF59" s="68"/>
      <c r="AG59" s="68"/>
      <c r="AH59" s="69"/>
      <c r="AI59" s="14"/>
      <c r="AJ59" s="14"/>
      <c r="AK59" s="14"/>
      <c r="AL59" s="14"/>
      <c r="AM59" s="14"/>
      <c r="AN59" s="14"/>
    </row>
    <row r="60" spans="1:40" s="5" customFormat="1" x14ac:dyDescent="0.25">
      <c r="A60" s="65">
        <v>45926</v>
      </c>
      <c r="B60" s="86"/>
      <c r="C60" s="63"/>
      <c r="D60" s="81">
        <v>28003</v>
      </c>
      <c r="E60" s="4">
        <v>5</v>
      </c>
      <c r="F60" s="88" t="s">
        <v>2977</v>
      </c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90"/>
      <c r="U60" s="91" t="s">
        <v>3022</v>
      </c>
      <c r="V60" s="92"/>
      <c r="W60" s="92"/>
      <c r="X60" s="92"/>
      <c r="Y60" s="92"/>
      <c r="Z60" s="92"/>
      <c r="AA60" s="92"/>
      <c r="AB60" s="93"/>
      <c r="AC60" s="67"/>
      <c r="AD60" s="68"/>
      <c r="AE60" s="68"/>
      <c r="AF60" s="68"/>
      <c r="AG60" s="68"/>
      <c r="AH60" s="69"/>
      <c r="AI60" s="14"/>
      <c r="AJ60" s="14"/>
      <c r="AK60" s="14"/>
      <c r="AL60" s="14"/>
      <c r="AM60" s="14"/>
      <c r="AN60" s="14"/>
    </row>
    <row r="61" spans="1:40" s="5" customFormat="1" ht="32.25" customHeight="1" x14ac:dyDescent="0.25">
      <c r="A61" s="65">
        <v>45926</v>
      </c>
      <c r="B61" s="86"/>
      <c r="C61" s="63"/>
      <c r="D61" s="81">
        <v>18002</v>
      </c>
      <c r="E61" s="4">
        <v>4</v>
      </c>
      <c r="F61" s="88" t="s">
        <v>2961</v>
      </c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90"/>
      <c r="U61" s="98" t="s">
        <v>3031</v>
      </c>
      <c r="V61" s="92"/>
      <c r="W61" s="92"/>
      <c r="X61" s="92"/>
      <c r="Y61" s="92"/>
      <c r="Z61" s="92"/>
      <c r="AA61" s="92"/>
      <c r="AB61" s="93"/>
      <c r="AC61" s="67"/>
      <c r="AD61" s="68"/>
      <c r="AE61" s="68"/>
      <c r="AF61" s="68"/>
      <c r="AG61" s="68"/>
      <c r="AH61" s="69"/>
      <c r="AI61" s="14"/>
      <c r="AJ61" s="14"/>
      <c r="AK61" s="14"/>
      <c r="AL61" s="14"/>
      <c r="AM61" s="14"/>
      <c r="AN61" s="14"/>
    </row>
    <row r="62" spans="1:40" s="5" customFormat="1" x14ac:dyDescent="0.25">
      <c r="A62" s="65">
        <v>45926</v>
      </c>
      <c r="B62" s="87"/>
      <c r="C62" s="63"/>
      <c r="D62" s="81">
        <v>72962</v>
      </c>
      <c r="E62" s="4">
        <v>1</v>
      </c>
      <c r="F62" s="88" t="s">
        <v>3030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  <c r="U62" s="94" t="s">
        <v>3032</v>
      </c>
      <c r="V62" s="92"/>
      <c r="W62" s="92"/>
      <c r="X62" s="92"/>
      <c r="Y62" s="92"/>
      <c r="Z62" s="92"/>
      <c r="AA62" s="92"/>
      <c r="AB62" s="93"/>
      <c r="AC62" s="67"/>
      <c r="AD62" s="68"/>
      <c r="AE62" s="68"/>
      <c r="AF62" s="68"/>
      <c r="AG62" s="68"/>
      <c r="AH62" s="69"/>
      <c r="AI62" s="14"/>
      <c r="AJ62" s="14"/>
      <c r="AK62" s="14"/>
      <c r="AL62" s="14"/>
      <c r="AM62" s="14"/>
      <c r="AN62" s="14"/>
    </row>
    <row r="63" spans="1:40" s="5" customFormat="1" ht="33" customHeight="1" x14ac:dyDescent="0.25">
      <c r="A63" s="65">
        <v>45925</v>
      </c>
      <c r="B63" s="85">
        <v>23241</v>
      </c>
      <c r="C63" s="63"/>
      <c r="D63" s="81">
        <v>12384</v>
      </c>
      <c r="E63" s="4">
        <v>1</v>
      </c>
      <c r="F63" s="88" t="s">
        <v>3005</v>
      </c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90"/>
      <c r="U63" s="91" t="s">
        <v>3038</v>
      </c>
      <c r="V63" s="92"/>
      <c r="W63" s="92"/>
      <c r="X63" s="92"/>
      <c r="Y63" s="92"/>
      <c r="Z63" s="92"/>
      <c r="AA63" s="92"/>
      <c r="AB63" s="93"/>
      <c r="AC63" s="67"/>
      <c r="AD63" s="68"/>
      <c r="AE63" s="68"/>
      <c r="AF63" s="68"/>
      <c r="AG63" s="68"/>
      <c r="AH63" s="69"/>
      <c r="AI63" s="14"/>
      <c r="AJ63" s="14"/>
      <c r="AK63" s="14"/>
      <c r="AL63" s="14"/>
      <c r="AM63" s="14"/>
      <c r="AN63" s="14"/>
    </row>
    <row r="64" spans="1:40" s="5" customFormat="1" x14ac:dyDescent="0.25">
      <c r="A64" s="65">
        <v>45925</v>
      </c>
      <c r="B64" s="86"/>
      <c r="C64" s="63"/>
      <c r="D64" s="81">
        <v>18002</v>
      </c>
      <c r="E64" s="4">
        <v>5</v>
      </c>
      <c r="F64" s="88" t="s">
        <v>2961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90"/>
      <c r="U64" s="94" t="s">
        <v>3020</v>
      </c>
      <c r="V64" s="92"/>
      <c r="W64" s="92"/>
      <c r="X64" s="92"/>
      <c r="Y64" s="92"/>
      <c r="Z64" s="92"/>
      <c r="AA64" s="92"/>
      <c r="AB64" s="93"/>
      <c r="AC64" s="67"/>
      <c r="AD64" s="68"/>
      <c r="AE64" s="68"/>
      <c r="AF64" s="68"/>
      <c r="AG64" s="68"/>
      <c r="AH64" s="69"/>
      <c r="AI64" s="14"/>
      <c r="AJ64" s="14"/>
      <c r="AK64" s="14"/>
      <c r="AL64" s="14"/>
      <c r="AM64" s="14"/>
      <c r="AN64" s="14"/>
    </row>
    <row r="65" spans="1:40" s="5" customFormat="1" ht="32.25" customHeight="1" x14ac:dyDescent="0.25">
      <c r="A65" s="65">
        <v>45925</v>
      </c>
      <c r="B65" s="86"/>
      <c r="C65" s="63"/>
      <c r="D65" s="81">
        <v>38013</v>
      </c>
      <c r="E65" s="4">
        <v>2</v>
      </c>
      <c r="F65" s="88" t="s">
        <v>2986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90"/>
      <c r="U65" s="104" t="s">
        <v>3039</v>
      </c>
      <c r="V65" s="99"/>
      <c r="W65" s="99"/>
      <c r="X65" s="99"/>
      <c r="Y65" s="99"/>
      <c r="Z65" s="99"/>
      <c r="AA65" s="99"/>
      <c r="AB65" s="100"/>
      <c r="AC65" s="67"/>
      <c r="AD65" s="68"/>
      <c r="AE65" s="68"/>
      <c r="AF65" s="68"/>
      <c r="AG65" s="68"/>
      <c r="AH65" s="69"/>
      <c r="AI65" s="14"/>
      <c r="AJ65" s="14"/>
      <c r="AK65" s="14"/>
      <c r="AL65" s="14"/>
      <c r="AM65" s="14"/>
      <c r="AN65" s="14"/>
    </row>
    <row r="66" spans="1:40" s="5" customFormat="1" ht="33.75" customHeight="1" x14ac:dyDescent="0.25">
      <c r="A66" s="65">
        <v>45925</v>
      </c>
      <c r="B66" s="87"/>
      <c r="C66" s="63"/>
      <c r="D66" s="81">
        <v>28014</v>
      </c>
      <c r="E66" s="4">
        <v>2</v>
      </c>
      <c r="F66" s="88" t="s">
        <v>2986</v>
      </c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90"/>
      <c r="U66" s="104" t="s">
        <v>3039</v>
      </c>
      <c r="V66" s="99"/>
      <c r="W66" s="99"/>
      <c r="X66" s="99"/>
      <c r="Y66" s="99"/>
      <c r="Z66" s="99"/>
      <c r="AA66" s="99"/>
      <c r="AB66" s="100"/>
      <c r="AC66" s="67"/>
      <c r="AD66" s="68"/>
      <c r="AE66" s="68"/>
      <c r="AF66" s="68"/>
      <c r="AG66" s="68"/>
      <c r="AH66" s="69"/>
      <c r="AI66" s="14"/>
      <c r="AJ66" s="14"/>
      <c r="AK66" s="14"/>
      <c r="AL66" s="14"/>
      <c r="AM66" s="14"/>
      <c r="AN66" s="14"/>
    </row>
    <row r="67" spans="1:40" s="5" customFormat="1" x14ac:dyDescent="0.25">
      <c r="A67" s="65">
        <v>45924</v>
      </c>
      <c r="B67" s="85">
        <v>8058</v>
      </c>
      <c r="C67" s="63"/>
      <c r="D67" s="81">
        <v>78002</v>
      </c>
      <c r="E67" s="4">
        <v>1</v>
      </c>
      <c r="F67" s="88" t="s">
        <v>3027</v>
      </c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90"/>
      <c r="U67" s="91" t="s">
        <v>3028</v>
      </c>
      <c r="V67" s="92"/>
      <c r="W67" s="92"/>
      <c r="X67" s="92"/>
      <c r="Y67" s="92"/>
      <c r="Z67" s="92"/>
      <c r="AA67" s="92"/>
      <c r="AB67" s="93"/>
      <c r="AC67" s="67"/>
      <c r="AD67" s="68"/>
      <c r="AE67" s="68"/>
      <c r="AF67" s="68"/>
      <c r="AG67" s="68"/>
      <c r="AH67" s="69"/>
      <c r="AI67" s="14"/>
      <c r="AJ67" s="14"/>
      <c r="AK67" s="14"/>
      <c r="AL67" s="14"/>
      <c r="AM67" s="14"/>
      <c r="AN67" s="14"/>
    </row>
    <row r="68" spans="1:40" s="5" customFormat="1" ht="28.5" customHeight="1" x14ac:dyDescent="0.25">
      <c r="A68" s="65">
        <v>45924</v>
      </c>
      <c r="B68" s="86"/>
      <c r="C68" s="63"/>
      <c r="D68" s="81">
        <v>110083</v>
      </c>
      <c r="E68" s="4">
        <v>1</v>
      </c>
      <c r="F68" s="88" t="s">
        <v>3026</v>
      </c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90"/>
      <c r="U68" s="98" t="s">
        <v>3029</v>
      </c>
      <c r="V68" s="99"/>
      <c r="W68" s="99"/>
      <c r="X68" s="99"/>
      <c r="Y68" s="99"/>
      <c r="Z68" s="99"/>
      <c r="AA68" s="99"/>
      <c r="AB68" s="100"/>
      <c r="AC68" s="67"/>
      <c r="AD68" s="68"/>
      <c r="AE68" s="68"/>
      <c r="AF68" s="68"/>
      <c r="AG68" s="68"/>
      <c r="AH68" s="69"/>
      <c r="AI68" s="14"/>
      <c r="AJ68" s="14"/>
      <c r="AK68" s="14"/>
      <c r="AL68" s="14"/>
      <c r="AM68" s="14"/>
      <c r="AN68" s="14"/>
    </row>
    <row r="69" spans="1:40" s="5" customFormat="1" x14ac:dyDescent="0.25">
      <c r="A69" s="65">
        <v>45924</v>
      </c>
      <c r="B69" s="87"/>
      <c r="C69" s="63"/>
      <c r="D69" s="81">
        <v>18002</v>
      </c>
      <c r="E69" s="4">
        <v>2</v>
      </c>
      <c r="F69" s="88" t="s">
        <v>2961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90"/>
      <c r="U69" s="94" t="s">
        <v>3020</v>
      </c>
      <c r="V69" s="92"/>
      <c r="W69" s="92"/>
      <c r="X69" s="92"/>
      <c r="Y69" s="92"/>
      <c r="Z69" s="92"/>
      <c r="AA69" s="92"/>
      <c r="AB69" s="93"/>
      <c r="AC69" s="67"/>
      <c r="AD69" s="68"/>
      <c r="AE69" s="68"/>
      <c r="AF69" s="68"/>
      <c r="AG69" s="68"/>
      <c r="AH69" s="69"/>
      <c r="AI69" s="14"/>
      <c r="AJ69" s="14"/>
      <c r="AK69" s="14"/>
      <c r="AL69" s="14"/>
      <c r="AM69" s="14"/>
      <c r="AN69" s="14"/>
    </row>
    <row r="70" spans="1:40" s="5" customFormat="1" x14ac:dyDescent="0.25">
      <c r="A70" s="65">
        <v>45923</v>
      </c>
      <c r="B70" s="85">
        <v>3186</v>
      </c>
      <c r="C70" s="63"/>
      <c r="D70" s="81">
        <v>28003</v>
      </c>
      <c r="E70" s="4">
        <v>1</v>
      </c>
      <c r="F70" s="88" t="s">
        <v>2977</v>
      </c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90"/>
      <c r="U70" s="91" t="s">
        <v>3024</v>
      </c>
      <c r="V70" s="92"/>
      <c r="W70" s="92"/>
      <c r="X70" s="92"/>
      <c r="Y70" s="92"/>
      <c r="Z70" s="92"/>
      <c r="AA70" s="92"/>
      <c r="AB70" s="93"/>
      <c r="AC70" s="67"/>
      <c r="AD70" s="68"/>
      <c r="AE70" s="68"/>
      <c r="AF70" s="68"/>
      <c r="AG70" s="68"/>
      <c r="AH70" s="69"/>
      <c r="AI70" s="14"/>
      <c r="AJ70" s="14"/>
      <c r="AK70" s="14"/>
      <c r="AL70" s="14"/>
      <c r="AM70" s="14"/>
      <c r="AN70" s="14"/>
    </row>
    <row r="71" spans="1:40" s="5" customFormat="1" x14ac:dyDescent="0.25">
      <c r="A71" s="65">
        <v>45923</v>
      </c>
      <c r="B71" s="86"/>
      <c r="C71" s="63"/>
      <c r="D71" s="81">
        <v>38013</v>
      </c>
      <c r="E71" s="4">
        <v>1</v>
      </c>
      <c r="F71" s="88" t="s">
        <v>2986</v>
      </c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90"/>
      <c r="U71" s="101" t="s">
        <v>3025</v>
      </c>
      <c r="V71" s="102"/>
      <c r="W71" s="102"/>
      <c r="X71" s="102"/>
      <c r="Y71" s="102"/>
      <c r="Z71" s="102"/>
      <c r="AA71" s="102"/>
      <c r="AB71" s="103"/>
      <c r="AC71" s="67"/>
      <c r="AD71" s="68"/>
      <c r="AE71" s="68"/>
      <c r="AF71" s="68"/>
      <c r="AG71" s="68"/>
      <c r="AH71" s="69"/>
      <c r="AI71" s="14"/>
      <c r="AJ71" s="14"/>
      <c r="AK71" s="14"/>
      <c r="AL71" s="14"/>
      <c r="AM71" s="14"/>
      <c r="AN71" s="14"/>
    </row>
    <row r="72" spans="1:40" s="5" customFormat="1" x14ac:dyDescent="0.25">
      <c r="A72" s="65">
        <v>45923</v>
      </c>
      <c r="B72" s="86"/>
      <c r="C72" s="63"/>
      <c r="D72" s="81">
        <v>38003</v>
      </c>
      <c r="E72" s="4">
        <v>1</v>
      </c>
      <c r="F72" s="88" t="s">
        <v>2977</v>
      </c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90"/>
      <c r="U72" s="101" t="s">
        <v>3023</v>
      </c>
      <c r="V72" s="102"/>
      <c r="W72" s="102"/>
      <c r="X72" s="102"/>
      <c r="Y72" s="102"/>
      <c r="Z72" s="102"/>
      <c r="AA72" s="102"/>
      <c r="AB72" s="103"/>
      <c r="AC72" s="67"/>
      <c r="AD72" s="68"/>
      <c r="AE72" s="68"/>
      <c r="AF72" s="68"/>
      <c r="AG72" s="68"/>
      <c r="AH72" s="69"/>
      <c r="AI72" s="14"/>
      <c r="AJ72" s="14"/>
      <c r="AK72" s="14"/>
      <c r="AL72" s="14"/>
      <c r="AM72" s="14"/>
      <c r="AN72" s="14"/>
    </row>
    <row r="73" spans="1:40" s="5" customFormat="1" x14ac:dyDescent="0.25">
      <c r="A73" s="65">
        <v>45923</v>
      </c>
      <c r="B73" s="87"/>
      <c r="C73" s="63"/>
      <c r="D73" s="81">
        <v>18002</v>
      </c>
      <c r="E73" s="4">
        <v>1</v>
      </c>
      <c r="F73" s="88" t="s">
        <v>2961</v>
      </c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90"/>
      <c r="U73" s="105" t="s">
        <v>3020</v>
      </c>
      <c r="V73" s="102"/>
      <c r="W73" s="102"/>
      <c r="X73" s="102"/>
      <c r="Y73" s="102"/>
      <c r="Z73" s="102"/>
      <c r="AA73" s="102"/>
      <c r="AB73" s="103"/>
      <c r="AC73" s="67"/>
      <c r="AD73" s="68"/>
      <c r="AE73" s="68"/>
      <c r="AF73" s="68"/>
      <c r="AG73" s="68"/>
      <c r="AH73" s="69"/>
      <c r="AI73" s="14"/>
      <c r="AJ73" s="14"/>
      <c r="AK73" s="14"/>
      <c r="AL73" s="14"/>
      <c r="AM73" s="14"/>
      <c r="AN73" s="14"/>
    </row>
    <row r="74" spans="1:40" s="5" customFormat="1" x14ac:dyDescent="0.25">
      <c r="A74" s="65">
        <v>45922</v>
      </c>
      <c r="B74" s="85">
        <v>4086</v>
      </c>
      <c r="C74" s="63"/>
      <c r="D74" s="81">
        <v>28003</v>
      </c>
      <c r="E74" s="4">
        <v>5</v>
      </c>
      <c r="F74" s="88" t="s">
        <v>2977</v>
      </c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90"/>
      <c r="U74" s="107" t="s">
        <v>3021</v>
      </c>
      <c r="V74" s="102"/>
      <c r="W74" s="102"/>
      <c r="X74" s="102"/>
      <c r="Y74" s="102"/>
      <c r="Z74" s="102"/>
      <c r="AA74" s="102"/>
      <c r="AB74" s="103"/>
      <c r="AC74" s="67"/>
      <c r="AD74" s="68"/>
      <c r="AE74" s="68"/>
      <c r="AF74" s="68"/>
      <c r="AG74" s="68"/>
      <c r="AH74" s="69"/>
      <c r="AI74" s="14"/>
      <c r="AJ74" s="14"/>
      <c r="AK74" s="14"/>
      <c r="AL74" s="14"/>
      <c r="AM74" s="14"/>
      <c r="AN74" s="14"/>
    </row>
    <row r="75" spans="1:40" s="5" customFormat="1" x14ac:dyDescent="0.25">
      <c r="A75" s="65">
        <v>45922</v>
      </c>
      <c r="B75" s="87"/>
      <c r="C75" s="63"/>
      <c r="D75" s="81">
        <v>38003</v>
      </c>
      <c r="E75" s="4">
        <v>1</v>
      </c>
      <c r="F75" s="88" t="s">
        <v>2977</v>
      </c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90"/>
      <c r="U75" s="101" t="s">
        <v>3022</v>
      </c>
      <c r="V75" s="102"/>
      <c r="W75" s="102"/>
      <c r="X75" s="102"/>
      <c r="Y75" s="102"/>
      <c r="Z75" s="102"/>
      <c r="AA75" s="102"/>
      <c r="AB75" s="103"/>
      <c r="AC75" s="67"/>
      <c r="AD75" s="68"/>
      <c r="AE75" s="68"/>
      <c r="AF75" s="68"/>
      <c r="AG75" s="68"/>
      <c r="AH75" s="69"/>
      <c r="AI75" s="14"/>
      <c r="AJ75" s="14"/>
      <c r="AK75" s="14"/>
      <c r="AL75" s="14"/>
      <c r="AM75" s="14"/>
      <c r="AN75" s="14"/>
    </row>
    <row r="76" spans="1:40" s="5" customFormat="1" x14ac:dyDescent="0.25">
      <c r="A76" s="65">
        <v>45921</v>
      </c>
      <c r="B76" s="85">
        <v>14874</v>
      </c>
      <c r="C76" s="63"/>
      <c r="D76" s="81">
        <v>38013</v>
      </c>
      <c r="E76" s="4">
        <v>1</v>
      </c>
      <c r="F76" s="88" t="s">
        <v>2986</v>
      </c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90"/>
      <c r="U76" s="101" t="s">
        <v>2980</v>
      </c>
      <c r="V76" s="102"/>
      <c r="W76" s="102"/>
      <c r="X76" s="102"/>
      <c r="Y76" s="102"/>
      <c r="Z76" s="102"/>
      <c r="AA76" s="102"/>
      <c r="AB76" s="103"/>
      <c r="AC76" s="67"/>
      <c r="AD76" s="68"/>
      <c r="AE76" s="68"/>
      <c r="AF76" s="68"/>
      <c r="AG76" s="68"/>
      <c r="AH76" s="69"/>
      <c r="AI76" s="14"/>
      <c r="AJ76" s="14"/>
      <c r="AK76" s="14"/>
      <c r="AL76" s="14"/>
      <c r="AM76" s="14"/>
      <c r="AN76" s="14"/>
    </row>
    <row r="77" spans="1:40" s="5" customFormat="1" ht="32.25" customHeight="1" x14ac:dyDescent="0.25">
      <c r="A77" s="65">
        <v>45921</v>
      </c>
      <c r="B77" s="86"/>
      <c r="C77" s="63"/>
      <c r="D77" s="81">
        <v>5034</v>
      </c>
      <c r="E77" s="4">
        <v>1</v>
      </c>
      <c r="F77" s="88" t="s">
        <v>3018</v>
      </c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90"/>
      <c r="U77" s="107" t="s">
        <v>3036</v>
      </c>
      <c r="V77" s="108"/>
      <c r="W77" s="108"/>
      <c r="X77" s="108"/>
      <c r="Y77" s="108"/>
      <c r="Z77" s="108"/>
      <c r="AA77" s="108"/>
      <c r="AB77" s="109"/>
      <c r="AC77" s="67"/>
      <c r="AD77" s="68"/>
      <c r="AE77" s="68"/>
      <c r="AF77" s="68"/>
      <c r="AG77" s="68"/>
      <c r="AH77" s="69"/>
      <c r="AI77" s="14"/>
      <c r="AJ77" s="14"/>
      <c r="AK77" s="14"/>
      <c r="AL77" s="14"/>
      <c r="AM77" s="14"/>
      <c r="AN77" s="14"/>
    </row>
    <row r="78" spans="1:40" s="5" customFormat="1" x14ac:dyDescent="0.25">
      <c r="A78" s="65">
        <v>45921</v>
      </c>
      <c r="B78" s="86"/>
      <c r="C78" s="63"/>
      <c r="D78" s="81">
        <v>18002</v>
      </c>
      <c r="E78" s="4">
        <v>2</v>
      </c>
      <c r="F78" s="88" t="s">
        <v>2961</v>
      </c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90"/>
      <c r="U78" s="105" t="s">
        <v>3020</v>
      </c>
      <c r="V78" s="102"/>
      <c r="W78" s="102"/>
      <c r="X78" s="102"/>
      <c r="Y78" s="102"/>
      <c r="Z78" s="102"/>
      <c r="AA78" s="102"/>
      <c r="AB78" s="103"/>
      <c r="AC78" s="67"/>
      <c r="AD78" s="68"/>
      <c r="AE78" s="68"/>
      <c r="AF78" s="68"/>
      <c r="AG78" s="68"/>
      <c r="AH78" s="69"/>
      <c r="AI78" s="14"/>
      <c r="AJ78" s="14"/>
      <c r="AK78" s="14"/>
      <c r="AL78" s="14"/>
      <c r="AM78" s="14"/>
      <c r="AN78" s="14"/>
    </row>
    <row r="79" spans="1:40" s="5" customFormat="1" x14ac:dyDescent="0.25">
      <c r="A79" s="65">
        <v>45921</v>
      </c>
      <c r="B79" s="86"/>
      <c r="C79" s="63"/>
      <c r="D79" s="81">
        <v>28003</v>
      </c>
      <c r="E79" s="4">
        <v>4</v>
      </c>
      <c r="F79" s="88" t="s">
        <v>2977</v>
      </c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90"/>
      <c r="U79" s="101" t="s">
        <v>2954</v>
      </c>
      <c r="V79" s="102"/>
      <c r="W79" s="102"/>
      <c r="X79" s="102"/>
      <c r="Y79" s="102"/>
      <c r="Z79" s="102"/>
      <c r="AA79" s="102"/>
      <c r="AB79" s="103"/>
      <c r="AC79" s="67"/>
      <c r="AD79" s="68"/>
      <c r="AE79" s="68"/>
      <c r="AF79" s="68"/>
      <c r="AG79" s="68"/>
      <c r="AH79" s="69"/>
      <c r="AI79" s="14"/>
      <c r="AJ79" s="14"/>
      <c r="AK79" s="14"/>
      <c r="AL79" s="14"/>
      <c r="AM79" s="14"/>
      <c r="AN79" s="14"/>
    </row>
    <row r="80" spans="1:40" s="5" customFormat="1" x14ac:dyDescent="0.25">
      <c r="A80" s="65">
        <v>45921</v>
      </c>
      <c r="B80" s="87"/>
      <c r="C80" s="63"/>
      <c r="D80" s="81">
        <v>45096</v>
      </c>
      <c r="E80" s="4">
        <v>4</v>
      </c>
      <c r="F80" s="88" t="s">
        <v>3008</v>
      </c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90"/>
      <c r="U80" s="101" t="s">
        <v>3019</v>
      </c>
      <c r="V80" s="102"/>
      <c r="W80" s="102"/>
      <c r="X80" s="102"/>
      <c r="Y80" s="102"/>
      <c r="Z80" s="102"/>
      <c r="AA80" s="102"/>
      <c r="AB80" s="103"/>
      <c r="AC80" s="67"/>
      <c r="AD80" s="68"/>
      <c r="AE80" s="68"/>
      <c r="AF80" s="68"/>
      <c r="AG80" s="68"/>
      <c r="AH80" s="69"/>
      <c r="AI80" s="14"/>
      <c r="AJ80" s="14"/>
      <c r="AK80" s="14"/>
      <c r="AL80" s="14"/>
      <c r="AM80" s="14"/>
      <c r="AN80" s="14"/>
    </row>
    <row r="81" spans="1:40" s="5" customFormat="1" ht="32.25" customHeight="1" x14ac:dyDescent="0.25">
      <c r="A81" s="65">
        <v>45920</v>
      </c>
      <c r="B81" s="85">
        <v>13541</v>
      </c>
      <c r="C81" s="63"/>
      <c r="D81" s="81">
        <v>54117</v>
      </c>
      <c r="E81" s="4">
        <v>1</v>
      </c>
      <c r="F81" s="88" t="s">
        <v>3010</v>
      </c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90"/>
      <c r="U81" s="101" t="s">
        <v>3013</v>
      </c>
      <c r="V81" s="102"/>
      <c r="W81" s="102"/>
      <c r="X81" s="102"/>
      <c r="Y81" s="102"/>
      <c r="Z81" s="102"/>
      <c r="AA81" s="102"/>
      <c r="AB81" s="103"/>
      <c r="AC81" s="67"/>
      <c r="AD81" s="68"/>
      <c r="AE81" s="68"/>
      <c r="AF81" s="68"/>
      <c r="AG81" s="68"/>
      <c r="AH81" s="69"/>
      <c r="AI81" s="14"/>
      <c r="AJ81" s="14"/>
      <c r="AK81" s="14"/>
      <c r="AL81" s="14"/>
      <c r="AM81" s="14"/>
      <c r="AN81" s="14"/>
    </row>
    <row r="82" spans="1:40" s="5" customFormat="1" ht="43.5" customHeight="1" x14ac:dyDescent="0.25">
      <c r="A82" s="65">
        <v>45920</v>
      </c>
      <c r="B82" s="86"/>
      <c r="C82" s="63"/>
      <c r="D82" s="81">
        <v>42601</v>
      </c>
      <c r="E82" s="4">
        <v>1</v>
      </c>
      <c r="F82" s="88" t="s">
        <v>3009</v>
      </c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90"/>
      <c r="U82" s="101" t="s">
        <v>3012</v>
      </c>
      <c r="V82" s="102"/>
      <c r="W82" s="102"/>
      <c r="X82" s="102"/>
      <c r="Y82" s="102"/>
      <c r="Z82" s="102"/>
      <c r="AA82" s="102"/>
      <c r="AB82" s="103"/>
      <c r="AC82" s="67"/>
      <c r="AD82" s="68"/>
      <c r="AE82" s="68"/>
      <c r="AF82" s="68"/>
      <c r="AG82" s="68"/>
      <c r="AH82" s="69"/>
      <c r="AI82" s="14"/>
      <c r="AJ82" s="14"/>
      <c r="AK82" s="14"/>
      <c r="AL82" s="14"/>
      <c r="AM82" s="14"/>
      <c r="AN82" s="14"/>
    </row>
    <row r="83" spans="1:40" s="5" customFormat="1" x14ac:dyDescent="0.25">
      <c r="A83" s="65">
        <v>45920</v>
      </c>
      <c r="B83" s="86"/>
      <c r="C83" s="63"/>
      <c r="D83" s="81">
        <v>28001</v>
      </c>
      <c r="E83" s="4">
        <v>1</v>
      </c>
      <c r="F83" s="88" t="s">
        <v>2965</v>
      </c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90"/>
      <c r="U83" s="101" t="s">
        <v>3011</v>
      </c>
      <c r="V83" s="102"/>
      <c r="W83" s="102"/>
      <c r="X83" s="102"/>
      <c r="Y83" s="102"/>
      <c r="Z83" s="102"/>
      <c r="AA83" s="102"/>
      <c r="AB83" s="103"/>
      <c r="AC83" s="67"/>
      <c r="AD83" s="68"/>
      <c r="AE83" s="68"/>
      <c r="AF83" s="68"/>
      <c r="AG83" s="68"/>
      <c r="AH83" s="69"/>
      <c r="AI83" s="14"/>
      <c r="AJ83" s="14"/>
      <c r="AK83" s="14"/>
      <c r="AL83" s="14"/>
      <c r="AM83" s="14"/>
      <c r="AN83" s="14"/>
    </row>
    <row r="84" spans="1:40" s="5" customFormat="1" x14ac:dyDescent="0.25">
      <c r="A84" s="65">
        <v>45920</v>
      </c>
      <c r="B84" s="86"/>
      <c r="C84" s="63"/>
      <c r="D84" s="81">
        <v>38003</v>
      </c>
      <c r="E84" s="4">
        <v>1</v>
      </c>
      <c r="F84" s="88" t="s">
        <v>2977</v>
      </c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90"/>
      <c r="U84" s="101" t="s">
        <v>3014</v>
      </c>
      <c r="V84" s="102"/>
      <c r="W84" s="102"/>
      <c r="X84" s="102"/>
      <c r="Y84" s="102"/>
      <c r="Z84" s="102"/>
      <c r="AA84" s="102"/>
      <c r="AB84" s="103"/>
      <c r="AC84" s="67"/>
      <c r="AD84" s="68"/>
      <c r="AE84" s="68"/>
      <c r="AF84" s="68"/>
      <c r="AG84" s="68"/>
      <c r="AH84" s="69"/>
      <c r="AI84" s="14"/>
      <c r="AJ84" s="14"/>
      <c r="AK84" s="14"/>
      <c r="AL84" s="14"/>
      <c r="AM84" s="14"/>
      <c r="AN84" s="14"/>
    </row>
    <row r="85" spans="1:40" s="5" customFormat="1" x14ac:dyDescent="0.25">
      <c r="A85" s="65">
        <v>45920</v>
      </c>
      <c r="B85" s="86"/>
      <c r="C85" s="63"/>
      <c r="D85" s="81">
        <v>28003</v>
      </c>
      <c r="E85" s="4">
        <v>2</v>
      </c>
      <c r="F85" s="88" t="s">
        <v>2977</v>
      </c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90"/>
      <c r="U85" s="101" t="s">
        <v>3015</v>
      </c>
      <c r="V85" s="102"/>
      <c r="W85" s="102"/>
      <c r="X85" s="102"/>
      <c r="Y85" s="102"/>
      <c r="Z85" s="102"/>
      <c r="AA85" s="102"/>
      <c r="AB85" s="103"/>
      <c r="AC85" s="67"/>
      <c r="AD85" s="68"/>
      <c r="AE85" s="68"/>
      <c r="AF85" s="68"/>
      <c r="AG85" s="68"/>
      <c r="AH85" s="69"/>
      <c r="AI85" s="14"/>
      <c r="AJ85" s="14"/>
      <c r="AK85" s="14"/>
      <c r="AL85" s="14"/>
      <c r="AM85" s="14"/>
      <c r="AN85" s="14"/>
    </row>
    <row r="86" spans="1:40" s="5" customFormat="1" x14ac:dyDescent="0.25">
      <c r="A86" s="65">
        <v>45920</v>
      </c>
      <c r="B86" s="86"/>
      <c r="C86" s="63"/>
      <c r="D86" s="81">
        <v>28014</v>
      </c>
      <c r="E86" s="4">
        <v>1</v>
      </c>
      <c r="F86" s="88" t="s">
        <v>2976</v>
      </c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90"/>
      <c r="U86" s="101" t="s">
        <v>2980</v>
      </c>
      <c r="V86" s="102"/>
      <c r="W86" s="102"/>
      <c r="X86" s="102"/>
      <c r="Y86" s="102"/>
      <c r="Z86" s="102"/>
      <c r="AA86" s="102"/>
      <c r="AB86" s="103"/>
      <c r="AC86" s="67"/>
      <c r="AD86" s="68"/>
      <c r="AE86" s="68"/>
      <c r="AF86" s="68"/>
      <c r="AG86" s="68"/>
      <c r="AH86" s="69"/>
      <c r="AI86" s="14"/>
      <c r="AJ86" s="14"/>
      <c r="AK86" s="14"/>
      <c r="AL86" s="14"/>
      <c r="AM86" s="14"/>
      <c r="AN86" s="14"/>
    </row>
    <row r="87" spans="1:40" s="5" customFormat="1" x14ac:dyDescent="0.25">
      <c r="A87" s="65">
        <v>45920</v>
      </c>
      <c r="B87" s="86"/>
      <c r="C87" s="63"/>
      <c r="D87" s="81">
        <v>45096</v>
      </c>
      <c r="E87" s="4">
        <v>2</v>
      </c>
      <c r="F87" s="88" t="s">
        <v>3008</v>
      </c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90"/>
      <c r="U87" s="101" t="s">
        <v>3016</v>
      </c>
      <c r="V87" s="102"/>
      <c r="W87" s="102"/>
      <c r="X87" s="102"/>
      <c r="Y87" s="102"/>
      <c r="Z87" s="102"/>
      <c r="AA87" s="102"/>
      <c r="AB87" s="103"/>
      <c r="AC87" s="67"/>
      <c r="AD87" s="68"/>
      <c r="AE87" s="68"/>
      <c r="AF87" s="68"/>
      <c r="AG87" s="68"/>
      <c r="AH87" s="69"/>
      <c r="AI87" s="14"/>
      <c r="AJ87" s="14"/>
      <c r="AK87" s="14"/>
      <c r="AL87" s="14"/>
      <c r="AM87" s="14"/>
      <c r="AN87" s="14"/>
    </row>
    <row r="88" spans="1:40" s="5" customFormat="1" ht="16.5" customHeight="1" x14ac:dyDescent="0.25">
      <c r="A88" s="65">
        <v>45919</v>
      </c>
      <c r="B88" s="85">
        <v>10616</v>
      </c>
      <c r="C88" s="63"/>
      <c r="D88" s="81">
        <v>42596</v>
      </c>
      <c r="E88" s="4">
        <v>1</v>
      </c>
      <c r="F88" s="88" t="s">
        <v>3006</v>
      </c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90"/>
      <c r="U88" s="101" t="s">
        <v>3007</v>
      </c>
      <c r="V88" s="102"/>
      <c r="W88" s="102"/>
      <c r="X88" s="102"/>
      <c r="Y88" s="102"/>
      <c r="Z88" s="102"/>
      <c r="AA88" s="102"/>
      <c r="AB88" s="103"/>
      <c r="AC88" s="67"/>
      <c r="AD88" s="68"/>
      <c r="AE88" s="68"/>
      <c r="AF88" s="68"/>
      <c r="AG88" s="68"/>
      <c r="AH88" s="69"/>
      <c r="AI88" s="14"/>
      <c r="AJ88" s="14"/>
      <c r="AK88" s="14"/>
      <c r="AL88" s="14"/>
      <c r="AM88" s="14"/>
      <c r="AN88" s="14"/>
    </row>
    <row r="89" spans="1:40" s="5" customFormat="1" x14ac:dyDescent="0.25">
      <c r="A89" s="65">
        <v>45919</v>
      </c>
      <c r="B89" s="86"/>
      <c r="C89" s="63"/>
      <c r="D89" s="81">
        <v>38003</v>
      </c>
      <c r="E89" s="4">
        <v>1</v>
      </c>
      <c r="F89" s="88" t="s">
        <v>2977</v>
      </c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90"/>
      <c r="U89" s="101" t="s">
        <v>2954</v>
      </c>
      <c r="V89" s="102"/>
      <c r="W89" s="102"/>
      <c r="X89" s="102"/>
      <c r="Y89" s="102"/>
      <c r="Z89" s="102"/>
      <c r="AA89" s="102"/>
      <c r="AB89" s="103"/>
      <c r="AC89" s="67"/>
      <c r="AD89" s="68"/>
      <c r="AE89" s="68"/>
      <c r="AF89" s="68"/>
      <c r="AG89" s="68"/>
      <c r="AH89" s="69"/>
      <c r="AI89" s="14"/>
      <c r="AJ89" s="14"/>
      <c r="AK89" s="14"/>
      <c r="AL89" s="14"/>
      <c r="AM89" s="14"/>
      <c r="AN89" s="14"/>
    </row>
    <row r="90" spans="1:40" s="5" customFormat="1" x14ac:dyDescent="0.25">
      <c r="A90" s="65">
        <v>45919</v>
      </c>
      <c r="B90" s="86"/>
      <c r="C90" s="63"/>
      <c r="D90" s="81">
        <v>28003</v>
      </c>
      <c r="E90" s="4">
        <v>2</v>
      </c>
      <c r="F90" s="88" t="s">
        <v>2977</v>
      </c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90"/>
      <c r="U90" s="101" t="s">
        <v>2954</v>
      </c>
      <c r="V90" s="102"/>
      <c r="W90" s="102"/>
      <c r="X90" s="102"/>
      <c r="Y90" s="102"/>
      <c r="Z90" s="102"/>
      <c r="AA90" s="102"/>
      <c r="AB90" s="103"/>
      <c r="AC90" s="67"/>
      <c r="AD90" s="68"/>
      <c r="AE90" s="68"/>
      <c r="AF90" s="68"/>
      <c r="AG90" s="68"/>
      <c r="AH90" s="69"/>
      <c r="AI90" s="14"/>
      <c r="AJ90" s="14"/>
      <c r="AK90" s="14"/>
      <c r="AL90" s="14"/>
      <c r="AM90" s="14"/>
      <c r="AN90" s="14"/>
    </row>
    <row r="91" spans="1:40" s="5" customFormat="1" x14ac:dyDescent="0.25">
      <c r="A91" s="65">
        <v>45919</v>
      </c>
      <c r="B91" s="86"/>
      <c r="C91" s="63"/>
      <c r="D91" s="81">
        <v>18002</v>
      </c>
      <c r="E91" s="4">
        <v>1</v>
      </c>
      <c r="F91" s="88" t="s">
        <v>2985</v>
      </c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90"/>
      <c r="U91" s="101" t="s">
        <v>3001</v>
      </c>
      <c r="V91" s="102"/>
      <c r="W91" s="102"/>
      <c r="X91" s="102"/>
      <c r="Y91" s="102"/>
      <c r="Z91" s="102"/>
      <c r="AA91" s="102"/>
      <c r="AB91" s="103"/>
      <c r="AC91" s="67"/>
      <c r="AD91" s="68"/>
      <c r="AE91" s="68"/>
      <c r="AF91" s="68"/>
      <c r="AG91" s="68"/>
      <c r="AH91" s="69"/>
      <c r="AI91" s="14"/>
      <c r="AJ91" s="14"/>
      <c r="AK91" s="14"/>
      <c r="AL91" s="14"/>
      <c r="AM91" s="14"/>
      <c r="AN91" s="14"/>
    </row>
    <row r="92" spans="1:40" s="5" customFormat="1" x14ac:dyDescent="0.25">
      <c r="A92" s="65">
        <v>45919</v>
      </c>
      <c r="B92" s="87"/>
      <c r="C92" s="63"/>
      <c r="D92" s="81">
        <v>28014</v>
      </c>
      <c r="E92" s="4">
        <v>2</v>
      </c>
      <c r="F92" s="88" t="s">
        <v>3000</v>
      </c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90"/>
      <c r="U92" s="101" t="s">
        <v>2980</v>
      </c>
      <c r="V92" s="102"/>
      <c r="W92" s="102"/>
      <c r="X92" s="102"/>
      <c r="Y92" s="102"/>
      <c r="Z92" s="102"/>
      <c r="AA92" s="102"/>
      <c r="AB92" s="103"/>
      <c r="AC92" s="67"/>
      <c r="AD92" s="68"/>
      <c r="AE92" s="68"/>
      <c r="AF92" s="68"/>
      <c r="AG92" s="68"/>
      <c r="AH92" s="69"/>
      <c r="AI92" s="14"/>
      <c r="AJ92" s="14"/>
      <c r="AK92" s="14"/>
      <c r="AL92" s="14"/>
      <c r="AM92" s="14"/>
      <c r="AN92" s="14"/>
    </row>
    <row r="93" spans="1:40" s="5" customFormat="1" x14ac:dyDescent="0.25">
      <c r="A93" s="65">
        <v>45918</v>
      </c>
      <c r="B93" s="85">
        <v>2917</v>
      </c>
      <c r="C93" s="63"/>
      <c r="D93" s="81">
        <v>28003</v>
      </c>
      <c r="E93" s="4">
        <v>1</v>
      </c>
      <c r="F93" s="88" t="s">
        <v>2977</v>
      </c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90"/>
      <c r="U93" s="101" t="s">
        <v>2954</v>
      </c>
      <c r="V93" s="102"/>
      <c r="W93" s="102"/>
      <c r="X93" s="102"/>
      <c r="Y93" s="102"/>
      <c r="Z93" s="102"/>
      <c r="AA93" s="102"/>
      <c r="AB93" s="103"/>
      <c r="AC93" s="67"/>
      <c r="AD93" s="68"/>
      <c r="AE93" s="68"/>
      <c r="AF93" s="68"/>
      <c r="AG93" s="68"/>
      <c r="AH93" s="69"/>
      <c r="AI93" s="14"/>
      <c r="AJ93" s="14"/>
      <c r="AK93" s="14"/>
      <c r="AL93" s="14"/>
      <c r="AM93" s="14"/>
      <c r="AN93" s="14"/>
    </row>
    <row r="94" spans="1:40" s="5" customFormat="1" x14ac:dyDescent="0.25">
      <c r="A94" s="65">
        <v>45918</v>
      </c>
      <c r="B94" s="87"/>
      <c r="C94" s="63"/>
      <c r="D94" s="81">
        <v>38003</v>
      </c>
      <c r="E94" s="4">
        <v>2</v>
      </c>
      <c r="F94" s="88" t="s">
        <v>3004</v>
      </c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90"/>
      <c r="U94" s="101" t="s">
        <v>2954</v>
      </c>
      <c r="V94" s="102"/>
      <c r="W94" s="102"/>
      <c r="X94" s="102"/>
      <c r="Y94" s="102"/>
      <c r="Z94" s="102"/>
      <c r="AA94" s="102"/>
      <c r="AB94" s="103"/>
      <c r="AC94" s="67"/>
      <c r="AD94" s="68"/>
      <c r="AE94" s="68"/>
      <c r="AF94" s="68"/>
      <c r="AG94" s="68"/>
      <c r="AH94" s="69"/>
      <c r="AI94" s="14"/>
      <c r="AJ94" s="14"/>
      <c r="AK94" s="14"/>
      <c r="AL94" s="14"/>
      <c r="AM94" s="14"/>
      <c r="AN94" s="14"/>
    </row>
    <row r="95" spans="1:40" s="5" customFormat="1" x14ac:dyDescent="0.25">
      <c r="A95" s="65">
        <v>45917</v>
      </c>
      <c r="B95" s="66">
        <v>0</v>
      </c>
      <c r="C95" s="63">
        <v>0</v>
      </c>
      <c r="D95" s="81" t="s">
        <v>2997</v>
      </c>
      <c r="E95" s="4"/>
      <c r="F95" s="48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50"/>
      <c r="U95" s="101"/>
      <c r="V95" s="102"/>
      <c r="W95" s="102"/>
      <c r="X95" s="102"/>
      <c r="Y95" s="102"/>
      <c r="Z95" s="102"/>
      <c r="AA95" s="102"/>
      <c r="AB95" s="103"/>
      <c r="AC95" s="67"/>
      <c r="AD95" s="68"/>
      <c r="AE95" s="68"/>
      <c r="AF95" s="68"/>
      <c r="AG95" s="68"/>
      <c r="AH95" s="69"/>
      <c r="AI95" s="14"/>
      <c r="AJ95" s="14"/>
      <c r="AK95" s="14"/>
      <c r="AL95" s="14"/>
      <c r="AM95" s="14"/>
      <c r="AN95" s="14"/>
    </row>
    <row r="96" spans="1:40" s="5" customFormat="1" x14ac:dyDescent="0.25">
      <c r="A96" s="65">
        <v>45916</v>
      </c>
      <c r="B96" s="66">
        <v>0</v>
      </c>
      <c r="C96" s="63">
        <v>0</v>
      </c>
      <c r="D96" s="63" t="s">
        <v>2997</v>
      </c>
      <c r="E96" s="70"/>
      <c r="F96" s="48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50"/>
      <c r="U96" s="101"/>
      <c r="V96" s="102"/>
      <c r="W96" s="102"/>
      <c r="X96" s="102"/>
      <c r="Y96" s="102"/>
      <c r="Z96" s="102"/>
      <c r="AA96" s="102"/>
      <c r="AB96" s="103"/>
      <c r="AC96" s="67"/>
      <c r="AD96" s="68"/>
      <c r="AE96" s="68"/>
      <c r="AF96" s="68"/>
      <c r="AG96" s="68"/>
      <c r="AH96" s="69"/>
      <c r="AI96" s="14"/>
      <c r="AJ96" s="14"/>
      <c r="AK96" s="14"/>
      <c r="AL96" s="14"/>
      <c r="AM96" s="14"/>
      <c r="AN96" s="14"/>
    </row>
    <row r="97" spans="1:40" s="5" customFormat="1" x14ac:dyDescent="0.25">
      <c r="A97" s="65">
        <v>45915</v>
      </c>
      <c r="B97" s="66">
        <v>200</v>
      </c>
      <c r="C97" s="63">
        <v>0</v>
      </c>
      <c r="D97" s="63" t="s">
        <v>2997</v>
      </c>
      <c r="E97" s="70"/>
      <c r="F97" s="48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50"/>
      <c r="U97" s="101"/>
      <c r="V97" s="102"/>
      <c r="W97" s="102"/>
      <c r="X97" s="102"/>
      <c r="Y97" s="102"/>
      <c r="Z97" s="102"/>
      <c r="AA97" s="102"/>
      <c r="AB97" s="103"/>
      <c r="AC97" s="67"/>
      <c r="AD97" s="68"/>
      <c r="AE97" s="68"/>
      <c r="AF97" s="68"/>
      <c r="AG97" s="68"/>
      <c r="AH97" s="69"/>
      <c r="AI97" s="14"/>
      <c r="AJ97" s="14"/>
      <c r="AK97" s="14"/>
      <c r="AL97" s="14"/>
      <c r="AM97" s="14"/>
      <c r="AN97" s="14"/>
    </row>
    <row r="98" spans="1:40" s="5" customFormat="1" x14ac:dyDescent="0.25">
      <c r="A98" s="65">
        <v>45912</v>
      </c>
      <c r="B98" s="78">
        <v>3140</v>
      </c>
      <c r="C98" s="63"/>
      <c r="D98" s="63">
        <v>34085</v>
      </c>
      <c r="E98" s="4">
        <v>1</v>
      </c>
      <c r="F98" s="48" t="s">
        <v>3002</v>
      </c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50"/>
      <c r="U98" s="74" t="s">
        <v>3003</v>
      </c>
      <c r="V98" s="75"/>
      <c r="W98" s="75"/>
      <c r="X98" s="75"/>
      <c r="Y98" s="75"/>
      <c r="Z98" s="75"/>
      <c r="AA98" s="75"/>
      <c r="AB98" s="76"/>
      <c r="AC98" s="67"/>
      <c r="AD98" s="68"/>
      <c r="AE98" s="68"/>
      <c r="AF98" s="68"/>
      <c r="AG98" s="68"/>
      <c r="AH98" s="69"/>
      <c r="AI98" s="14"/>
      <c r="AJ98" s="14"/>
      <c r="AK98" s="14"/>
      <c r="AL98" s="14"/>
      <c r="AM98" s="14"/>
      <c r="AN98" s="14"/>
    </row>
    <row r="99" spans="1:40" s="5" customFormat="1" x14ac:dyDescent="0.25">
      <c r="A99" s="65">
        <v>45911</v>
      </c>
      <c r="B99" s="85">
        <v>1341</v>
      </c>
      <c r="C99" s="63"/>
      <c r="D99" s="63">
        <v>18002</v>
      </c>
      <c r="E99" s="4">
        <v>1</v>
      </c>
      <c r="F99" s="88" t="s">
        <v>2985</v>
      </c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90"/>
      <c r="U99" s="106" t="s">
        <v>3001</v>
      </c>
      <c r="V99" s="102"/>
      <c r="W99" s="102"/>
      <c r="X99" s="102"/>
      <c r="Y99" s="102"/>
      <c r="Z99" s="102"/>
      <c r="AA99" s="102"/>
      <c r="AB99" s="103"/>
      <c r="AC99" s="67"/>
      <c r="AD99" s="68"/>
      <c r="AE99" s="68"/>
      <c r="AF99" s="68"/>
      <c r="AG99" s="68"/>
      <c r="AH99" s="69"/>
      <c r="AI99" s="14"/>
      <c r="AJ99" s="14"/>
      <c r="AK99" s="14"/>
      <c r="AL99" s="14"/>
      <c r="AM99" s="14"/>
      <c r="AN99" s="14"/>
    </row>
    <row r="100" spans="1:40" s="5" customFormat="1" x14ac:dyDescent="0.25">
      <c r="A100" s="65">
        <v>45911</v>
      </c>
      <c r="B100" s="86"/>
      <c r="C100" s="63"/>
      <c r="D100" s="63">
        <v>28013</v>
      </c>
      <c r="E100" s="4">
        <v>2</v>
      </c>
      <c r="F100" s="88" t="s">
        <v>3000</v>
      </c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90"/>
      <c r="U100" s="101" t="s">
        <v>2980</v>
      </c>
      <c r="V100" s="102"/>
      <c r="W100" s="102"/>
      <c r="X100" s="102"/>
      <c r="Y100" s="102"/>
      <c r="Z100" s="102"/>
      <c r="AA100" s="102"/>
      <c r="AB100" s="103"/>
      <c r="AC100" s="67"/>
      <c r="AD100" s="68"/>
      <c r="AE100" s="68"/>
      <c r="AF100" s="68"/>
      <c r="AG100" s="68"/>
      <c r="AH100" s="69"/>
      <c r="AI100" s="14"/>
      <c r="AJ100" s="14"/>
      <c r="AK100" s="14"/>
      <c r="AL100" s="14"/>
      <c r="AM100" s="14"/>
      <c r="AN100" s="14"/>
    </row>
    <row r="101" spans="1:40" s="5" customFormat="1" x14ac:dyDescent="0.25">
      <c r="A101" s="65">
        <v>45911</v>
      </c>
      <c r="B101" s="87"/>
      <c r="C101" s="63"/>
      <c r="D101" s="63">
        <v>28023</v>
      </c>
      <c r="E101" s="4">
        <v>1</v>
      </c>
      <c r="F101" s="88" t="s">
        <v>2999</v>
      </c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90"/>
      <c r="U101" s="101" t="s">
        <v>2954</v>
      </c>
      <c r="V101" s="102"/>
      <c r="W101" s="102"/>
      <c r="X101" s="102"/>
      <c r="Y101" s="102"/>
      <c r="Z101" s="102"/>
      <c r="AA101" s="102"/>
      <c r="AB101" s="103"/>
      <c r="AC101" s="67"/>
      <c r="AD101" s="68"/>
      <c r="AE101" s="68"/>
      <c r="AF101" s="68"/>
      <c r="AG101" s="68"/>
      <c r="AH101" s="69"/>
      <c r="AI101" s="14"/>
      <c r="AJ101" s="14"/>
      <c r="AK101" s="14"/>
      <c r="AL101" s="14"/>
      <c r="AM101" s="14"/>
      <c r="AN101" s="14"/>
    </row>
    <row r="102" spans="1:40" s="5" customFormat="1" x14ac:dyDescent="0.25">
      <c r="A102" s="65">
        <v>45910</v>
      </c>
      <c r="B102" s="86">
        <v>6424</v>
      </c>
      <c r="C102" s="63"/>
      <c r="D102" s="63">
        <v>28013</v>
      </c>
      <c r="E102" s="80">
        <v>1</v>
      </c>
      <c r="F102" s="88" t="s">
        <v>2960</v>
      </c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90"/>
      <c r="U102" s="101" t="s">
        <v>2980</v>
      </c>
      <c r="V102" s="102"/>
      <c r="W102" s="102"/>
      <c r="X102" s="102"/>
      <c r="Y102" s="102"/>
      <c r="Z102" s="102"/>
      <c r="AA102" s="102"/>
      <c r="AB102" s="103"/>
      <c r="AC102" s="67"/>
      <c r="AD102" s="68"/>
      <c r="AE102" s="68"/>
      <c r="AF102" s="68"/>
      <c r="AG102" s="68"/>
      <c r="AH102" s="69"/>
      <c r="AI102" s="14"/>
      <c r="AJ102" s="14"/>
      <c r="AK102" s="14"/>
      <c r="AL102" s="14"/>
      <c r="AM102" s="14"/>
      <c r="AN102" s="14"/>
    </row>
    <row r="103" spans="1:40" s="5" customFormat="1" x14ac:dyDescent="0.25">
      <c r="A103" s="65">
        <v>45910</v>
      </c>
      <c r="B103" s="86"/>
      <c r="C103" s="63"/>
      <c r="D103" s="63">
        <v>12388</v>
      </c>
      <c r="E103" s="80">
        <v>1</v>
      </c>
      <c r="F103" s="88" t="s">
        <v>2996</v>
      </c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90"/>
      <c r="U103" s="101" t="s">
        <v>2994</v>
      </c>
      <c r="V103" s="102"/>
      <c r="W103" s="102"/>
      <c r="X103" s="102"/>
      <c r="Y103" s="102"/>
      <c r="Z103" s="102"/>
      <c r="AA103" s="102"/>
      <c r="AB103" s="103"/>
      <c r="AC103" s="67"/>
      <c r="AD103" s="68"/>
      <c r="AE103" s="68"/>
      <c r="AF103" s="68"/>
      <c r="AG103" s="68"/>
      <c r="AH103" s="69"/>
      <c r="AI103" s="14"/>
      <c r="AJ103" s="14"/>
      <c r="AK103" s="14"/>
      <c r="AL103" s="14"/>
      <c r="AM103" s="14"/>
      <c r="AN103" s="14"/>
    </row>
    <row r="104" spans="1:40" s="5" customFormat="1" x14ac:dyDescent="0.25">
      <c r="A104" s="65">
        <v>45910</v>
      </c>
      <c r="B104" s="86"/>
      <c r="C104" s="63"/>
      <c r="D104" s="63">
        <v>18002</v>
      </c>
      <c r="E104" s="79">
        <v>1</v>
      </c>
      <c r="F104" s="88" t="s">
        <v>2985</v>
      </c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90"/>
      <c r="U104" s="101" t="s">
        <v>2994</v>
      </c>
      <c r="V104" s="102"/>
      <c r="W104" s="102"/>
      <c r="X104" s="102"/>
      <c r="Y104" s="102"/>
      <c r="Z104" s="102"/>
      <c r="AA104" s="102"/>
      <c r="AB104" s="103"/>
      <c r="AC104" s="110"/>
      <c r="AD104" s="111"/>
      <c r="AE104" s="111"/>
      <c r="AF104" s="111"/>
      <c r="AG104" s="111"/>
      <c r="AH104" s="112"/>
      <c r="AI104" s="14"/>
      <c r="AJ104" s="14"/>
      <c r="AK104" s="14"/>
      <c r="AL104" s="14"/>
      <c r="AM104" s="14"/>
      <c r="AN104" s="14"/>
    </row>
    <row r="105" spans="1:40" s="5" customFormat="1" x14ac:dyDescent="0.25">
      <c r="A105" s="65">
        <v>45910</v>
      </c>
      <c r="B105" s="86"/>
      <c r="C105" s="63"/>
      <c r="D105" s="63">
        <v>28013</v>
      </c>
      <c r="E105" s="79">
        <v>2</v>
      </c>
      <c r="F105" s="88" t="s">
        <v>2976</v>
      </c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90"/>
      <c r="U105" s="101" t="s">
        <v>2980</v>
      </c>
      <c r="V105" s="102"/>
      <c r="W105" s="102"/>
      <c r="X105" s="102"/>
      <c r="Y105" s="102"/>
      <c r="Z105" s="102"/>
      <c r="AA105" s="102"/>
      <c r="AB105" s="103"/>
      <c r="AC105" s="110"/>
      <c r="AD105" s="111"/>
      <c r="AE105" s="111"/>
      <c r="AF105" s="111"/>
      <c r="AG105" s="111"/>
      <c r="AH105" s="112"/>
      <c r="AI105" s="14"/>
      <c r="AJ105" s="14"/>
      <c r="AK105" s="14"/>
      <c r="AL105" s="14"/>
      <c r="AM105" s="14"/>
      <c r="AN105" s="14"/>
    </row>
    <row r="106" spans="1:40" s="5" customFormat="1" x14ac:dyDescent="0.25">
      <c r="A106" s="65">
        <v>45910</v>
      </c>
      <c r="B106" s="86"/>
      <c r="C106" s="63"/>
      <c r="D106" s="63">
        <v>2172</v>
      </c>
      <c r="E106" s="79">
        <v>1</v>
      </c>
      <c r="F106" s="88" t="s">
        <v>2995</v>
      </c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90"/>
      <c r="U106" s="101" t="s">
        <v>2998</v>
      </c>
      <c r="V106" s="102"/>
      <c r="W106" s="102"/>
      <c r="X106" s="102"/>
      <c r="Y106" s="102"/>
      <c r="Z106" s="102"/>
      <c r="AA106" s="102"/>
      <c r="AB106" s="103"/>
      <c r="AC106" s="110"/>
      <c r="AD106" s="111"/>
      <c r="AE106" s="111"/>
      <c r="AF106" s="111"/>
      <c r="AG106" s="111"/>
      <c r="AH106" s="112"/>
      <c r="AI106" s="14"/>
      <c r="AJ106" s="14"/>
      <c r="AK106" s="14"/>
      <c r="AL106" s="14"/>
      <c r="AM106" s="14"/>
      <c r="AN106" s="14"/>
    </row>
    <row r="107" spans="1:40" s="5" customFormat="1" x14ac:dyDescent="0.25">
      <c r="A107" s="65">
        <v>45910</v>
      </c>
      <c r="B107" s="87"/>
      <c r="C107" s="63"/>
      <c r="D107" s="63">
        <v>18003</v>
      </c>
      <c r="E107" s="79">
        <v>2</v>
      </c>
      <c r="F107" s="88" t="s">
        <v>2993</v>
      </c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90"/>
      <c r="U107" s="101" t="s">
        <v>2994</v>
      </c>
      <c r="V107" s="102"/>
      <c r="W107" s="102"/>
      <c r="X107" s="102"/>
      <c r="Y107" s="102"/>
      <c r="Z107" s="102"/>
      <c r="AA107" s="102"/>
      <c r="AB107" s="103"/>
      <c r="AC107" s="110"/>
      <c r="AD107" s="111"/>
      <c r="AE107" s="111"/>
      <c r="AF107" s="111"/>
      <c r="AG107" s="111"/>
      <c r="AH107" s="112"/>
      <c r="AI107" s="14"/>
      <c r="AJ107" s="14"/>
      <c r="AK107" s="14"/>
      <c r="AL107" s="14"/>
      <c r="AM107" s="14"/>
      <c r="AN107" s="14"/>
    </row>
    <row r="108" spans="1:40" s="5" customFormat="1" x14ac:dyDescent="0.25">
      <c r="A108" s="65">
        <v>45909</v>
      </c>
      <c r="B108" s="85">
        <v>6175</v>
      </c>
      <c r="C108" s="63"/>
      <c r="D108" s="63">
        <v>2264</v>
      </c>
      <c r="E108" s="4">
        <v>1</v>
      </c>
      <c r="F108" s="88" t="s">
        <v>2988</v>
      </c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90"/>
      <c r="U108" s="101" t="s">
        <v>2991</v>
      </c>
      <c r="V108" s="102"/>
      <c r="W108" s="102"/>
      <c r="X108" s="102"/>
      <c r="Y108" s="102"/>
      <c r="Z108" s="102"/>
      <c r="AA108" s="102"/>
      <c r="AB108" s="103"/>
      <c r="AC108" s="110"/>
      <c r="AD108" s="111"/>
      <c r="AE108" s="111"/>
      <c r="AF108" s="111"/>
      <c r="AG108" s="111"/>
      <c r="AH108" s="112"/>
      <c r="AI108" s="14"/>
      <c r="AJ108" s="14"/>
      <c r="AK108" s="14"/>
      <c r="AL108" s="14"/>
      <c r="AM108" s="14"/>
      <c r="AN108" s="14"/>
    </row>
    <row r="109" spans="1:40" s="5" customFormat="1" x14ac:dyDescent="0.25">
      <c r="A109" s="65">
        <v>45909</v>
      </c>
      <c r="B109" s="86"/>
      <c r="C109" s="63"/>
      <c r="D109" s="63">
        <v>5034</v>
      </c>
      <c r="E109" s="4">
        <v>1</v>
      </c>
      <c r="F109" s="88" t="s">
        <v>2987</v>
      </c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90"/>
      <c r="U109" s="106" t="s">
        <v>2992</v>
      </c>
      <c r="V109" s="102"/>
      <c r="W109" s="102"/>
      <c r="X109" s="102"/>
      <c r="Y109" s="102"/>
      <c r="Z109" s="102"/>
      <c r="AA109" s="102"/>
      <c r="AB109" s="103"/>
      <c r="AC109" s="110"/>
      <c r="AD109" s="111"/>
      <c r="AE109" s="111"/>
      <c r="AF109" s="111"/>
      <c r="AG109" s="111"/>
      <c r="AH109" s="112"/>
      <c r="AI109" s="14"/>
      <c r="AJ109" s="14"/>
      <c r="AK109" s="14"/>
      <c r="AL109" s="14"/>
      <c r="AM109" s="14"/>
      <c r="AN109" s="14"/>
    </row>
    <row r="110" spans="1:40" s="5" customFormat="1" x14ac:dyDescent="0.25">
      <c r="A110" s="65">
        <v>45909</v>
      </c>
      <c r="B110" s="86"/>
      <c r="C110" s="63"/>
      <c r="D110" s="63">
        <v>38012</v>
      </c>
      <c r="E110" s="4">
        <v>4</v>
      </c>
      <c r="F110" s="88" t="s">
        <v>3000</v>
      </c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90"/>
      <c r="U110" s="101" t="s">
        <v>2980</v>
      </c>
      <c r="V110" s="102"/>
      <c r="W110" s="102"/>
      <c r="X110" s="102"/>
      <c r="Y110" s="102"/>
      <c r="Z110" s="102"/>
      <c r="AA110" s="102"/>
      <c r="AB110" s="103"/>
      <c r="AC110" s="110"/>
      <c r="AD110" s="111"/>
      <c r="AE110" s="111"/>
      <c r="AF110" s="111"/>
      <c r="AG110" s="111"/>
      <c r="AH110" s="112"/>
      <c r="AI110" s="14"/>
      <c r="AJ110" s="14"/>
      <c r="AK110" s="14"/>
      <c r="AL110" s="14"/>
      <c r="AM110" s="14"/>
      <c r="AN110" s="14"/>
    </row>
    <row r="111" spans="1:40" s="5" customFormat="1" x14ac:dyDescent="0.25">
      <c r="A111" s="65">
        <v>45909</v>
      </c>
      <c r="B111" s="86"/>
      <c r="C111" s="63"/>
      <c r="D111" s="63">
        <v>18002</v>
      </c>
      <c r="E111" s="4">
        <v>2</v>
      </c>
      <c r="F111" s="88" t="s">
        <v>2985</v>
      </c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90"/>
      <c r="U111" s="101" t="s">
        <v>2989</v>
      </c>
      <c r="V111" s="102"/>
      <c r="W111" s="102"/>
      <c r="X111" s="102"/>
      <c r="Y111" s="102"/>
      <c r="Z111" s="102"/>
      <c r="AA111" s="102"/>
      <c r="AB111" s="103"/>
      <c r="AC111" s="110"/>
      <c r="AD111" s="111"/>
      <c r="AE111" s="111"/>
      <c r="AF111" s="111"/>
      <c r="AG111" s="111"/>
      <c r="AH111" s="112"/>
      <c r="AI111" s="14"/>
      <c r="AJ111" s="14"/>
      <c r="AK111" s="14"/>
      <c r="AL111" s="14"/>
      <c r="AM111" s="14"/>
      <c r="AN111" s="14"/>
    </row>
    <row r="112" spans="1:40" s="5" customFormat="1" x14ac:dyDescent="0.25">
      <c r="A112" s="65">
        <v>45909</v>
      </c>
      <c r="B112" s="86"/>
      <c r="C112" s="63"/>
      <c r="D112" s="63">
        <v>45096</v>
      </c>
      <c r="E112" s="4">
        <v>1</v>
      </c>
      <c r="F112" s="88" t="s">
        <v>2984</v>
      </c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90"/>
      <c r="U112" s="107" t="s">
        <v>2990</v>
      </c>
      <c r="V112" s="102"/>
      <c r="W112" s="102"/>
      <c r="X112" s="102"/>
      <c r="Y112" s="102"/>
      <c r="Z112" s="102"/>
      <c r="AA112" s="102"/>
      <c r="AB112" s="103"/>
      <c r="AC112" s="110"/>
      <c r="AD112" s="111"/>
      <c r="AE112" s="111"/>
      <c r="AF112" s="111"/>
      <c r="AG112" s="111"/>
      <c r="AH112" s="112"/>
      <c r="AI112" s="14"/>
      <c r="AJ112" s="14"/>
      <c r="AK112" s="14"/>
      <c r="AL112" s="14"/>
      <c r="AM112" s="14"/>
      <c r="AN112" s="14"/>
    </row>
    <row r="113" spans="1:42" s="5" customFormat="1" x14ac:dyDescent="0.25">
      <c r="A113" s="65">
        <v>45909</v>
      </c>
      <c r="B113" s="87"/>
      <c r="C113" s="63"/>
      <c r="D113" s="63">
        <v>28013</v>
      </c>
      <c r="E113" s="4">
        <v>4</v>
      </c>
      <c r="F113" s="88" t="s">
        <v>3017</v>
      </c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90"/>
      <c r="U113" s="101"/>
      <c r="V113" s="102"/>
      <c r="W113" s="102"/>
      <c r="X113" s="102"/>
      <c r="Y113" s="102"/>
      <c r="Z113" s="102"/>
      <c r="AA113" s="102"/>
      <c r="AB113" s="103"/>
      <c r="AC113" s="71"/>
      <c r="AD113" s="72"/>
      <c r="AE113" s="72"/>
      <c r="AF113" s="72"/>
      <c r="AG113" s="72"/>
      <c r="AH113" s="73"/>
      <c r="AI113" s="14"/>
      <c r="AJ113" s="14"/>
      <c r="AK113" s="14"/>
      <c r="AL113" s="14"/>
      <c r="AM113" s="14"/>
      <c r="AN113" s="14"/>
    </row>
    <row r="114" spans="1:42" s="5" customFormat="1" x14ac:dyDescent="0.25">
      <c r="A114" s="65">
        <v>45908</v>
      </c>
      <c r="B114" s="85">
        <v>5599</v>
      </c>
      <c r="C114" s="63"/>
      <c r="D114" s="63">
        <v>2130</v>
      </c>
      <c r="E114" s="4">
        <v>1</v>
      </c>
      <c r="F114" s="88" t="s">
        <v>2981</v>
      </c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90"/>
      <c r="U114" s="106" t="s">
        <v>2982</v>
      </c>
      <c r="V114" s="102"/>
      <c r="W114" s="102"/>
      <c r="X114" s="102"/>
      <c r="Y114" s="102"/>
      <c r="Z114" s="102"/>
      <c r="AA114" s="102"/>
      <c r="AB114" s="103"/>
      <c r="AC114" s="71"/>
      <c r="AD114" s="72"/>
      <c r="AE114" s="72"/>
      <c r="AF114" s="72"/>
      <c r="AG114" s="72"/>
      <c r="AH114" s="73"/>
      <c r="AI114" s="14"/>
      <c r="AJ114" s="14"/>
      <c r="AK114" s="14"/>
      <c r="AL114" s="14"/>
      <c r="AM114" s="14"/>
      <c r="AN114" s="14"/>
    </row>
    <row r="115" spans="1:42" s="5" customFormat="1" x14ac:dyDescent="0.25">
      <c r="A115" s="65">
        <v>45908</v>
      </c>
      <c r="B115" s="86"/>
      <c r="C115" s="63"/>
      <c r="D115" s="63">
        <v>78003</v>
      </c>
      <c r="E115" s="4">
        <v>1</v>
      </c>
      <c r="F115" s="88" t="s">
        <v>2973</v>
      </c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90"/>
      <c r="U115" s="101" t="s">
        <v>2974</v>
      </c>
      <c r="V115" s="102"/>
      <c r="W115" s="102"/>
      <c r="X115" s="102"/>
      <c r="Y115" s="102"/>
      <c r="Z115" s="102"/>
      <c r="AA115" s="102"/>
      <c r="AB115" s="103"/>
      <c r="AC115" s="71"/>
      <c r="AD115" s="72"/>
      <c r="AE115" s="72"/>
      <c r="AF115" s="72"/>
      <c r="AG115" s="72"/>
      <c r="AH115" s="73"/>
      <c r="AI115" s="14"/>
      <c r="AJ115" s="14"/>
      <c r="AK115" s="14"/>
      <c r="AL115" s="14"/>
      <c r="AM115" s="14"/>
      <c r="AN115" s="14"/>
    </row>
    <row r="116" spans="1:42" s="5" customFormat="1" x14ac:dyDescent="0.25">
      <c r="A116" s="65">
        <v>45908</v>
      </c>
      <c r="B116" s="86"/>
      <c r="C116" s="63"/>
      <c r="D116" s="63">
        <v>38003</v>
      </c>
      <c r="E116" s="4">
        <v>1</v>
      </c>
      <c r="F116" s="88" t="s">
        <v>2977</v>
      </c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90"/>
      <c r="U116" s="101" t="s">
        <v>2954</v>
      </c>
      <c r="V116" s="102"/>
      <c r="W116" s="102"/>
      <c r="X116" s="102"/>
      <c r="Y116" s="102"/>
      <c r="Z116" s="102"/>
      <c r="AA116" s="102"/>
      <c r="AB116" s="103"/>
      <c r="AC116" s="71"/>
      <c r="AD116" s="72"/>
      <c r="AE116" s="72"/>
      <c r="AF116" s="72"/>
      <c r="AG116" s="72"/>
      <c r="AH116" s="73"/>
      <c r="AI116" s="14"/>
      <c r="AJ116" s="14"/>
      <c r="AK116" s="14"/>
      <c r="AL116" s="14"/>
      <c r="AM116" s="14"/>
      <c r="AN116" s="14"/>
    </row>
    <row r="117" spans="1:42" s="5" customFormat="1" x14ac:dyDescent="0.25">
      <c r="A117" s="65">
        <v>45908</v>
      </c>
      <c r="B117" s="86"/>
      <c r="C117" s="63"/>
      <c r="D117" s="63">
        <v>54108</v>
      </c>
      <c r="E117" s="4">
        <v>2</v>
      </c>
      <c r="F117" s="88" t="s">
        <v>2932</v>
      </c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90"/>
      <c r="U117" s="101" t="s">
        <v>2944</v>
      </c>
      <c r="V117" s="102"/>
      <c r="W117" s="102"/>
      <c r="X117" s="102"/>
      <c r="Y117" s="102"/>
      <c r="Z117" s="102"/>
      <c r="AA117" s="102"/>
      <c r="AB117" s="103"/>
      <c r="AC117" s="71"/>
      <c r="AD117" s="72"/>
      <c r="AE117" s="72"/>
      <c r="AF117" s="72"/>
      <c r="AG117" s="72"/>
      <c r="AH117" s="73"/>
      <c r="AI117" s="14"/>
      <c r="AJ117" s="14"/>
      <c r="AK117" s="14"/>
      <c r="AL117" s="14"/>
      <c r="AM117" s="14"/>
      <c r="AN117" s="14"/>
    </row>
    <row r="118" spans="1:42" s="5" customFormat="1" x14ac:dyDescent="0.25">
      <c r="A118" s="65">
        <v>45908</v>
      </c>
      <c r="B118" s="86"/>
      <c r="C118" s="63"/>
      <c r="D118" s="63">
        <v>28013</v>
      </c>
      <c r="E118" s="4">
        <v>9</v>
      </c>
      <c r="F118" s="88" t="s">
        <v>3000</v>
      </c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90"/>
      <c r="U118" s="101" t="s">
        <v>2980</v>
      </c>
      <c r="V118" s="102"/>
      <c r="W118" s="102"/>
      <c r="X118" s="102"/>
      <c r="Y118" s="102"/>
      <c r="Z118" s="102"/>
      <c r="AA118" s="102"/>
      <c r="AB118" s="103"/>
      <c r="AC118" s="71"/>
      <c r="AD118" s="72"/>
      <c r="AE118" s="72"/>
      <c r="AF118" s="72"/>
      <c r="AG118" s="72"/>
      <c r="AH118" s="73"/>
      <c r="AI118" s="14"/>
      <c r="AJ118" s="14"/>
      <c r="AK118" s="14"/>
      <c r="AL118" s="14"/>
      <c r="AM118" s="14"/>
      <c r="AN118" s="14"/>
    </row>
    <row r="119" spans="1:42" s="5" customFormat="1" x14ac:dyDescent="0.25">
      <c r="A119" s="65">
        <v>45908</v>
      </c>
      <c r="B119" s="87"/>
      <c r="C119" s="63"/>
      <c r="D119" s="63">
        <v>18002</v>
      </c>
      <c r="E119" s="4">
        <v>1</v>
      </c>
      <c r="F119" s="88" t="s">
        <v>2961</v>
      </c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90"/>
      <c r="U119" s="101" t="s">
        <v>2979</v>
      </c>
      <c r="V119" s="102"/>
      <c r="W119" s="102"/>
      <c r="X119" s="102"/>
      <c r="Y119" s="102"/>
      <c r="Z119" s="102"/>
      <c r="AA119" s="102"/>
      <c r="AB119" s="103"/>
      <c r="AC119" s="71"/>
      <c r="AD119" s="72"/>
      <c r="AE119" s="72"/>
      <c r="AF119" s="72"/>
      <c r="AG119" s="72"/>
      <c r="AH119" s="73"/>
      <c r="AI119" s="14"/>
      <c r="AJ119" s="14"/>
      <c r="AK119" s="14"/>
      <c r="AL119" s="14"/>
      <c r="AM119" s="14"/>
      <c r="AN119" s="14"/>
    </row>
    <row r="120" spans="1:42" s="5" customFormat="1" x14ac:dyDescent="0.25">
      <c r="A120" s="65">
        <v>45905</v>
      </c>
      <c r="B120" s="85">
        <v>780</v>
      </c>
      <c r="C120" s="63"/>
      <c r="D120" s="63">
        <v>54108</v>
      </c>
      <c r="E120" s="4">
        <v>1</v>
      </c>
      <c r="F120" s="88" t="s">
        <v>2932</v>
      </c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90"/>
      <c r="U120" s="101" t="s">
        <v>2944</v>
      </c>
      <c r="V120" s="102"/>
      <c r="W120" s="102"/>
      <c r="X120" s="102"/>
      <c r="Y120" s="102"/>
      <c r="Z120" s="102"/>
      <c r="AA120" s="102"/>
      <c r="AB120" s="103"/>
      <c r="AC120" s="71"/>
      <c r="AD120" s="72"/>
      <c r="AE120" s="72"/>
      <c r="AF120" s="72"/>
      <c r="AG120" s="72"/>
      <c r="AH120" s="73"/>
      <c r="AI120" s="14"/>
      <c r="AJ120" s="14"/>
      <c r="AK120" s="14"/>
      <c r="AL120" s="14"/>
      <c r="AM120" s="14"/>
      <c r="AN120" s="14"/>
    </row>
    <row r="121" spans="1:42" s="5" customFormat="1" x14ac:dyDescent="0.25">
      <c r="A121" s="65">
        <v>45905</v>
      </c>
      <c r="B121" s="86"/>
      <c r="C121" s="63"/>
      <c r="D121" s="63">
        <v>2241</v>
      </c>
      <c r="E121" s="4">
        <v>1</v>
      </c>
      <c r="F121" s="88" t="s">
        <v>2966</v>
      </c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90"/>
      <c r="U121" s="101" t="s">
        <v>2978</v>
      </c>
      <c r="V121" s="102"/>
      <c r="W121" s="102"/>
      <c r="X121" s="102"/>
      <c r="Y121" s="102"/>
      <c r="Z121" s="102"/>
      <c r="AA121" s="102"/>
      <c r="AB121" s="103"/>
      <c r="AC121" s="71"/>
      <c r="AD121" s="72"/>
      <c r="AE121" s="72"/>
      <c r="AF121" s="72"/>
      <c r="AG121" s="72"/>
      <c r="AH121" s="73"/>
      <c r="AI121" s="101"/>
      <c r="AJ121" s="102"/>
      <c r="AK121" s="102"/>
      <c r="AL121" s="102"/>
      <c r="AM121" s="102"/>
      <c r="AN121" s="102"/>
      <c r="AO121" s="102"/>
      <c r="AP121" s="103"/>
    </row>
    <row r="122" spans="1:42" s="5" customFormat="1" x14ac:dyDescent="0.25">
      <c r="A122" s="65">
        <v>45905</v>
      </c>
      <c r="B122" s="86"/>
      <c r="C122" s="63"/>
      <c r="D122" s="63">
        <v>38003</v>
      </c>
      <c r="E122" s="4">
        <v>1</v>
      </c>
      <c r="F122" s="88" t="s">
        <v>2977</v>
      </c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90"/>
      <c r="U122" s="101" t="s">
        <v>2954</v>
      </c>
      <c r="V122" s="102"/>
      <c r="W122" s="102"/>
      <c r="X122" s="102"/>
      <c r="Y122" s="102"/>
      <c r="Z122" s="102"/>
      <c r="AA122" s="102"/>
      <c r="AB122" s="103"/>
      <c r="AC122" s="71"/>
      <c r="AD122" s="72"/>
      <c r="AE122" s="72"/>
      <c r="AF122" s="72"/>
      <c r="AG122" s="72"/>
      <c r="AH122" s="73"/>
      <c r="AI122" s="14"/>
      <c r="AJ122" s="14"/>
      <c r="AK122" s="14"/>
      <c r="AL122" s="14"/>
      <c r="AM122" s="14"/>
      <c r="AN122" s="14"/>
    </row>
    <row r="123" spans="1:42" s="5" customFormat="1" x14ac:dyDescent="0.25">
      <c r="A123" s="65">
        <v>45905</v>
      </c>
      <c r="B123" s="86"/>
      <c r="C123" s="63"/>
      <c r="D123" s="63">
        <v>38012</v>
      </c>
      <c r="E123" s="4">
        <v>1</v>
      </c>
      <c r="F123" s="88" t="s">
        <v>2976</v>
      </c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90"/>
      <c r="U123" s="101" t="s">
        <v>2975</v>
      </c>
      <c r="V123" s="102"/>
      <c r="W123" s="102"/>
      <c r="X123" s="102"/>
      <c r="Y123" s="102"/>
      <c r="Z123" s="102"/>
      <c r="AA123" s="102"/>
      <c r="AB123" s="103"/>
      <c r="AC123" s="71"/>
      <c r="AD123" s="72"/>
      <c r="AE123" s="72"/>
      <c r="AF123" s="72"/>
      <c r="AG123" s="72"/>
      <c r="AH123" s="73"/>
      <c r="AI123" s="14"/>
      <c r="AJ123" s="14"/>
      <c r="AK123" s="14"/>
      <c r="AL123" s="14"/>
      <c r="AM123" s="14"/>
      <c r="AN123" s="14"/>
    </row>
    <row r="124" spans="1:42" s="5" customFormat="1" x14ac:dyDescent="0.25">
      <c r="A124" s="65">
        <v>45905</v>
      </c>
      <c r="B124" s="86"/>
      <c r="C124" s="63"/>
      <c r="D124" s="63">
        <v>28013</v>
      </c>
      <c r="E124" s="4">
        <v>1</v>
      </c>
      <c r="F124" s="88" t="s">
        <v>2959</v>
      </c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90"/>
      <c r="U124" s="101" t="s">
        <v>2975</v>
      </c>
      <c r="V124" s="102"/>
      <c r="W124" s="102"/>
      <c r="X124" s="102"/>
      <c r="Y124" s="102"/>
      <c r="Z124" s="102"/>
      <c r="AA124" s="102"/>
      <c r="AB124" s="103"/>
      <c r="AC124" s="71"/>
      <c r="AD124" s="72"/>
      <c r="AE124" s="72"/>
      <c r="AF124" s="72"/>
      <c r="AG124" s="72"/>
      <c r="AH124" s="73"/>
      <c r="AI124" s="14"/>
      <c r="AJ124" s="14"/>
      <c r="AK124" s="14"/>
      <c r="AL124" s="14"/>
      <c r="AM124" s="14"/>
      <c r="AN124" s="14"/>
    </row>
    <row r="125" spans="1:42" s="5" customFormat="1" x14ac:dyDescent="0.25">
      <c r="A125" s="65">
        <v>45905</v>
      </c>
      <c r="B125" s="86"/>
      <c r="C125" s="63"/>
      <c r="D125" s="63">
        <v>78003</v>
      </c>
      <c r="E125" s="4">
        <v>1</v>
      </c>
      <c r="F125" s="88" t="s">
        <v>2973</v>
      </c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90"/>
      <c r="U125" s="101" t="s">
        <v>2974</v>
      </c>
      <c r="V125" s="102"/>
      <c r="W125" s="102"/>
      <c r="X125" s="102"/>
      <c r="Y125" s="102"/>
      <c r="Z125" s="102"/>
      <c r="AA125" s="102"/>
      <c r="AB125" s="103"/>
      <c r="AC125" s="71"/>
      <c r="AD125" s="72"/>
      <c r="AE125" s="72"/>
      <c r="AF125" s="72"/>
      <c r="AG125" s="72"/>
      <c r="AH125" s="73"/>
      <c r="AI125" s="14"/>
      <c r="AJ125" s="14"/>
      <c r="AK125" s="14"/>
      <c r="AL125" s="14"/>
      <c r="AM125" s="14"/>
      <c r="AN125" s="14"/>
    </row>
    <row r="126" spans="1:42" s="5" customFormat="1" x14ac:dyDescent="0.25">
      <c r="A126" s="65">
        <v>45905</v>
      </c>
      <c r="B126" s="86"/>
      <c r="C126" s="63"/>
      <c r="D126" s="63">
        <v>50400</v>
      </c>
      <c r="E126" s="4">
        <v>1</v>
      </c>
      <c r="F126" s="88" t="s">
        <v>2971</v>
      </c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90"/>
      <c r="U126" s="101" t="s">
        <v>2972</v>
      </c>
      <c r="V126" s="102"/>
      <c r="W126" s="102"/>
      <c r="X126" s="102"/>
      <c r="Y126" s="102"/>
      <c r="Z126" s="102"/>
      <c r="AA126" s="102"/>
      <c r="AB126" s="103"/>
      <c r="AC126" s="71"/>
      <c r="AD126" s="72"/>
      <c r="AE126" s="72"/>
      <c r="AF126" s="72"/>
      <c r="AG126" s="72"/>
      <c r="AH126" s="73"/>
      <c r="AI126" s="14"/>
      <c r="AJ126" s="14"/>
      <c r="AK126" s="14"/>
      <c r="AL126" s="14"/>
      <c r="AM126" s="14"/>
      <c r="AN126" s="14"/>
    </row>
    <row r="127" spans="1:42" s="5" customFormat="1" x14ac:dyDescent="0.25">
      <c r="A127" s="65">
        <v>45905</v>
      </c>
      <c r="B127" s="87"/>
      <c r="C127" s="63"/>
      <c r="D127" s="63">
        <v>105003</v>
      </c>
      <c r="E127" s="4">
        <v>1</v>
      </c>
      <c r="F127" s="88" t="s">
        <v>2969</v>
      </c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90"/>
      <c r="U127" s="101" t="s">
        <v>2970</v>
      </c>
      <c r="V127" s="102"/>
      <c r="W127" s="102"/>
      <c r="X127" s="102"/>
      <c r="Y127" s="102"/>
      <c r="Z127" s="102"/>
      <c r="AA127" s="102"/>
      <c r="AB127" s="103"/>
      <c r="AC127" s="110"/>
      <c r="AD127" s="111"/>
      <c r="AE127" s="111"/>
      <c r="AF127" s="111"/>
      <c r="AG127" s="111"/>
      <c r="AH127" s="112"/>
      <c r="AI127" s="14"/>
      <c r="AJ127" s="14"/>
      <c r="AK127" s="14"/>
      <c r="AL127" s="14"/>
      <c r="AM127" s="14"/>
      <c r="AN127" s="14"/>
    </row>
    <row r="128" spans="1:42" s="5" customFormat="1" x14ac:dyDescent="0.25">
      <c r="A128" s="65">
        <v>45904</v>
      </c>
      <c r="B128" s="85">
        <v>1925</v>
      </c>
      <c r="C128" s="63"/>
      <c r="D128" s="63">
        <v>54108</v>
      </c>
      <c r="E128" s="4">
        <v>3</v>
      </c>
      <c r="F128" s="88" t="s">
        <v>2932</v>
      </c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90"/>
      <c r="U128" s="101" t="s">
        <v>2944</v>
      </c>
      <c r="V128" s="102"/>
      <c r="W128" s="102"/>
      <c r="X128" s="102"/>
      <c r="Y128" s="102"/>
      <c r="Z128" s="102"/>
      <c r="AA128" s="102"/>
      <c r="AB128" s="103"/>
      <c r="AC128" s="71"/>
      <c r="AD128" s="72"/>
      <c r="AE128" s="72"/>
      <c r="AF128" s="72"/>
      <c r="AG128" s="72"/>
      <c r="AH128" s="73"/>
      <c r="AI128" s="14"/>
      <c r="AJ128" s="14"/>
      <c r="AK128" s="14"/>
      <c r="AL128" s="14"/>
      <c r="AM128" s="14"/>
      <c r="AN128" s="14"/>
    </row>
    <row r="129" spans="1:40" s="5" customFormat="1" x14ac:dyDescent="0.25">
      <c r="A129" s="65">
        <v>45904</v>
      </c>
      <c r="B129" s="86"/>
      <c r="C129" s="63"/>
      <c r="D129" s="63">
        <v>38001</v>
      </c>
      <c r="E129" s="4">
        <v>1</v>
      </c>
      <c r="F129" s="88" t="s">
        <v>2965</v>
      </c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90"/>
      <c r="U129" s="101" t="s">
        <v>2968</v>
      </c>
      <c r="V129" s="102"/>
      <c r="W129" s="102"/>
      <c r="X129" s="102"/>
      <c r="Y129" s="102"/>
      <c r="Z129" s="102"/>
      <c r="AA129" s="102"/>
      <c r="AB129" s="103"/>
      <c r="AC129" s="71"/>
      <c r="AD129" s="72"/>
      <c r="AE129" s="72"/>
      <c r="AF129" s="72"/>
      <c r="AG129" s="72"/>
      <c r="AH129" s="73"/>
      <c r="AI129" s="14"/>
      <c r="AJ129" s="14"/>
      <c r="AK129" s="14"/>
      <c r="AL129" s="14"/>
      <c r="AM129" s="14"/>
      <c r="AN129" s="14"/>
    </row>
    <row r="130" spans="1:40" s="5" customFormat="1" x14ac:dyDescent="0.25">
      <c r="A130" s="65">
        <v>45904</v>
      </c>
      <c r="B130" s="86"/>
      <c r="C130" s="63"/>
      <c r="D130" s="63">
        <v>38012</v>
      </c>
      <c r="E130" s="4">
        <v>1</v>
      </c>
      <c r="F130" s="88" t="s">
        <v>2964</v>
      </c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90"/>
      <c r="U130" s="101" t="s">
        <v>2967</v>
      </c>
      <c r="V130" s="102"/>
      <c r="W130" s="102"/>
      <c r="X130" s="102"/>
      <c r="Y130" s="102"/>
      <c r="Z130" s="102"/>
      <c r="AA130" s="102"/>
      <c r="AB130" s="103"/>
      <c r="AC130" s="71"/>
      <c r="AD130" s="72"/>
      <c r="AE130" s="72"/>
      <c r="AF130" s="72"/>
      <c r="AG130" s="72"/>
      <c r="AH130" s="73"/>
      <c r="AI130" s="14"/>
      <c r="AJ130" s="14"/>
      <c r="AK130" s="14"/>
      <c r="AL130" s="14"/>
      <c r="AM130" s="14"/>
      <c r="AN130" s="14"/>
    </row>
    <row r="131" spans="1:40" s="5" customFormat="1" x14ac:dyDescent="0.25">
      <c r="A131" s="65">
        <v>45904</v>
      </c>
      <c r="B131" s="86"/>
      <c r="C131" s="63"/>
      <c r="D131" s="63">
        <v>18002</v>
      </c>
      <c r="E131" s="4">
        <v>1</v>
      </c>
      <c r="F131" s="88" t="s">
        <v>2961</v>
      </c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90"/>
      <c r="U131" s="101" t="s">
        <v>2963</v>
      </c>
      <c r="V131" s="102"/>
      <c r="W131" s="102"/>
      <c r="X131" s="102"/>
      <c r="Y131" s="102"/>
      <c r="Z131" s="102"/>
      <c r="AA131" s="102"/>
      <c r="AB131" s="103"/>
      <c r="AC131" s="71"/>
      <c r="AD131" s="72"/>
      <c r="AE131" s="72"/>
      <c r="AF131" s="72"/>
      <c r="AG131" s="72"/>
      <c r="AH131" s="73"/>
      <c r="AI131" s="14"/>
      <c r="AJ131" s="14"/>
      <c r="AK131" s="14"/>
      <c r="AL131" s="14"/>
      <c r="AM131" s="14"/>
      <c r="AN131" s="14"/>
    </row>
    <row r="132" spans="1:40" s="5" customFormat="1" ht="16.5" customHeight="1" x14ac:dyDescent="0.25">
      <c r="A132" s="65">
        <v>45904</v>
      </c>
      <c r="B132" s="87"/>
      <c r="C132" s="63"/>
      <c r="D132" s="63">
        <v>28013</v>
      </c>
      <c r="E132" s="4">
        <v>3</v>
      </c>
      <c r="F132" s="88" t="s">
        <v>3000</v>
      </c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90"/>
      <c r="U132" s="101" t="s">
        <v>2967</v>
      </c>
      <c r="V132" s="102"/>
      <c r="W132" s="102"/>
      <c r="X132" s="102"/>
      <c r="Y132" s="102"/>
      <c r="Z132" s="102"/>
      <c r="AA132" s="102"/>
      <c r="AB132" s="103"/>
      <c r="AC132" s="71"/>
      <c r="AD132" s="72"/>
      <c r="AE132" s="72"/>
      <c r="AF132" s="72"/>
      <c r="AG132" s="72"/>
      <c r="AH132" s="73"/>
      <c r="AI132" s="14"/>
      <c r="AJ132" s="14"/>
      <c r="AK132" s="14"/>
      <c r="AL132" s="14"/>
      <c r="AM132" s="14"/>
      <c r="AN132" s="14"/>
    </row>
    <row r="133" spans="1:40" s="5" customFormat="1" x14ac:dyDescent="0.25">
      <c r="A133" s="65">
        <v>45903</v>
      </c>
      <c r="B133" s="85">
        <v>272</v>
      </c>
      <c r="C133" s="63"/>
      <c r="D133" s="63">
        <v>54108</v>
      </c>
      <c r="E133" s="4"/>
      <c r="F133" s="88" t="s">
        <v>2938</v>
      </c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90"/>
      <c r="U133" s="101" t="s">
        <v>2944</v>
      </c>
      <c r="V133" s="102"/>
      <c r="W133" s="102"/>
      <c r="X133" s="102"/>
      <c r="Y133" s="102"/>
      <c r="Z133" s="102"/>
      <c r="AA133" s="102"/>
      <c r="AB133" s="103"/>
      <c r="AC133" s="110"/>
      <c r="AD133" s="111"/>
      <c r="AE133" s="111"/>
      <c r="AF133" s="111"/>
      <c r="AG133" s="111"/>
      <c r="AH133" s="112"/>
      <c r="AI133" s="14"/>
      <c r="AJ133" s="14"/>
      <c r="AK133" s="14"/>
      <c r="AL133" s="14"/>
      <c r="AM133" s="14"/>
      <c r="AN133" s="14"/>
    </row>
    <row r="134" spans="1:40" s="5" customFormat="1" x14ac:dyDescent="0.25">
      <c r="A134" s="65">
        <v>45903</v>
      </c>
      <c r="B134" s="86"/>
      <c r="C134" s="63"/>
      <c r="D134" s="63">
        <v>38012</v>
      </c>
      <c r="E134" s="4"/>
      <c r="F134" s="88" t="s">
        <v>2947</v>
      </c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90"/>
      <c r="U134" s="105" t="s">
        <v>2958</v>
      </c>
      <c r="V134" s="102"/>
      <c r="W134" s="102"/>
      <c r="X134" s="102"/>
      <c r="Y134" s="102"/>
      <c r="Z134" s="102"/>
      <c r="AA134" s="102"/>
      <c r="AB134" s="103"/>
      <c r="AC134" s="110"/>
      <c r="AD134" s="111"/>
      <c r="AE134" s="111"/>
      <c r="AF134" s="111"/>
      <c r="AG134" s="111"/>
      <c r="AH134" s="112"/>
      <c r="AI134" s="14"/>
      <c r="AJ134" s="14"/>
      <c r="AK134" s="14"/>
      <c r="AL134" s="14"/>
      <c r="AM134" s="14"/>
      <c r="AN134" s="14"/>
    </row>
    <row r="135" spans="1:40" s="5" customFormat="1" x14ac:dyDescent="0.25">
      <c r="A135" s="65">
        <v>45903</v>
      </c>
      <c r="B135" s="86"/>
      <c r="C135" s="63"/>
      <c r="D135" s="63">
        <v>28023</v>
      </c>
      <c r="E135" s="4"/>
      <c r="F135" s="88" t="s">
        <v>2948</v>
      </c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90"/>
      <c r="U135" s="101" t="s">
        <v>2954</v>
      </c>
      <c r="V135" s="102"/>
      <c r="W135" s="102"/>
      <c r="X135" s="102"/>
      <c r="Y135" s="102"/>
      <c r="Z135" s="102"/>
      <c r="AA135" s="102"/>
      <c r="AB135" s="103"/>
      <c r="AC135" s="110"/>
      <c r="AD135" s="111"/>
      <c r="AE135" s="111"/>
      <c r="AF135" s="111"/>
      <c r="AG135" s="111"/>
      <c r="AH135" s="112"/>
      <c r="AI135" s="14"/>
      <c r="AJ135" s="14"/>
      <c r="AK135" s="14"/>
      <c r="AL135" s="14"/>
      <c r="AM135" s="14"/>
      <c r="AN135" s="14"/>
    </row>
    <row r="136" spans="1:40" s="5" customFormat="1" x14ac:dyDescent="0.25">
      <c r="A136" s="65">
        <v>45903</v>
      </c>
      <c r="B136" s="86"/>
      <c r="C136" s="63"/>
      <c r="D136" s="63">
        <v>18004</v>
      </c>
      <c r="E136" s="4"/>
      <c r="F136" s="88" t="s">
        <v>2949</v>
      </c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90"/>
      <c r="U136" s="106" t="s">
        <v>2962</v>
      </c>
      <c r="V136" s="102"/>
      <c r="W136" s="102"/>
      <c r="X136" s="102"/>
      <c r="Y136" s="102"/>
      <c r="Z136" s="102"/>
      <c r="AA136" s="102"/>
      <c r="AB136" s="103"/>
      <c r="AC136" s="110"/>
      <c r="AD136" s="111"/>
      <c r="AE136" s="111"/>
      <c r="AF136" s="111"/>
      <c r="AG136" s="111"/>
      <c r="AH136" s="112"/>
      <c r="AI136" s="14"/>
      <c r="AJ136" s="14"/>
      <c r="AK136" s="14"/>
      <c r="AL136" s="14"/>
      <c r="AM136" s="14"/>
      <c r="AN136" s="14"/>
    </row>
    <row r="137" spans="1:40" s="5" customFormat="1" x14ac:dyDescent="0.25">
      <c r="A137" s="65">
        <v>45903</v>
      </c>
      <c r="B137" s="86"/>
      <c r="C137" s="63"/>
      <c r="D137" s="63">
        <v>100024</v>
      </c>
      <c r="E137" s="4"/>
      <c r="F137" s="88" t="s">
        <v>2950</v>
      </c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90"/>
      <c r="U137" s="101" t="s">
        <v>2953</v>
      </c>
      <c r="V137" s="102"/>
      <c r="W137" s="102"/>
      <c r="X137" s="102"/>
      <c r="Y137" s="102"/>
      <c r="Z137" s="102"/>
      <c r="AA137" s="102"/>
      <c r="AB137" s="103"/>
      <c r="AC137" s="110"/>
      <c r="AD137" s="111"/>
      <c r="AE137" s="111"/>
      <c r="AF137" s="111"/>
      <c r="AG137" s="111"/>
      <c r="AH137" s="112"/>
      <c r="AI137" s="14"/>
      <c r="AJ137" s="14"/>
      <c r="AK137" s="14"/>
      <c r="AL137" s="14"/>
      <c r="AM137" s="14"/>
      <c r="AN137" s="14"/>
    </row>
    <row r="138" spans="1:40" s="5" customFormat="1" x14ac:dyDescent="0.25">
      <c r="A138" s="65">
        <v>45903</v>
      </c>
      <c r="B138" s="86"/>
      <c r="C138" s="63"/>
      <c r="D138" s="63">
        <v>103024</v>
      </c>
      <c r="E138" s="4"/>
      <c r="F138" s="88" t="s">
        <v>2951</v>
      </c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90"/>
      <c r="U138" s="101" t="s">
        <v>2953</v>
      </c>
      <c r="V138" s="102"/>
      <c r="W138" s="102"/>
      <c r="X138" s="102"/>
      <c r="Y138" s="102"/>
      <c r="Z138" s="102"/>
      <c r="AA138" s="102"/>
      <c r="AB138" s="103"/>
      <c r="AC138" s="110"/>
      <c r="AD138" s="111"/>
      <c r="AE138" s="111"/>
      <c r="AF138" s="111"/>
      <c r="AG138" s="111"/>
      <c r="AH138" s="112"/>
      <c r="AI138" s="14"/>
      <c r="AJ138" s="14"/>
      <c r="AK138" s="14"/>
      <c r="AL138" s="14"/>
      <c r="AM138" s="14"/>
      <c r="AN138" s="14"/>
    </row>
    <row r="139" spans="1:40" s="5" customFormat="1" x14ac:dyDescent="0.25">
      <c r="A139" s="65">
        <v>45903</v>
      </c>
      <c r="B139" s="87"/>
      <c r="C139" s="63"/>
      <c r="D139" s="63">
        <v>103024</v>
      </c>
      <c r="E139" s="4"/>
      <c r="F139" s="88" t="s">
        <v>2952</v>
      </c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90"/>
      <c r="U139" s="101" t="s">
        <v>2953</v>
      </c>
      <c r="V139" s="102"/>
      <c r="W139" s="102"/>
      <c r="X139" s="102"/>
      <c r="Y139" s="102"/>
      <c r="Z139" s="102"/>
      <c r="AA139" s="102"/>
      <c r="AB139" s="103"/>
      <c r="AC139" s="110"/>
      <c r="AD139" s="111"/>
      <c r="AE139" s="111"/>
      <c r="AF139" s="111"/>
      <c r="AG139" s="111"/>
      <c r="AH139" s="112"/>
      <c r="AI139" s="14"/>
      <c r="AJ139" s="14"/>
      <c r="AK139" s="14"/>
      <c r="AL139" s="14"/>
      <c r="AM139" s="14"/>
      <c r="AN139" s="14"/>
    </row>
    <row r="140" spans="1:40" s="5" customFormat="1" x14ac:dyDescent="0.25">
      <c r="A140" s="65">
        <v>45901</v>
      </c>
      <c r="B140" s="85">
        <v>250</v>
      </c>
      <c r="C140" s="63"/>
      <c r="D140" s="63">
        <v>28011</v>
      </c>
      <c r="E140" s="4"/>
      <c r="F140" s="88" t="s">
        <v>2939</v>
      </c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90"/>
      <c r="U140" s="105" t="s">
        <v>2946</v>
      </c>
      <c r="V140" s="102"/>
      <c r="W140" s="102"/>
      <c r="X140" s="102"/>
      <c r="Y140" s="102"/>
      <c r="Z140" s="102"/>
      <c r="AA140" s="102"/>
      <c r="AB140" s="103"/>
      <c r="AC140" s="71"/>
      <c r="AD140" s="72"/>
      <c r="AE140" s="72"/>
      <c r="AF140" s="72"/>
      <c r="AG140" s="72"/>
      <c r="AH140" s="73"/>
      <c r="AI140" s="14"/>
      <c r="AJ140" s="14"/>
      <c r="AK140" s="14"/>
      <c r="AL140" s="14"/>
      <c r="AM140" s="14"/>
      <c r="AN140" s="14"/>
    </row>
    <row r="141" spans="1:40" s="5" customFormat="1" x14ac:dyDescent="0.25">
      <c r="A141" s="65">
        <v>45901</v>
      </c>
      <c r="B141" s="86"/>
      <c r="C141" s="63"/>
      <c r="D141" s="63">
        <v>54108</v>
      </c>
      <c r="E141" s="4"/>
      <c r="F141" s="88" t="s">
        <v>2938</v>
      </c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90"/>
      <c r="U141" s="101" t="s">
        <v>2944</v>
      </c>
      <c r="V141" s="102"/>
      <c r="W141" s="102"/>
      <c r="X141" s="102"/>
      <c r="Y141" s="102"/>
      <c r="Z141" s="102"/>
      <c r="AA141" s="102"/>
      <c r="AB141" s="103"/>
      <c r="AC141" s="71"/>
      <c r="AD141" s="72"/>
      <c r="AE141" s="72"/>
      <c r="AF141" s="72"/>
      <c r="AG141" s="72"/>
      <c r="AH141" s="73"/>
      <c r="AI141" s="14"/>
      <c r="AJ141" s="14"/>
      <c r="AK141" s="14"/>
      <c r="AL141" s="14"/>
      <c r="AM141" s="14"/>
      <c r="AN141" s="14"/>
    </row>
    <row r="142" spans="1:40" s="5" customFormat="1" x14ac:dyDescent="0.25">
      <c r="A142" s="65">
        <v>45901</v>
      </c>
      <c r="B142" s="86"/>
      <c r="C142" s="63"/>
      <c r="D142" s="63">
        <v>80840</v>
      </c>
      <c r="E142" s="4"/>
      <c r="F142" s="88" t="s">
        <v>2937</v>
      </c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90"/>
      <c r="U142" s="106" t="s">
        <v>2945</v>
      </c>
      <c r="V142" s="113"/>
      <c r="W142" s="113"/>
      <c r="X142" s="113"/>
      <c r="Y142" s="113"/>
      <c r="Z142" s="113"/>
      <c r="AA142" s="113"/>
      <c r="AB142" s="114"/>
      <c r="AC142" s="71"/>
      <c r="AD142" s="72"/>
      <c r="AE142" s="72"/>
      <c r="AF142" s="72"/>
      <c r="AG142" s="72"/>
      <c r="AH142" s="73"/>
      <c r="AI142" s="14"/>
      <c r="AJ142" s="14"/>
      <c r="AK142" s="14"/>
      <c r="AL142" s="14"/>
      <c r="AM142" s="14"/>
      <c r="AN142" s="14"/>
    </row>
    <row r="143" spans="1:40" s="5" customFormat="1" x14ac:dyDescent="0.25">
      <c r="A143" s="65">
        <v>45901</v>
      </c>
      <c r="B143" s="86"/>
      <c r="C143" s="63"/>
      <c r="D143" s="63">
        <v>98006</v>
      </c>
      <c r="E143" s="4"/>
      <c r="F143" s="88" t="s">
        <v>2936</v>
      </c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90"/>
      <c r="U143" s="106" t="s">
        <v>2945</v>
      </c>
      <c r="V143" s="113"/>
      <c r="W143" s="113"/>
      <c r="X143" s="113"/>
      <c r="Y143" s="113"/>
      <c r="Z143" s="113"/>
      <c r="AA143" s="113"/>
      <c r="AB143" s="114"/>
      <c r="AC143" s="71"/>
      <c r="AD143" s="72"/>
      <c r="AE143" s="72"/>
      <c r="AF143" s="72"/>
      <c r="AG143" s="72"/>
      <c r="AH143" s="73"/>
      <c r="AI143" s="14"/>
      <c r="AJ143" s="14"/>
      <c r="AK143" s="14"/>
      <c r="AL143" s="14"/>
      <c r="AM143" s="14"/>
      <c r="AN143" s="14"/>
    </row>
    <row r="144" spans="1:40" s="5" customFormat="1" x14ac:dyDescent="0.25">
      <c r="A144" s="65">
        <v>45901</v>
      </c>
      <c r="B144" s="86"/>
      <c r="C144" s="63"/>
      <c r="D144" s="63">
        <v>104020</v>
      </c>
      <c r="E144" s="4"/>
      <c r="F144" s="88" t="s">
        <v>2935</v>
      </c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90"/>
      <c r="U144" s="106" t="s">
        <v>2945</v>
      </c>
      <c r="V144" s="113"/>
      <c r="W144" s="113"/>
      <c r="X144" s="113"/>
      <c r="Y144" s="113"/>
      <c r="Z144" s="113"/>
      <c r="AA144" s="113"/>
      <c r="AB144" s="114"/>
      <c r="AC144" s="71"/>
      <c r="AD144" s="72"/>
      <c r="AE144" s="72"/>
      <c r="AF144" s="72"/>
      <c r="AG144" s="72"/>
      <c r="AH144" s="73"/>
      <c r="AI144" s="14"/>
      <c r="AJ144" s="14"/>
      <c r="AK144" s="14"/>
      <c r="AL144" s="14"/>
      <c r="AM144" s="14"/>
      <c r="AN144" s="14"/>
    </row>
    <row r="145" spans="1:40" s="5" customFormat="1" x14ac:dyDescent="0.25">
      <c r="A145" s="65">
        <v>45901</v>
      </c>
      <c r="B145" s="86"/>
      <c r="C145" s="63"/>
      <c r="D145" s="63">
        <v>54108</v>
      </c>
      <c r="E145" s="4"/>
      <c r="F145" s="88" t="s">
        <v>2943</v>
      </c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90"/>
      <c r="U145" s="101" t="s">
        <v>2944</v>
      </c>
      <c r="V145" s="102"/>
      <c r="W145" s="102"/>
      <c r="X145" s="102"/>
      <c r="Y145" s="102"/>
      <c r="Z145" s="102"/>
      <c r="AA145" s="102"/>
      <c r="AB145" s="103"/>
      <c r="AC145" s="71"/>
      <c r="AD145" s="72"/>
      <c r="AE145" s="72"/>
      <c r="AF145" s="72"/>
      <c r="AG145" s="72"/>
      <c r="AH145" s="73"/>
      <c r="AI145" s="14"/>
      <c r="AJ145" s="14"/>
      <c r="AK145" s="14"/>
      <c r="AL145" s="14"/>
      <c r="AM145" s="14"/>
      <c r="AN145" s="14"/>
    </row>
    <row r="146" spans="1:40" s="5" customFormat="1" x14ac:dyDescent="0.25">
      <c r="A146" s="65">
        <v>45901</v>
      </c>
      <c r="B146" s="86"/>
      <c r="C146" s="63"/>
      <c r="D146" s="63">
        <v>52400</v>
      </c>
      <c r="E146" s="4"/>
      <c r="F146" s="88" t="s">
        <v>2942</v>
      </c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90"/>
      <c r="U146" s="106" t="s">
        <v>2957</v>
      </c>
      <c r="V146" s="113"/>
      <c r="W146" s="113"/>
      <c r="X146" s="113"/>
      <c r="Y146" s="113"/>
      <c r="Z146" s="113"/>
      <c r="AA146" s="113"/>
      <c r="AB146" s="114"/>
      <c r="AC146" s="71"/>
      <c r="AD146" s="72"/>
      <c r="AE146" s="72"/>
      <c r="AF146" s="72"/>
      <c r="AG146" s="72"/>
      <c r="AH146" s="73"/>
      <c r="AI146" s="14"/>
      <c r="AJ146" s="14"/>
      <c r="AK146" s="14"/>
      <c r="AL146" s="14"/>
      <c r="AM146" s="14"/>
      <c r="AN146" s="14"/>
    </row>
    <row r="147" spans="1:40" s="5" customFormat="1" x14ac:dyDescent="0.25">
      <c r="A147" s="65">
        <v>45901</v>
      </c>
      <c r="B147" s="86"/>
      <c r="C147" s="63"/>
      <c r="D147" s="63">
        <v>68004</v>
      </c>
      <c r="E147" s="4"/>
      <c r="F147" s="88" t="s">
        <v>2934</v>
      </c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90"/>
      <c r="U147" s="106" t="s">
        <v>2956</v>
      </c>
      <c r="V147" s="113"/>
      <c r="W147" s="113"/>
      <c r="X147" s="113"/>
      <c r="Y147" s="113"/>
      <c r="Z147" s="113"/>
      <c r="AA147" s="113"/>
      <c r="AB147" s="114"/>
      <c r="AC147" s="71"/>
      <c r="AD147" s="72"/>
      <c r="AE147" s="72"/>
      <c r="AF147" s="72"/>
      <c r="AG147" s="72"/>
      <c r="AH147" s="73"/>
      <c r="AI147" s="14"/>
      <c r="AJ147" s="14"/>
      <c r="AK147" s="14"/>
      <c r="AL147" s="14"/>
      <c r="AM147" s="14"/>
      <c r="AN147" s="14"/>
    </row>
    <row r="148" spans="1:40" s="5" customFormat="1" x14ac:dyDescent="0.25">
      <c r="A148" s="65">
        <v>45901</v>
      </c>
      <c r="B148" s="86"/>
      <c r="C148" s="63"/>
      <c r="D148" s="63">
        <v>62800</v>
      </c>
      <c r="E148" s="4"/>
      <c r="F148" s="88" t="s">
        <v>2940</v>
      </c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90"/>
      <c r="U148" s="106" t="s">
        <v>2957</v>
      </c>
      <c r="V148" s="113"/>
      <c r="W148" s="113"/>
      <c r="X148" s="113"/>
      <c r="Y148" s="113"/>
      <c r="Z148" s="113"/>
      <c r="AA148" s="113"/>
      <c r="AB148" s="114"/>
      <c r="AC148" s="110"/>
      <c r="AD148" s="111"/>
      <c r="AE148" s="111"/>
      <c r="AF148" s="111"/>
      <c r="AG148" s="111"/>
      <c r="AH148" s="112"/>
      <c r="AI148" s="14"/>
      <c r="AJ148" s="14"/>
      <c r="AK148" s="14"/>
      <c r="AL148" s="14"/>
      <c r="AM148" s="14"/>
      <c r="AN148" s="14"/>
    </row>
    <row r="149" spans="1:40" s="5" customFormat="1" x14ac:dyDescent="0.25">
      <c r="A149" s="65">
        <v>45901</v>
      </c>
      <c r="B149" s="86"/>
      <c r="C149" s="63"/>
      <c r="D149" s="63">
        <v>68004</v>
      </c>
      <c r="E149" s="4"/>
      <c r="F149" s="88" t="s">
        <v>2933</v>
      </c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90"/>
      <c r="U149" s="106" t="s">
        <v>2955</v>
      </c>
      <c r="V149" s="113"/>
      <c r="W149" s="113"/>
      <c r="X149" s="113"/>
      <c r="Y149" s="113"/>
      <c r="Z149" s="113"/>
      <c r="AA149" s="113"/>
      <c r="AB149" s="114"/>
      <c r="AC149" s="110"/>
      <c r="AD149" s="111"/>
      <c r="AE149" s="111"/>
      <c r="AF149" s="111"/>
      <c r="AG149" s="111"/>
      <c r="AH149" s="112"/>
      <c r="AI149" s="14"/>
      <c r="AJ149" s="14"/>
      <c r="AK149" s="14"/>
      <c r="AL149" s="14"/>
      <c r="AM149" s="14"/>
      <c r="AN149" s="14"/>
    </row>
    <row r="150" spans="1:40" s="5" customFormat="1" x14ac:dyDescent="0.25">
      <c r="A150" s="65">
        <v>45901</v>
      </c>
      <c r="B150" s="87"/>
      <c r="C150" s="63"/>
      <c r="D150" s="63">
        <v>54108</v>
      </c>
      <c r="E150" s="4"/>
      <c r="F150" s="88" t="s">
        <v>2941</v>
      </c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90"/>
      <c r="U150" s="101" t="s">
        <v>2944</v>
      </c>
      <c r="V150" s="102"/>
      <c r="W150" s="102"/>
      <c r="X150" s="102"/>
      <c r="Y150" s="102"/>
      <c r="Z150" s="102"/>
      <c r="AA150" s="102"/>
      <c r="AB150" s="103"/>
      <c r="AC150" s="110"/>
      <c r="AD150" s="111"/>
      <c r="AE150" s="111"/>
      <c r="AF150" s="111"/>
      <c r="AG150" s="111"/>
      <c r="AH150" s="112"/>
      <c r="AI150" s="14"/>
      <c r="AJ150" s="14"/>
      <c r="AK150" s="14"/>
      <c r="AL150" s="14"/>
      <c r="AM150" s="14"/>
      <c r="AN150" s="14"/>
    </row>
    <row r="151" spans="1:40" s="5" customFormat="1" x14ac:dyDescent="0.25">
      <c r="A151"/>
      <c r="B151" s="77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 s="3"/>
      <c r="AF151" s="14"/>
      <c r="AG151" s="14"/>
      <c r="AH151" s="14"/>
      <c r="AI151" s="14"/>
      <c r="AJ151" s="14"/>
    </row>
    <row r="152" spans="1:40" s="5" customFormat="1" x14ac:dyDescent="0.25">
      <c r="A152"/>
      <c r="B152" s="77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 s="3"/>
      <c r="AF152" s="14"/>
      <c r="AG152" s="14"/>
      <c r="AH152" s="14"/>
      <c r="AI152" s="14"/>
      <c r="AJ152" s="14"/>
    </row>
    <row r="153" spans="1:40" s="5" customFormat="1" x14ac:dyDescent="0.25">
      <c r="A153"/>
      <c r="B153" s="77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 s="3"/>
      <c r="AF153" s="14"/>
      <c r="AG153" s="14"/>
      <c r="AH153" s="14"/>
      <c r="AI153" s="14"/>
      <c r="AJ153" s="14"/>
    </row>
    <row r="154" spans="1:40" s="5" customFormat="1" x14ac:dyDescent="0.25">
      <c r="A154"/>
      <c r="B154" s="77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 s="3"/>
      <c r="AF154" s="14"/>
      <c r="AG154" s="14"/>
      <c r="AH154" s="14"/>
      <c r="AI154" s="14"/>
      <c r="AJ154" s="14"/>
    </row>
    <row r="155" spans="1:40" s="5" customFormat="1" x14ac:dyDescent="0.25">
      <c r="A155"/>
      <c r="B155" s="77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 s="3"/>
      <c r="AF155" s="14"/>
      <c r="AG155" s="14"/>
      <c r="AH155" s="14"/>
      <c r="AI155" s="14"/>
      <c r="AJ155" s="14"/>
    </row>
    <row r="156" spans="1:40" s="5" customFormat="1" x14ac:dyDescent="0.25">
      <c r="A156"/>
      <c r="B156" s="77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 s="3"/>
      <c r="AF156" s="14"/>
      <c r="AG156" s="14"/>
      <c r="AH156" s="14"/>
      <c r="AI156" s="14"/>
      <c r="AJ156" s="14"/>
    </row>
    <row r="157" spans="1:40" s="5" customFormat="1" x14ac:dyDescent="0.25">
      <c r="A157"/>
      <c r="B157" s="7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 s="3"/>
      <c r="AF157" s="14"/>
      <c r="AG157" s="14"/>
      <c r="AH157" s="14"/>
      <c r="AI157" s="14"/>
      <c r="AJ157" s="14"/>
    </row>
    <row r="158" spans="1:40" s="5" customFormat="1" x14ac:dyDescent="0.25">
      <c r="A158"/>
      <c r="B158" s="77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 s="3"/>
      <c r="AF158" s="14"/>
      <c r="AG158" s="14"/>
      <c r="AH158" s="14"/>
      <c r="AI158" s="14"/>
      <c r="AJ158" s="14"/>
    </row>
    <row r="159" spans="1:40" s="5" customFormat="1" x14ac:dyDescent="0.25">
      <c r="A159"/>
      <c r="B159" s="77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 s="3"/>
      <c r="AF159" s="14"/>
      <c r="AG159" s="14"/>
      <c r="AH159" s="14"/>
      <c r="AI159" s="14"/>
      <c r="AJ159" s="14"/>
    </row>
    <row r="160" spans="1:40" s="5" customFormat="1" x14ac:dyDescent="0.25">
      <c r="A160"/>
      <c r="B160" s="77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 s="3"/>
      <c r="AF160" s="14"/>
      <c r="AG160" s="14"/>
      <c r="AH160" s="14"/>
      <c r="AI160" s="14"/>
      <c r="AJ160" s="14"/>
    </row>
    <row r="161" spans="1:36" s="5" customFormat="1" x14ac:dyDescent="0.25">
      <c r="A161"/>
      <c r="B161" s="77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 s="3"/>
      <c r="AF161" s="14"/>
      <c r="AG161" s="14"/>
      <c r="AH161" s="14"/>
      <c r="AI161" s="14"/>
      <c r="AJ161" s="14"/>
    </row>
    <row r="162" spans="1:36" s="5" customFormat="1" x14ac:dyDescent="0.25">
      <c r="A162"/>
      <c r="B162" s="77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 s="3"/>
      <c r="AF162" s="14"/>
      <c r="AG162" s="14"/>
      <c r="AH162" s="14"/>
      <c r="AI162" s="14"/>
      <c r="AJ162" s="14"/>
    </row>
    <row r="163" spans="1:36" s="5" customFormat="1" x14ac:dyDescent="0.25">
      <c r="A163"/>
      <c r="B163" s="77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 s="3"/>
      <c r="AF163" s="14"/>
      <c r="AG163" s="14"/>
      <c r="AH163" s="14"/>
      <c r="AI163" s="14"/>
      <c r="AJ163" s="14"/>
    </row>
    <row r="164" spans="1:36" s="5" customFormat="1" x14ac:dyDescent="0.25">
      <c r="A164"/>
      <c r="B164" s="77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 s="3"/>
      <c r="AF164" s="14"/>
      <c r="AG164" s="14"/>
      <c r="AH164" s="14"/>
      <c r="AI164" s="14"/>
      <c r="AJ164" s="14"/>
    </row>
    <row r="165" spans="1:36" s="5" customFormat="1" x14ac:dyDescent="0.25">
      <c r="A165"/>
      <c r="B165" s="77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 s="3"/>
      <c r="AF165" s="14"/>
      <c r="AG165" s="14"/>
      <c r="AH165" s="14"/>
      <c r="AI165" s="14"/>
      <c r="AJ165" s="14"/>
    </row>
    <row r="166" spans="1:36" s="5" customFormat="1" x14ac:dyDescent="0.25">
      <c r="A166"/>
      <c r="B166" s="77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 s="3"/>
      <c r="AF166" s="14"/>
      <c r="AG166" s="14"/>
      <c r="AH166" s="14"/>
      <c r="AI166" s="14"/>
      <c r="AJ166" s="14"/>
    </row>
    <row r="167" spans="1:36" s="5" customFormat="1" x14ac:dyDescent="0.25">
      <c r="A167"/>
      <c r="B167" s="7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 s="3"/>
      <c r="AF167" s="14"/>
      <c r="AG167" s="14"/>
      <c r="AH167" s="14"/>
      <c r="AI167" s="14"/>
      <c r="AJ167" s="14"/>
    </row>
    <row r="168" spans="1:36" s="5" customFormat="1" x14ac:dyDescent="0.25">
      <c r="A168"/>
      <c r="B168" s="77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 s="3"/>
      <c r="AF168" s="14"/>
      <c r="AG168" s="14"/>
      <c r="AH168" s="14"/>
      <c r="AI168" s="14"/>
      <c r="AJ168" s="14"/>
    </row>
    <row r="169" spans="1:36" s="5" customFormat="1" x14ac:dyDescent="0.25">
      <c r="A169"/>
      <c r="B169" s="77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 s="3"/>
      <c r="AF169" s="14"/>
      <c r="AG169" s="14"/>
      <c r="AH169" s="14"/>
      <c r="AI169" s="14"/>
      <c r="AJ169" s="14"/>
    </row>
    <row r="170" spans="1:36" s="5" customFormat="1" x14ac:dyDescent="0.25">
      <c r="A170"/>
      <c r="B170" s="77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 s="3"/>
      <c r="AF170" s="14"/>
      <c r="AG170" s="14"/>
      <c r="AH170" s="14"/>
      <c r="AI170" s="14"/>
      <c r="AJ170" s="14"/>
    </row>
    <row r="171" spans="1:36" s="5" customFormat="1" x14ac:dyDescent="0.25">
      <c r="A171"/>
      <c r="B171" s="77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 s="3"/>
      <c r="AF171" s="14"/>
      <c r="AG171" s="14"/>
      <c r="AH171" s="14"/>
      <c r="AI171" s="14"/>
      <c r="AJ171" s="14"/>
    </row>
    <row r="172" spans="1:36" s="5" customFormat="1" x14ac:dyDescent="0.25">
      <c r="A172"/>
      <c r="B172" s="77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 s="3"/>
      <c r="AF172" s="14"/>
      <c r="AG172" s="14"/>
      <c r="AH172" s="14"/>
      <c r="AI172" s="14"/>
      <c r="AJ172" s="14"/>
    </row>
    <row r="173" spans="1:36" s="5" customFormat="1" x14ac:dyDescent="0.25">
      <c r="A173"/>
      <c r="B173" s="77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 s="3"/>
      <c r="AF173" s="14"/>
      <c r="AG173" s="14"/>
      <c r="AH173" s="14"/>
      <c r="AI173" s="14"/>
      <c r="AJ173" s="14"/>
    </row>
    <row r="174" spans="1:36" s="5" customFormat="1" x14ac:dyDescent="0.25">
      <c r="A174"/>
      <c r="B174" s="77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 s="3"/>
      <c r="AF174" s="14"/>
      <c r="AG174" s="14"/>
      <c r="AH174" s="14"/>
      <c r="AI174" s="14"/>
      <c r="AJ174" s="14"/>
    </row>
    <row r="175" spans="1:36" s="5" customFormat="1" x14ac:dyDescent="0.25">
      <c r="A175"/>
      <c r="B175" s="77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 s="3"/>
      <c r="AF175" s="14"/>
      <c r="AG175" s="14"/>
      <c r="AH175" s="14"/>
      <c r="AI175" s="14"/>
      <c r="AJ175" s="14"/>
    </row>
    <row r="176" spans="1:36" s="5" customFormat="1" x14ac:dyDescent="0.25">
      <c r="A176"/>
      <c r="B176" s="77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 s="3"/>
      <c r="AF176" s="14"/>
      <c r="AG176" s="14"/>
      <c r="AH176" s="14"/>
      <c r="AI176" s="14"/>
      <c r="AJ176" s="14"/>
    </row>
    <row r="177" spans="1:36" s="5" customFormat="1" x14ac:dyDescent="0.25">
      <c r="A177"/>
      <c r="B177" s="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 s="3"/>
      <c r="AF177" s="14"/>
      <c r="AG177" s="14"/>
      <c r="AH177" s="14"/>
      <c r="AI177" s="14"/>
      <c r="AJ177" s="14"/>
    </row>
    <row r="178" spans="1:36" s="5" customFormat="1" x14ac:dyDescent="0.25">
      <c r="A178"/>
      <c r="B178" s="77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 s="3"/>
      <c r="AF178" s="14"/>
      <c r="AG178" s="14"/>
      <c r="AH178" s="14"/>
      <c r="AI178" s="14"/>
      <c r="AJ178" s="14"/>
    </row>
    <row r="179" spans="1:36" s="5" customFormat="1" x14ac:dyDescent="0.25">
      <c r="A179"/>
      <c r="B179" s="77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 s="3"/>
      <c r="AF179" s="14"/>
      <c r="AG179" s="14"/>
      <c r="AH179" s="14"/>
      <c r="AI179" s="14"/>
      <c r="AJ179" s="14"/>
    </row>
    <row r="180" spans="1:36" s="5" customFormat="1" x14ac:dyDescent="0.25">
      <c r="A180"/>
      <c r="B180" s="77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 s="3"/>
      <c r="AF180" s="14"/>
      <c r="AG180" s="14"/>
      <c r="AH180" s="14"/>
      <c r="AI180" s="14"/>
      <c r="AJ180" s="14"/>
    </row>
    <row r="181" spans="1:36" s="5" customFormat="1" x14ac:dyDescent="0.25">
      <c r="A181"/>
      <c r="B181" s="77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 s="3"/>
      <c r="AF181" s="14"/>
      <c r="AG181" s="14"/>
      <c r="AH181" s="14"/>
      <c r="AI181" s="14"/>
      <c r="AJ181" s="14"/>
    </row>
    <row r="182" spans="1:36" s="5" customFormat="1" x14ac:dyDescent="0.25">
      <c r="A182"/>
      <c r="B182" s="77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 s="3"/>
      <c r="AF182" s="14"/>
      <c r="AG182" s="14"/>
      <c r="AH182" s="14"/>
      <c r="AI182" s="14"/>
      <c r="AJ182" s="14"/>
    </row>
    <row r="183" spans="1:36" s="5" customFormat="1" x14ac:dyDescent="0.25">
      <c r="A183"/>
      <c r="B183" s="77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 s="3"/>
      <c r="AF183" s="14"/>
      <c r="AG183" s="14"/>
      <c r="AH183" s="14"/>
      <c r="AI183" s="14"/>
      <c r="AJ183" s="14"/>
    </row>
    <row r="184" spans="1:36" s="5" customFormat="1" x14ac:dyDescent="0.25">
      <c r="A184"/>
      <c r="B184" s="77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 s="3"/>
      <c r="AF184" s="14"/>
      <c r="AG184" s="14"/>
      <c r="AH184" s="14"/>
      <c r="AI184" s="14"/>
      <c r="AJ184" s="14"/>
    </row>
    <row r="185" spans="1:36" s="5" customFormat="1" x14ac:dyDescent="0.25">
      <c r="A185"/>
      <c r="B185" s="77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 s="3"/>
      <c r="AF185" s="14"/>
      <c r="AG185" s="14"/>
      <c r="AH185" s="14"/>
      <c r="AI185" s="14"/>
      <c r="AJ185" s="14"/>
    </row>
    <row r="186" spans="1:36" s="5" customFormat="1" x14ac:dyDescent="0.25">
      <c r="A186"/>
      <c r="B186" s="77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 s="3"/>
      <c r="AF186" s="14"/>
      <c r="AG186" s="14"/>
      <c r="AH186" s="14"/>
      <c r="AI186" s="14"/>
      <c r="AJ186" s="14"/>
    </row>
    <row r="187" spans="1:36" s="5" customFormat="1" x14ac:dyDescent="0.25">
      <c r="A187"/>
      <c r="B187" s="7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 s="3"/>
      <c r="AF187" s="14"/>
      <c r="AG187" s="14"/>
      <c r="AH187" s="14"/>
      <c r="AI187" s="14"/>
      <c r="AJ187" s="14"/>
    </row>
    <row r="188" spans="1:36" s="5" customFormat="1" x14ac:dyDescent="0.25">
      <c r="A188"/>
      <c r="B188" s="77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 s="3"/>
      <c r="AF188" s="14"/>
      <c r="AG188" s="14"/>
      <c r="AH188" s="14"/>
      <c r="AI188" s="14"/>
      <c r="AJ188" s="14"/>
    </row>
    <row r="189" spans="1:36" s="5" customFormat="1" x14ac:dyDescent="0.25">
      <c r="A189"/>
      <c r="B189" s="77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 s="3"/>
      <c r="AF189" s="14"/>
      <c r="AG189" s="14"/>
      <c r="AH189" s="14"/>
      <c r="AI189" s="14"/>
      <c r="AJ189" s="14"/>
    </row>
    <row r="190" spans="1:36" s="5" customFormat="1" x14ac:dyDescent="0.25">
      <c r="A190"/>
      <c r="B190" s="77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 s="3"/>
      <c r="AF190" s="14"/>
      <c r="AG190" s="14"/>
      <c r="AH190" s="14"/>
      <c r="AI190" s="14"/>
      <c r="AJ190" s="14"/>
    </row>
    <row r="191" spans="1:36" s="5" customFormat="1" x14ac:dyDescent="0.25">
      <c r="A191"/>
      <c r="B191" s="77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 s="3"/>
      <c r="AF191" s="14"/>
      <c r="AG191" s="14"/>
      <c r="AH191" s="14"/>
      <c r="AI191" s="14"/>
      <c r="AJ191" s="14"/>
    </row>
    <row r="192" spans="1:36" s="5" customFormat="1" x14ac:dyDescent="0.25">
      <c r="A192"/>
      <c r="B192" s="77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 s="3"/>
      <c r="AF192" s="14"/>
      <c r="AG192" s="14"/>
      <c r="AH192" s="14"/>
      <c r="AI192" s="14"/>
      <c r="AJ192" s="14"/>
    </row>
    <row r="193" spans="1:36" s="5" customFormat="1" x14ac:dyDescent="0.25">
      <c r="A193"/>
      <c r="B193" s="77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 s="3"/>
      <c r="AF193" s="14"/>
      <c r="AG193" s="14"/>
      <c r="AH193" s="14"/>
      <c r="AI193" s="14"/>
      <c r="AJ193" s="14"/>
    </row>
    <row r="194" spans="1:36" s="5" customFormat="1" x14ac:dyDescent="0.25">
      <c r="A194"/>
      <c r="B194" s="77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 s="3"/>
      <c r="AF194" s="14"/>
      <c r="AG194" s="14"/>
      <c r="AH194" s="14"/>
      <c r="AI194" s="14"/>
      <c r="AJ194" s="14"/>
    </row>
    <row r="195" spans="1:36" s="5" customFormat="1" x14ac:dyDescent="0.25">
      <c r="A195"/>
      <c r="B195" s="77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 s="3"/>
      <c r="AF195" s="14"/>
      <c r="AG195" s="14"/>
      <c r="AH195" s="14"/>
      <c r="AI195" s="14"/>
      <c r="AJ195" s="14"/>
    </row>
    <row r="196" spans="1:36" s="5" customFormat="1" x14ac:dyDescent="0.25">
      <c r="A196"/>
      <c r="B196" s="77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 s="3"/>
      <c r="AF196" s="14"/>
      <c r="AG196" s="14"/>
      <c r="AH196" s="14"/>
      <c r="AI196" s="14"/>
      <c r="AJ196" s="14"/>
    </row>
    <row r="197" spans="1:36" s="5" customFormat="1" x14ac:dyDescent="0.25">
      <c r="A197"/>
      <c r="B197" s="7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 s="3"/>
      <c r="AF197" s="14"/>
      <c r="AG197" s="14"/>
      <c r="AH197" s="14"/>
      <c r="AI197" s="14"/>
      <c r="AJ197" s="14"/>
    </row>
    <row r="198" spans="1:36" s="5" customFormat="1" x14ac:dyDescent="0.25">
      <c r="A198"/>
      <c r="B198" s="77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 s="3"/>
      <c r="AF198" s="14"/>
      <c r="AG198" s="14"/>
      <c r="AH198" s="14"/>
      <c r="AI198" s="14"/>
      <c r="AJ198" s="14"/>
    </row>
    <row r="199" spans="1:36" s="5" customFormat="1" x14ac:dyDescent="0.25">
      <c r="A199"/>
      <c r="B199" s="77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 s="3"/>
      <c r="AF199" s="14"/>
      <c r="AG199" s="14"/>
      <c r="AH199" s="14"/>
      <c r="AI199" s="14"/>
      <c r="AJ199" s="14"/>
    </row>
    <row r="200" spans="1:36" s="5" customFormat="1" x14ac:dyDescent="0.25">
      <c r="A200"/>
      <c r="B200" s="77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 s="3"/>
      <c r="AF200" s="14"/>
      <c r="AG200" s="14"/>
      <c r="AH200" s="14"/>
      <c r="AI200" s="14"/>
      <c r="AJ200" s="14"/>
    </row>
    <row r="201" spans="1:36" s="5" customFormat="1" x14ac:dyDescent="0.25">
      <c r="A201"/>
      <c r="B201" s="77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 s="3"/>
      <c r="AF201" s="14"/>
      <c r="AG201" s="14"/>
      <c r="AH201" s="14"/>
      <c r="AI201" s="14"/>
      <c r="AJ201" s="14"/>
    </row>
    <row r="202" spans="1:36" s="5" customFormat="1" x14ac:dyDescent="0.25">
      <c r="A202"/>
      <c r="B202" s="77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 s="3"/>
      <c r="AF202" s="14"/>
      <c r="AG202" s="14"/>
      <c r="AH202" s="14"/>
      <c r="AI202" s="14"/>
      <c r="AJ202" s="14"/>
    </row>
    <row r="203" spans="1:36" s="5" customFormat="1" x14ac:dyDescent="0.25">
      <c r="A203"/>
      <c r="B203" s="77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 s="3"/>
      <c r="AF203" s="14"/>
      <c r="AG203" s="14"/>
      <c r="AH203" s="14"/>
      <c r="AI203" s="14"/>
      <c r="AJ203" s="14"/>
    </row>
    <row r="204" spans="1:36" s="5" customFormat="1" x14ac:dyDescent="0.25">
      <c r="A204"/>
      <c r="B204" s="77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 s="3"/>
      <c r="AF204" s="14"/>
      <c r="AG204" s="14"/>
      <c r="AH204" s="14"/>
      <c r="AI204" s="14"/>
      <c r="AJ204" s="14"/>
    </row>
    <row r="205" spans="1:36" s="5" customFormat="1" x14ac:dyDescent="0.25">
      <c r="A205"/>
      <c r="B205" s="77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 s="3"/>
      <c r="AF205" s="14"/>
      <c r="AG205" s="14"/>
      <c r="AH205" s="14"/>
      <c r="AI205" s="14"/>
      <c r="AJ205" s="14"/>
    </row>
    <row r="206" spans="1:36" s="5" customFormat="1" x14ac:dyDescent="0.25">
      <c r="A206"/>
      <c r="B206" s="77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 s="3"/>
      <c r="AF206" s="14"/>
      <c r="AG206" s="14"/>
      <c r="AH206" s="14"/>
      <c r="AI206" s="14"/>
      <c r="AJ206" s="14"/>
    </row>
    <row r="207" spans="1:36" s="5" customForma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 s="3"/>
      <c r="AF207" s="14"/>
      <c r="AG207" s="14"/>
      <c r="AH207" s="14"/>
      <c r="AI207" s="14"/>
      <c r="AJ207" s="14"/>
    </row>
    <row r="208" spans="1:36" s="5" customForma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 s="3"/>
      <c r="AF208" s="14"/>
      <c r="AG208" s="14"/>
      <c r="AH208" s="14"/>
      <c r="AI208" s="14"/>
      <c r="AJ208" s="14"/>
    </row>
    <row r="209" spans="1:36" s="5" customForma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 s="3"/>
      <c r="AF209" s="14"/>
      <c r="AG209" s="14"/>
      <c r="AH209" s="14"/>
      <c r="AI209" s="14"/>
      <c r="AJ209" s="14"/>
    </row>
    <row r="210" spans="1:36" s="5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 s="3"/>
      <c r="AF210" s="14"/>
      <c r="AG210" s="14"/>
      <c r="AH210" s="14"/>
      <c r="AI210" s="14"/>
      <c r="AJ210" s="14"/>
    </row>
    <row r="211" spans="1:36" s="5" customForma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 s="3"/>
      <c r="AF211" s="14"/>
      <c r="AG211" s="14"/>
      <c r="AH211" s="14"/>
      <c r="AI211" s="14"/>
      <c r="AJ211" s="14"/>
    </row>
    <row r="212" spans="1:36" s="5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 s="3"/>
      <c r="AF212" s="14"/>
      <c r="AG212" s="14"/>
      <c r="AH212" s="14"/>
      <c r="AI212" s="14"/>
      <c r="AJ212" s="14"/>
    </row>
    <row r="213" spans="1:36" s="5" customForma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 s="3"/>
      <c r="AF213" s="14"/>
      <c r="AG213" s="14"/>
      <c r="AH213" s="14"/>
      <c r="AI213" s="14"/>
      <c r="AJ213" s="14"/>
    </row>
    <row r="214" spans="1:36" s="5" customForma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 s="3"/>
      <c r="AF214" s="14"/>
      <c r="AG214" s="14"/>
      <c r="AH214" s="14"/>
      <c r="AI214" s="14"/>
      <c r="AJ214" s="14"/>
    </row>
    <row r="215" spans="1:36" s="5" customForma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 s="3"/>
      <c r="AF215" s="14"/>
      <c r="AG215" s="14"/>
      <c r="AH215" s="14"/>
      <c r="AI215" s="14"/>
      <c r="AJ215" s="14"/>
    </row>
    <row r="216" spans="1:36" s="5" customForma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 s="3"/>
      <c r="AF216" s="14"/>
      <c r="AG216" s="14"/>
      <c r="AH216" s="14"/>
      <c r="AI216" s="14"/>
      <c r="AJ216" s="14"/>
    </row>
    <row r="217" spans="1:36" s="5" customForma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 s="3"/>
      <c r="AF217" s="14"/>
      <c r="AG217" s="14"/>
      <c r="AH217" s="14"/>
      <c r="AI217" s="14"/>
      <c r="AJ217" s="14"/>
    </row>
    <row r="218" spans="1:36" s="5" customForma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 s="3"/>
      <c r="AF218" s="14"/>
      <c r="AG218" s="14"/>
      <c r="AH218" s="14"/>
      <c r="AI218" s="14"/>
      <c r="AJ218" s="14"/>
    </row>
    <row r="219" spans="1:36" s="5" customForma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 s="3"/>
      <c r="AF219" s="14"/>
      <c r="AG219" s="14"/>
      <c r="AH219" s="14"/>
      <c r="AI219" s="14"/>
      <c r="AJ219" s="14"/>
    </row>
    <row r="220" spans="1:36" s="5" customForma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 s="3"/>
      <c r="AF220" s="14"/>
      <c r="AG220" s="14"/>
      <c r="AH220" s="14"/>
      <c r="AI220" s="14"/>
      <c r="AJ220" s="14"/>
    </row>
    <row r="221" spans="1:36" s="5" customForma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 s="3"/>
      <c r="AF221" s="14"/>
      <c r="AG221" s="14"/>
      <c r="AH221" s="14"/>
      <c r="AI221" s="14"/>
      <c r="AJ221" s="14"/>
    </row>
    <row r="222" spans="1:36" s="5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 s="3"/>
      <c r="AF222" s="14"/>
      <c r="AG222" s="14"/>
      <c r="AH222" s="14"/>
      <c r="AI222" s="14"/>
      <c r="AJ222" s="14"/>
    </row>
    <row r="223" spans="1:36" s="5" customForma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 s="3"/>
      <c r="AF223" s="14"/>
      <c r="AG223" s="14"/>
      <c r="AH223" s="14"/>
      <c r="AI223" s="14"/>
      <c r="AJ223" s="14"/>
    </row>
    <row r="224" spans="1:36" s="5" customForma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 s="3"/>
      <c r="AF224" s="14"/>
      <c r="AG224" s="14"/>
      <c r="AH224" s="14"/>
      <c r="AI224" s="14"/>
      <c r="AJ224" s="14"/>
    </row>
    <row r="225" spans="1:36" s="5" customForma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 s="3"/>
      <c r="AF225" s="14"/>
      <c r="AG225" s="14"/>
      <c r="AH225" s="14"/>
      <c r="AI225" s="14"/>
      <c r="AJ225" s="14"/>
    </row>
    <row r="226" spans="1:36" s="5" customForma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 s="3"/>
      <c r="AF226" s="14"/>
      <c r="AG226" s="14"/>
      <c r="AH226" s="14"/>
      <c r="AI226" s="14"/>
      <c r="AJ226" s="14"/>
    </row>
    <row r="227" spans="1:36" s="5" customForma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 s="3"/>
      <c r="AF227" s="14"/>
      <c r="AG227" s="14"/>
      <c r="AH227" s="14"/>
      <c r="AI227" s="14"/>
      <c r="AJ227" s="14"/>
    </row>
    <row r="228" spans="1:36" s="5" customForma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 s="3"/>
      <c r="AF228" s="14"/>
      <c r="AG228" s="14"/>
      <c r="AH228" s="14"/>
      <c r="AI228" s="14"/>
      <c r="AJ228" s="14"/>
    </row>
    <row r="229" spans="1:36" s="5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 s="3"/>
      <c r="AF229" s="14"/>
      <c r="AG229" s="14"/>
      <c r="AH229" s="14"/>
      <c r="AI229" s="14"/>
      <c r="AJ229" s="14"/>
    </row>
    <row r="230" spans="1:36" s="5" customForma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 s="3"/>
      <c r="AF230" s="14"/>
      <c r="AG230" s="14"/>
      <c r="AH230" s="14"/>
      <c r="AI230" s="14"/>
      <c r="AJ230" s="14"/>
    </row>
    <row r="231" spans="1:36" s="5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 s="3"/>
      <c r="AF231" s="14"/>
      <c r="AG231" s="14"/>
      <c r="AH231" s="14"/>
      <c r="AI231" s="14"/>
      <c r="AJ231" s="14"/>
    </row>
    <row r="232" spans="1:36" s="5" customForma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 s="3"/>
      <c r="AF232" s="14"/>
      <c r="AG232" s="14"/>
      <c r="AH232" s="14"/>
      <c r="AI232" s="14"/>
      <c r="AJ232" s="14"/>
    </row>
    <row r="233" spans="1:36" s="5" customForma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 s="3"/>
      <c r="AF233" s="14"/>
      <c r="AG233" s="14"/>
      <c r="AH233" s="14"/>
      <c r="AI233" s="14"/>
      <c r="AJ233" s="14"/>
    </row>
    <row r="234" spans="1:36" s="5" customForma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 s="3"/>
      <c r="AF234" s="14"/>
      <c r="AG234" s="14"/>
      <c r="AH234" s="14"/>
      <c r="AI234" s="14"/>
      <c r="AJ234" s="14"/>
    </row>
    <row r="235" spans="1:36" s="5" customForma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 s="3"/>
      <c r="AF235" s="14"/>
      <c r="AG235" s="14"/>
      <c r="AH235" s="14"/>
      <c r="AI235" s="14"/>
      <c r="AJ235" s="14"/>
    </row>
    <row r="236" spans="1:36" s="5" customForma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 s="3"/>
      <c r="AF236" s="14"/>
      <c r="AG236" s="14"/>
      <c r="AH236" s="14"/>
      <c r="AI236" s="14"/>
      <c r="AJ236" s="14"/>
    </row>
    <row r="237" spans="1:36" s="5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 s="3"/>
      <c r="AF237" s="14"/>
      <c r="AG237" s="14"/>
      <c r="AH237" s="14"/>
      <c r="AI237" s="14"/>
      <c r="AJ237" s="14"/>
    </row>
    <row r="238" spans="1:36" s="5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 s="3"/>
      <c r="AF238" s="14"/>
      <c r="AG238" s="14"/>
      <c r="AH238" s="14"/>
      <c r="AI238" s="14"/>
      <c r="AJ238" s="14"/>
    </row>
    <row r="239" spans="1:36" s="5" customForma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 s="3"/>
      <c r="AF239" s="14"/>
      <c r="AG239" s="14"/>
      <c r="AH239" s="14"/>
      <c r="AI239" s="14"/>
      <c r="AJ239" s="14"/>
    </row>
    <row r="240" spans="1:36" s="5" customForma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 s="3"/>
      <c r="AF240" s="14"/>
      <c r="AG240" s="14"/>
      <c r="AH240" s="14"/>
      <c r="AI240" s="14"/>
      <c r="AJ240" s="14"/>
    </row>
    <row r="241" spans="1:36" s="5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 s="3"/>
      <c r="AF241" s="14"/>
      <c r="AG241" s="14"/>
      <c r="AH241" s="14"/>
      <c r="AI241" s="14"/>
      <c r="AJ241" s="14"/>
    </row>
    <row r="242" spans="1:36" s="5" customForma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 s="3"/>
      <c r="AF242" s="14"/>
      <c r="AG242" s="14"/>
      <c r="AH242" s="14"/>
      <c r="AI242" s="14"/>
      <c r="AJ242" s="14"/>
    </row>
    <row r="243" spans="1:36" s="5" customForma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 s="3"/>
      <c r="AF243" s="14"/>
      <c r="AG243" s="14"/>
      <c r="AH243" s="14"/>
      <c r="AI243" s="14"/>
      <c r="AJ243" s="14"/>
    </row>
    <row r="244" spans="1:36" s="5" customForma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 s="3"/>
      <c r="AF244" s="14"/>
      <c r="AG244" s="14"/>
      <c r="AH244" s="14"/>
      <c r="AI244" s="14"/>
      <c r="AJ244" s="14"/>
    </row>
    <row r="245" spans="1:36" s="5" customForma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 s="3"/>
      <c r="AF245" s="14"/>
      <c r="AG245" s="14"/>
      <c r="AH245" s="14"/>
      <c r="AI245" s="14"/>
      <c r="AJ245" s="14"/>
    </row>
    <row r="246" spans="1:36" s="5" customForma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 s="3"/>
      <c r="AF246" s="14"/>
      <c r="AG246" s="14"/>
      <c r="AH246" s="14"/>
      <c r="AI246" s="14"/>
      <c r="AJ246" s="14"/>
    </row>
    <row r="247" spans="1:36" s="5" customForma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 s="3"/>
      <c r="AF247" s="14"/>
      <c r="AG247" s="14"/>
      <c r="AH247" s="14"/>
      <c r="AI247" s="14"/>
      <c r="AJ247" s="14"/>
    </row>
    <row r="248" spans="1:36" s="5" customForma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 s="3"/>
      <c r="AF248" s="14"/>
      <c r="AG248" s="14"/>
      <c r="AH248" s="14"/>
      <c r="AI248" s="14"/>
      <c r="AJ248" s="14"/>
    </row>
    <row r="249" spans="1:36" s="5" customForma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 s="3"/>
      <c r="AF249" s="14"/>
      <c r="AG249" s="14"/>
      <c r="AH249" s="14"/>
      <c r="AI249" s="14"/>
      <c r="AJ249" s="14"/>
    </row>
    <row r="250" spans="1:36" s="5" customForma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 s="3"/>
      <c r="AF250" s="14"/>
      <c r="AG250" s="14"/>
      <c r="AH250" s="14"/>
      <c r="AI250" s="14"/>
      <c r="AJ250" s="14"/>
    </row>
    <row r="251" spans="1:36" s="5" customForma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 s="3"/>
      <c r="AF251" s="14"/>
      <c r="AG251" s="14"/>
      <c r="AH251" s="14"/>
      <c r="AI251" s="14"/>
      <c r="AJ251" s="14"/>
    </row>
    <row r="252" spans="1:36" s="5" customForma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 s="3"/>
      <c r="AF252" s="14"/>
      <c r="AG252" s="14"/>
      <c r="AH252" s="14"/>
      <c r="AI252" s="14"/>
      <c r="AJ252" s="14"/>
    </row>
    <row r="253" spans="1:36" s="5" customForma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 s="3"/>
      <c r="AF253" s="14"/>
      <c r="AG253" s="14"/>
      <c r="AH253" s="14"/>
      <c r="AI253" s="14"/>
      <c r="AJ253" s="14"/>
    </row>
    <row r="254" spans="1:36" s="5" customForma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 s="3"/>
      <c r="AF254" s="14"/>
      <c r="AG254" s="14"/>
      <c r="AH254" s="14"/>
      <c r="AI254" s="14"/>
      <c r="AJ254" s="14"/>
    </row>
    <row r="255" spans="1:36" s="5" customForma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 s="3"/>
      <c r="AF255" s="14"/>
      <c r="AG255" s="14"/>
      <c r="AH255" s="14"/>
      <c r="AI255" s="14"/>
      <c r="AJ255" s="14"/>
    </row>
    <row r="256" spans="1:36" s="5" customForma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 s="3"/>
      <c r="AF256" s="14"/>
      <c r="AG256" s="14"/>
      <c r="AH256" s="14"/>
      <c r="AI256" s="14"/>
      <c r="AJ256" s="14"/>
    </row>
    <row r="257" spans="1:36" s="5" customForma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 s="3"/>
      <c r="AF257" s="14"/>
      <c r="AG257" s="14"/>
      <c r="AH257" s="14"/>
      <c r="AI257" s="14"/>
      <c r="AJ257" s="14"/>
    </row>
    <row r="258" spans="1:36" s="5" customForma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 s="3"/>
      <c r="AF258" s="14"/>
      <c r="AG258" s="14"/>
      <c r="AH258" s="14"/>
      <c r="AI258" s="14"/>
      <c r="AJ258" s="14"/>
    </row>
    <row r="259" spans="1:36" s="5" customForma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 s="3"/>
      <c r="AF259" s="14"/>
      <c r="AG259" s="14"/>
      <c r="AH259" s="14"/>
      <c r="AI259" s="14"/>
      <c r="AJ259" s="14"/>
    </row>
    <row r="260" spans="1:36" s="5" customForma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 s="3"/>
      <c r="AF260" s="14"/>
      <c r="AG260" s="14"/>
      <c r="AH260" s="14"/>
      <c r="AI260" s="14"/>
      <c r="AJ260" s="14"/>
    </row>
    <row r="261" spans="1:36" s="5" customForma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 s="3"/>
      <c r="AF261" s="14"/>
      <c r="AG261" s="14"/>
      <c r="AH261" s="14"/>
      <c r="AI261" s="14"/>
      <c r="AJ261" s="14"/>
    </row>
    <row r="262" spans="1:36" s="5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 s="3"/>
      <c r="AF262" s="14"/>
      <c r="AG262" s="14"/>
      <c r="AH262" s="14"/>
      <c r="AI262" s="14"/>
      <c r="AJ262" s="14"/>
    </row>
    <row r="263" spans="1:36" s="5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 s="3"/>
      <c r="AF263" s="14"/>
      <c r="AG263" s="14"/>
      <c r="AH263" s="14"/>
      <c r="AI263" s="14"/>
      <c r="AJ263" s="14"/>
    </row>
    <row r="264" spans="1:36" s="5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 s="3"/>
      <c r="AF264" s="14"/>
      <c r="AG264" s="14"/>
      <c r="AH264" s="14"/>
      <c r="AI264" s="14"/>
      <c r="AJ264" s="14"/>
    </row>
    <row r="265" spans="1:36" s="5" customFormat="1" x14ac:dyDescent="0.25">
      <c r="A265"/>
      <c r="B265"/>
      <c r="C265" s="1"/>
      <c r="D265" s="1"/>
      <c r="E265" s="1"/>
      <c r="F265" s="1"/>
      <c r="G265" s="1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 s="3"/>
      <c r="AF265" s="14"/>
      <c r="AG265" s="14"/>
      <c r="AH265" s="14"/>
      <c r="AI265" s="14"/>
      <c r="AJ265" s="14"/>
    </row>
    <row r="266" spans="1:36" s="5" customFormat="1" x14ac:dyDescent="0.25">
      <c r="A266"/>
      <c r="B266"/>
      <c r="C266" s="1"/>
      <c r="D266" s="1"/>
      <c r="E266" s="1"/>
      <c r="F266" s="1"/>
      <c r="G266" s="1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 s="3"/>
      <c r="AF266" s="14"/>
      <c r="AG266" s="14"/>
      <c r="AH266" s="14"/>
      <c r="AI266" s="14"/>
      <c r="AJ266" s="14"/>
    </row>
    <row r="267" spans="1:36" s="5" customFormat="1" x14ac:dyDescent="0.25">
      <c r="A267"/>
      <c r="B267"/>
      <c r="C267" s="1"/>
      <c r="D267" s="1"/>
      <c r="E267" s="1"/>
      <c r="F267" s="1"/>
      <c r="G267" s="1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 s="3"/>
      <c r="AF267" s="14"/>
      <c r="AG267" s="14"/>
      <c r="AH267" s="14"/>
      <c r="AI267" s="14"/>
      <c r="AJ267" s="14"/>
    </row>
    <row r="268" spans="1:36" s="5" customFormat="1" x14ac:dyDescent="0.25">
      <c r="A268"/>
      <c r="B268"/>
      <c r="C268" s="1"/>
      <c r="D268" s="1"/>
      <c r="E268" s="1"/>
      <c r="F268" s="1"/>
      <c r="G268" s="1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 s="3"/>
      <c r="AF268" s="14"/>
      <c r="AG268" s="14"/>
      <c r="AH268" s="14"/>
      <c r="AI268" s="14"/>
      <c r="AJ268" s="14"/>
    </row>
    <row r="269" spans="1:36" s="5" customFormat="1" x14ac:dyDescent="0.25">
      <c r="A269"/>
      <c r="B269"/>
      <c r="C269" s="1"/>
      <c r="D269" s="1"/>
      <c r="E269" s="1"/>
      <c r="F269" s="1"/>
      <c r="G269" s="1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 s="3"/>
      <c r="AF269" s="14"/>
      <c r="AG269" s="14"/>
      <c r="AH269" s="14"/>
      <c r="AI269" s="14"/>
      <c r="AJ269" s="14"/>
    </row>
    <row r="270" spans="1:36" s="5" customFormat="1" x14ac:dyDescent="0.25">
      <c r="A270"/>
      <c r="B270"/>
      <c r="C270" s="1"/>
      <c r="D270" s="1"/>
      <c r="E270" s="1"/>
      <c r="F270" s="1"/>
      <c r="G270" s="1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 s="3"/>
      <c r="AF270" s="14"/>
      <c r="AG270" s="14"/>
      <c r="AH270" s="14"/>
      <c r="AI270" s="14"/>
      <c r="AJ270" s="14"/>
    </row>
    <row r="271" spans="1:36" s="5" customFormat="1" x14ac:dyDescent="0.25">
      <c r="A271"/>
      <c r="B271"/>
      <c r="C271" s="1"/>
      <c r="D271" s="1"/>
      <c r="E271" s="1"/>
      <c r="F271" s="1"/>
      <c r="G271" s="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 s="3"/>
      <c r="AF271" s="14"/>
      <c r="AG271" s="14"/>
      <c r="AH271" s="14"/>
      <c r="AI271" s="14"/>
      <c r="AJ271" s="14"/>
    </row>
    <row r="272" spans="1:36" s="5" customFormat="1" x14ac:dyDescent="0.25">
      <c r="A272"/>
      <c r="B272"/>
      <c r="C272" s="1"/>
      <c r="D272" s="1"/>
      <c r="E272" s="1"/>
      <c r="F272" s="1"/>
      <c r="G272" s="1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 s="3"/>
      <c r="AF272" s="14"/>
      <c r="AG272" s="14"/>
      <c r="AH272" s="14"/>
      <c r="AI272" s="14"/>
      <c r="AJ272" s="14"/>
    </row>
    <row r="273" spans="1:36" s="5" customFormat="1" x14ac:dyDescent="0.25">
      <c r="A273"/>
      <c r="B273"/>
      <c r="C273" s="1"/>
      <c r="D273" s="1"/>
      <c r="E273" s="1"/>
      <c r="F273" s="1"/>
      <c r="G273" s="1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 s="3"/>
      <c r="AF273" s="14"/>
      <c r="AG273" s="14"/>
      <c r="AH273" s="14"/>
      <c r="AI273" s="14"/>
      <c r="AJ273" s="14"/>
    </row>
    <row r="274" spans="1:36" s="5" customFormat="1" x14ac:dyDescent="0.25">
      <c r="A274"/>
      <c r="B274"/>
      <c r="C274" s="1"/>
      <c r="D274" s="1"/>
      <c r="E274" s="1"/>
      <c r="F274" s="1"/>
      <c r="G274" s="1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 s="3"/>
      <c r="AF274" s="14"/>
      <c r="AG274" s="14"/>
      <c r="AH274" s="14"/>
      <c r="AI274" s="14"/>
      <c r="AJ274" s="14"/>
    </row>
    <row r="275" spans="1:36" s="5" customFormat="1" x14ac:dyDescent="0.25">
      <c r="A275"/>
      <c r="B275"/>
      <c r="C275" s="1"/>
      <c r="D275" s="1"/>
      <c r="E275" s="1"/>
      <c r="F275" s="1"/>
      <c r="G275" s="1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 s="3"/>
      <c r="AF275" s="14"/>
      <c r="AG275" s="14"/>
      <c r="AH275" s="14"/>
      <c r="AI275" s="14"/>
      <c r="AJ275" s="14"/>
    </row>
    <row r="276" spans="1:36" s="5" customFormat="1" x14ac:dyDescent="0.25">
      <c r="A276"/>
      <c r="B276"/>
      <c r="C276" s="1"/>
      <c r="D276" s="1"/>
      <c r="E276" s="1"/>
      <c r="F276" s="1"/>
      <c r="G276" s="1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 s="3"/>
      <c r="AF276" s="14"/>
      <c r="AG276" s="14"/>
      <c r="AH276" s="14"/>
      <c r="AI276" s="14"/>
      <c r="AJ276" s="14"/>
    </row>
    <row r="277" spans="1:36" s="5" customFormat="1" x14ac:dyDescent="0.25">
      <c r="A277"/>
      <c r="B277"/>
      <c r="C277" s="1"/>
      <c r="D277" s="1"/>
      <c r="E277" s="1"/>
      <c r="F277" s="1"/>
      <c r="G277" s="1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 s="3"/>
      <c r="AF277" s="14"/>
      <c r="AG277" s="14"/>
      <c r="AH277" s="14"/>
      <c r="AI277" s="14"/>
      <c r="AJ277" s="14"/>
    </row>
    <row r="278" spans="1:36" s="5" customFormat="1" x14ac:dyDescent="0.25">
      <c r="A278"/>
      <c r="B278"/>
      <c r="C278" s="1"/>
      <c r="D278" s="1"/>
      <c r="E278" s="1"/>
      <c r="F278" s="1"/>
      <c r="G278" s="1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 s="3"/>
      <c r="AF278" s="14"/>
      <c r="AG278" s="14"/>
      <c r="AH278" s="14"/>
      <c r="AI278" s="14"/>
      <c r="AJ278" s="14"/>
    </row>
    <row r="279" spans="1:36" s="5" customFormat="1" x14ac:dyDescent="0.25">
      <c r="A279"/>
      <c r="B279"/>
      <c r="C279" s="1"/>
      <c r="D279" s="1"/>
      <c r="E279" s="1"/>
      <c r="F279" s="1"/>
      <c r="G279" s="1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 s="3"/>
      <c r="AF279" s="14"/>
      <c r="AG279" s="14"/>
      <c r="AH279" s="14"/>
      <c r="AI279" s="14"/>
      <c r="AJ279" s="14"/>
    </row>
    <row r="280" spans="1:36" s="5" customFormat="1" x14ac:dyDescent="0.25">
      <c r="A280"/>
      <c r="B280"/>
      <c r="C280" s="1"/>
      <c r="D280" s="1"/>
      <c r="E280" s="1"/>
      <c r="F280" s="1"/>
      <c r="G280" s="1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 s="3"/>
      <c r="AF280" s="14"/>
      <c r="AG280" s="14"/>
      <c r="AH280" s="14"/>
      <c r="AI280" s="14"/>
      <c r="AJ280" s="14"/>
    </row>
    <row r="281" spans="1:36" s="5" customFormat="1" x14ac:dyDescent="0.25">
      <c r="A281"/>
      <c r="B281"/>
      <c r="C281" s="1"/>
      <c r="D281" s="1"/>
      <c r="E281" s="1"/>
      <c r="F281" s="1"/>
      <c r="G281" s="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 s="3"/>
      <c r="AF281" s="14"/>
      <c r="AG281" s="14"/>
      <c r="AH281" s="14"/>
      <c r="AI281" s="14"/>
      <c r="AJ281" s="14"/>
    </row>
    <row r="282" spans="1:36" s="5" customFormat="1" x14ac:dyDescent="0.25">
      <c r="A282"/>
      <c r="B282"/>
      <c r="C282" s="1"/>
      <c r="D282" s="1"/>
      <c r="E282" s="1"/>
      <c r="F282" s="1"/>
      <c r="G282" s="1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 s="3"/>
      <c r="AF282" s="14"/>
      <c r="AG282" s="14"/>
      <c r="AH282" s="14"/>
      <c r="AI282" s="14"/>
      <c r="AJ282" s="14"/>
    </row>
    <row r="283" spans="1:36" s="5" customFormat="1" x14ac:dyDescent="0.25">
      <c r="A283"/>
      <c r="B283"/>
      <c r="C283" s="1"/>
      <c r="D283" s="1"/>
      <c r="E283" s="1"/>
      <c r="F283" s="1"/>
      <c r="G283" s="1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 s="3"/>
      <c r="AF283" s="14"/>
      <c r="AG283" s="14"/>
      <c r="AH283" s="14"/>
      <c r="AI283" s="14"/>
      <c r="AJ283" s="14"/>
    </row>
    <row r="284" spans="1:36" s="5" customFormat="1" x14ac:dyDescent="0.25">
      <c r="A284"/>
      <c r="B284"/>
      <c r="C284" s="1"/>
      <c r="D284" s="1"/>
      <c r="E284" s="1"/>
      <c r="F284" s="1"/>
      <c r="G284" s="1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 s="3"/>
      <c r="AF284" s="14"/>
      <c r="AG284" s="14"/>
      <c r="AH284" s="14"/>
      <c r="AI284" s="14"/>
      <c r="AJ284" s="14"/>
    </row>
    <row r="285" spans="1:36" s="5" customFormat="1" x14ac:dyDescent="0.25">
      <c r="A285"/>
      <c r="B285"/>
      <c r="C285" s="1"/>
      <c r="D285" s="1"/>
      <c r="E285" s="1"/>
      <c r="F285" s="1"/>
      <c r="G285" s="1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 s="3"/>
      <c r="AF285" s="14"/>
      <c r="AG285" s="14"/>
      <c r="AH285" s="14"/>
      <c r="AI285" s="14"/>
      <c r="AJ285" s="14"/>
    </row>
    <row r="286" spans="1:36" s="5" customFormat="1" x14ac:dyDescent="0.25">
      <c r="A286"/>
      <c r="B286"/>
      <c r="C286" s="1"/>
      <c r="D286" s="1"/>
      <c r="E286" s="1"/>
      <c r="F286" s="1"/>
      <c r="G286" s="1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 s="3"/>
      <c r="AF286" s="14"/>
      <c r="AG286" s="14"/>
      <c r="AH286" s="14"/>
      <c r="AI286" s="14"/>
      <c r="AJ286" s="14"/>
    </row>
    <row r="287" spans="1:36" s="5" customFormat="1" x14ac:dyDescent="0.25">
      <c r="A287"/>
      <c r="B287"/>
      <c r="C287" s="1"/>
      <c r="D287" s="1"/>
      <c r="E287" s="1"/>
      <c r="F287" s="1"/>
      <c r="G287" s="1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 s="3"/>
      <c r="AF287" s="14"/>
      <c r="AG287" s="14"/>
      <c r="AH287" s="14"/>
      <c r="AI287" s="14"/>
      <c r="AJ287" s="14"/>
    </row>
    <row r="288" spans="1:36" s="5" customFormat="1" x14ac:dyDescent="0.25">
      <c r="A288"/>
      <c r="B288"/>
      <c r="C288" s="1"/>
      <c r="D288" s="1"/>
      <c r="E288" s="1"/>
      <c r="F288" s="1"/>
      <c r="G288" s="1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 s="3"/>
      <c r="AF288" s="14"/>
      <c r="AG288" s="14"/>
      <c r="AH288" s="14"/>
      <c r="AI288" s="14"/>
      <c r="AJ288" s="14"/>
    </row>
    <row r="289" spans="1:36" s="5" customFormat="1" x14ac:dyDescent="0.25">
      <c r="A289"/>
      <c r="B289"/>
      <c r="C289" s="1"/>
      <c r="D289" s="1"/>
      <c r="E289" s="1"/>
      <c r="F289" s="1"/>
      <c r="G289" s="1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 s="3"/>
      <c r="AF289" s="14"/>
      <c r="AG289" s="14"/>
      <c r="AH289" s="14"/>
      <c r="AI289" s="14"/>
      <c r="AJ289" s="14"/>
    </row>
    <row r="290" spans="1:36" s="5" customFormat="1" x14ac:dyDescent="0.25">
      <c r="A290"/>
      <c r="B290"/>
      <c r="C290" s="1"/>
      <c r="D290" s="1"/>
      <c r="E290" s="1"/>
      <c r="F290" s="1"/>
      <c r="G290" s="1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 s="3"/>
      <c r="AF290" s="14"/>
      <c r="AG290" s="14"/>
      <c r="AH290" s="14"/>
      <c r="AI290" s="14"/>
      <c r="AJ290" s="14"/>
    </row>
    <row r="291" spans="1:36" s="5" customFormat="1" x14ac:dyDescent="0.25">
      <c r="A291"/>
      <c r="B291"/>
      <c r="C291" s="1"/>
      <c r="D291" s="1"/>
      <c r="E291" s="1"/>
      <c r="F291" s="1"/>
      <c r="G291" s="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 s="3"/>
      <c r="AF291" s="14"/>
      <c r="AG291" s="14"/>
      <c r="AH291" s="14"/>
      <c r="AI291" s="14"/>
      <c r="AJ291" s="14"/>
    </row>
    <row r="292" spans="1:36" s="5" customFormat="1" x14ac:dyDescent="0.25">
      <c r="A292"/>
      <c r="B292"/>
      <c r="C292" s="1"/>
      <c r="D292" s="1"/>
      <c r="E292" s="1"/>
      <c r="F292" s="1"/>
      <c r="G292" s="1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 s="3"/>
      <c r="AF292" s="14"/>
      <c r="AG292" s="14"/>
      <c r="AH292" s="14"/>
      <c r="AI292" s="14"/>
      <c r="AJ292" s="14"/>
    </row>
    <row r="293" spans="1:36" s="5" customFormat="1" x14ac:dyDescent="0.25">
      <c r="A293"/>
      <c r="B293"/>
      <c r="C293" s="1"/>
      <c r="D293" s="1"/>
      <c r="E293" s="1"/>
      <c r="F293" s="1"/>
      <c r="G293" s="1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 s="3"/>
      <c r="AF293" s="14"/>
      <c r="AG293" s="14"/>
      <c r="AH293" s="14"/>
      <c r="AI293" s="14"/>
      <c r="AJ293" s="14"/>
    </row>
    <row r="294" spans="1:36" s="5" customFormat="1" x14ac:dyDescent="0.25">
      <c r="A294"/>
      <c r="B294"/>
      <c r="C294" s="1"/>
      <c r="D294" s="1"/>
      <c r="E294" s="1"/>
      <c r="F294" s="1"/>
      <c r="G294" s="1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 s="3"/>
      <c r="AF294" s="14"/>
      <c r="AG294" s="14"/>
      <c r="AH294" s="14"/>
      <c r="AI294" s="14"/>
      <c r="AJ294" s="14"/>
    </row>
    <row r="295" spans="1:36" s="5" customFormat="1" x14ac:dyDescent="0.25">
      <c r="A295"/>
      <c r="B295"/>
      <c r="C295" s="1"/>
      <c r="D295" s="1"/>
      <c r="E295" s="1"/>
      <c r="F295" s="1"/>
      <c r="G295" s="1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 s="3"/>
      <c r="AF295" s="14"/>
      <c r="AG295" s="14"/>
      <c r="AH295" s="14"/>
      <c r="AI295" s="14"/>
      <c r="AJ295" s="14"/>
    </row>
    <row r="296" spans="1:36" s="5" customFormat="1" x14ac:dyDescent="0.25">
      <c r="A296"/>
      <c r="B296"/>
      <c r="C296" s="1"/>
      <c r="D296" s="1"/>
      <c r="E296" s="1"/>
      <c r="F296" s="1"/>
      <c r="G296" s="1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 s="3"/>
      <c r="AF296" s="14"/>
      <c r="AG296" s="14"/>
      <c r="AH296" s="14"/>
      <c r="AI296" s="14"/>
      <c r="AJ296" s="14"/>
    </row>
    <row r="297" spans="1:36" s="5" customFormat="1" x14ac:dyDescent="0.25">
      <c r="A297"/>
      <c r="B297"/>
      <c r="C297" s="1"/>
      <c r="D297" s="1"/>
      <c r="E297" s="1"/>
      <c r="F297" s="1"/>
      <c r="G297" s="1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 s="3"/>
      <c r="AF297" s="14"/>
      <c r="AG297" s="14"/>
      <c r="AH297" s="14"/>
      <c r="AI297" s="14"/>
      <c r="AJ297" s="14"/>
    </row>
    <row r="298" spans="1:36" s="5" customFormat="1" x14ac:dyDescent="0.25">
      <c r="A298"/>
      <c r="B298"/>
      <c r="C298" s="1"/>
      <c r="D298" s="1"/>
      <c r="E298" s="1"/>
      <c r="F298" s="1"/>
      <c r="G298" s="1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 s="3"/>
      <c r="AF298" s="14"/>
      <c r="AG298" s="14"/>
      <c r="AH298" s="14"/>
      <c r="AI298" s="14"/>
      <c r="AJ298" s="14"/>
    </row>
    <row r="299" spans="1:36" s="5" customFormat="1" x14ac:dyDescent="0.25">
      <c r="A299"/>
      <c r="B299"/>
      <c r="C299" s="1"/>
      <c r="D299" s="1"/>
      <c r="E299" s="1"/>
      <c r="F299" s="1"/>
      <c r="G299" s="1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 s="3"/>
      <c r="AF299" s="14"/>
      <c r="AG299" s="14"/>
      <c r="AH299" s="14"/>
      <c r="AI299" s="14"/>
      <c r="AJ299" s="14"/>
    </row>
    <row r="300" spans="1:36" s="5" customFormat="1" x14ac:dyDescent="0.25">
      <c r="A300"/>
      <c r="B300"/>
      <c r="C300" s="1"/>
      <c r="D300" s="1"/>
      <c r="E300" s="1"/>
      <c r="F300" s="1"/>
      <c r="G300" s="1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 s="3"/>
      <c r="AF300" s="14"/>
      <c r="AG300" s="14"/>
      <c r="AH300" s="14"/>
      <c r="AI300" s="14"/>
      <c r="AJ300" s="14"/>
    </row>
    <row r="301" spans="1:36" s="5" customFormat="1" x14ac:dyDescent="0.25">
      <c r="A301"/>
      <c r="B301"/>
      <c r="C301" s="1"/>
      <c r="D301" s="1"/>
      <c r="E301" s="1"/>
      <c r="F301" s="1"/>
      <c r="G301" s="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 s="3"/>
      <c r="AF301" s="14"/>
      <c r="AG301" s="14"/>
      <c r="AH301" s="14"/>
      <c r="AI301" s="14"/>
      <c r="AJ301" s="14"/>
    </row>
    <row r="302" spans="1:36" s="5" customFormat="1" x14ac:dyDescent="0.25">
      <c r="A302"/>
      <c r="B302"/>
      <c r="C302" s="1"/>
      <c r="D302" s="1"/>
      <c r="E302" s="1"/>
      <c r="F302" s="1"/>
      <c r="G302" s="1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 s="3"/>
      <c r="AF302" s="14"/>
      <c r="AG302" s="14"/>
      <c r="AH302" s="14"/>
      <c r="AI302" s="14"/>
      <c r="AJ302" s="14"/>
    </row>
    <row r="303" spans="1:36" s="5" customFormat="1" x14ac:dyDescent="0.25">
      <c r="A303"/>
      <c r="B303"/>
      <c r="C303" s="1"/>
      <c r="D303" s="1"/>
      <c r="E303" s="1"/>
      <c r="F303" s="1"/>
      <c r="G303" s="1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 s="3"/>
      <c r="AF303" s="14"/>
      <c r="AG303" s="14"/>
      <c r="AH303" s="14"/>
      <c r="AI303" s="14"/>
      <c r="AJ303" s="14"/>
    </row>
    <row r="304" spans="1:36" s="5" customFormat="1" x14ac:dyDescent="0.25">
      <c r="A304"/>
      <c r="B304"/>
      <c r="C304" s="1"/>
      <c r="D304" s="1"/>
      <c r="E304" s="1"/>
      <c r="F304" s="1"/>
      <c r="G304" s="1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 s="3"/>
      <c r="AF304" s="14"/>
      <c r="AG304" s="14"/>
      <c r="AH304" s="14"/>
      <c r="AI304" s="14"/>
      <c r="AJ304" s="14"/>
    </row>
    <row r="305" spans="1:36" s="5" customFormat="1" x14ac:dyDescent="0.25">
      <c r="A305"/>
      <c r="B305"/>
      <c r="C305" s="1"/>
      <c r="D305" s="1"/>
      <c r="E305" s="1"/>
      <c r="F305" s="1"/>
      <c r="G305" s="1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 s="3"/>
      <c r="AF305" s="14"/>
      <c r="AG305" s="14"/>
      <c r="AH305" s="14"/>
      <c r="AI305" s="14"/>
      <c r="AJ305" s="14"/>
    </row>
    <row r="306" spans="1:36" s="5" customFormat="1" x14ac:dyDescent="0.25">
      <c r="A306"/>
      <c r="B306"/>
      <c r="C306" s="1"/>
      <c r="D306" s="1"/>
      <c r="E306" s="1"/>
      <c r="F306" s="1"/>
      <c r="G306" s="1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 s="3"/>
      <c r="AF306" s="14"/>
      <c r="AG306" s="14"/>
      <c r="AH306" s="14"/>
      <c r="AI306" s="14"/>
      <c r="AJ306" s="14"/>
    </row>
    <row r="307" spans="1:36" s="5" customFormat="1" x14ac:dyDescent="0.25">
      <c r="A307"/>
      <c r="B307"/>
      <c r="C307" s="1"/>
      <c r="D307" s="1"/>
      <c r="E307" s="1"/>
      <c r="F307" s="1"/>
      <c r="G307" s="1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 s="3"/>
      <c r="AF307" s="14"/>
      <c r="AG307" s="14"/>
      <c r="AH307" s="14"/>
      <c r="AI307" s="14"/>
      <c r="AJ307" s="14"/>
    </row>
    <row r="308" spans="1:36" s="5" customFormat="1" x14ac:dyDescent="0.25">
      <c r="A308"/>
      <c r="B308"/>
      <c r="C308" s="1"/>
      <c r="D308" s="1"/>
      <c r="E308" s="1"/>
      <c r="F308" s="1"/>
      <c r="G308" s="1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 s="3"/>
      <c r="AF308" s="14"/>
      <c r="AG308" s="14"/>
      <c r="AH308" s="14"/>
      <c r="AI308" s="14"/>
      <c r="AJ308" s="14"/>
    </row>
    <row r="309" spans="1:36" s="5" customFormat="1" x14ac:dyDescent="0.25">
      <c r="A309"/>
      <c r="B309"/>
      <c r="C309" s="1"/>
      <c r="D309" s="1"/>
      <c r="E309" s="1"/>
      <c r="F309" s="1"/>
      <c r="G309" s="1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 s="3"/>
      <c r="AF309" s="14"/>
      <c r="AG309" s="14"/>
      <c r="AH309" s="14"/>
      <c r="AI309" s="14"/>
      <c r="AJ309" s="14"/>
    </row>
    <row r="310" spans="1:36" s="5" customFormat="1" x14ac:dyDescent="0.25">
      <c r="A310"/>
      <c r="B310"/>
      <c r="C310" s="1"/>
      <c r="D310" s="1"/>
      <c r="E310" s="1"/>
      <c r="F310" s="1"/>
      <c r="G310" s="1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 s="3"/>
      <c r="AF310" s="14"/>
      <c r="AG310" s="14"/>
      <c r="AH310" s="14"/>
      <c r="AI310" s="14"/>
      <c r="AJ310" s="14"/>
    </row>
    <row r="311" spans="1:36" s="5" customFormat="1" x14ac:dyDescent="0.25">
      <c r="A311"/>
      <c r="B311"/>
      <c r="C311" s="1"/>
      <c r="D311" s="1"/>
      <c r="E311" s="1"/>
      <c r="F311" s="1"/>
      <c r="G311" s="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 s="3"/>
      <c r="AF311" s="14"/>
      <c r="AG311" s="14"/>
      <c r="AH311" s="14"/>
      <c r="AI311" s="14"/>
      <c r="AJ311" s="14"/>
    </row>
    <row r="312" spans="1:36" s="5" customFormat="1" x14ac:dyDescent="0.25">
      <c r="A312"/>
      <c r="B312"/>
      <c r="C312" s="1"/>
      <c r="D312" s="1"/>
      <c r="E312" s="1"/>
      <c r="F312" s="1"/>
      <c r="G312" s="1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 s="3"/>
      <c r="AF312" s="14"/>
      <c r="AG312" s="14"/>
      <c r="AH312" s="14"/>
      <c r="AI312" s="14"/>
      <c r="AJ312" s="14"/>
    </row>
    <row r="313" spans="1:36" s="5" customFormat="1" x14ac:dyDescent="0.25">
      <c r="A313"/>
      <c r="B313"/>
      <c r="C313" s="1"/>
      <c r="D313" s="1"/>
      <c r="E313" s="1"/>
      <c r="F313" s="1"/>
      <c r="G313" s="1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 s="3"/>
      <c r="AF313" s="14"/>
      <c r="AG313" s="14"/>
      <c r="AH313" s="14"/>
      <c r="AI313" s="14"/>
      <c r="AJ313" s="14"/>
    </row>
    <row r="314" spans="1:36" s="5" customFormat="1" x14ac:dyDescent="0.25">
      <c r="A314"/>
      <c r="B314"/>
      <c r="C314" s="1"/>
      <c r="D314" s="1"/>
      <c r="E314" s="1"/>
      <c r="F314" s="1"/>
      <c r="G314" s="1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 s="3"/>
      <c r="AF314" s="14"/>
      <c r="AG314" s="14"/>
      <c r="AH314" s="14"/>
      <c r="AI314" s="14"/>
      <c r="AJ314" s="14"/>
    </row>
    <row r="315" spans="1:36" s="5" customFormat="1" x14ac:dyDescent="0.25">
      <c r="A315"/>
      <c r="B315"/>
      <c r="C315" s="1"/>
      <c r="D315" s="1"/>
      <c r="E315" s="1"/>
      <c r="F315" s="1"/>
      <c r="G315" s="1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 s="3"/>
      <c r="AF315" s="14"/>
      <c r="AG315" s="14"/>
      <c r="AH315" s="14"/>
      <c r="AI315" s="14"/>
      <c r="AJ315" s="14"/>
    </row>
    <row r="316" spans="1:36" s="5" customFormat="1" x14ac:dyDescent="0.25">
      <c r="A316"/>
      <c r="B316"/>
      <c r="C316" s="1"/>
      <c r="D316" s="1"/>
      <c r="E316" s="1"/>
      <c r="F316" s="1"/>
      <c r="G316" s="1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 s="3"/>
      <c r="AF316" s="14"/>
      <c r="AG316" s="14"/>
      <c r="AH316" s="14"/>
      <c r="AI316" s="14"/>
      <c r="AJ316" s="14"/>
    </row>
    <row r="317" spans="1:36" s="5" customFormat="1" x14ac:dyDescent="0.25">
      <c r="A317"/>
      <c r="B317"/>
      <c r="C317" s="1"/>
      <c r="D317" s="1"/>
      <c r="E317" s="1"/>
      <c r="F317" s="1"/>
      <c r="G317" s="1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 s="3"/>
      <c r="AF317" s="14"/>
      <c r="AG317" s="14"/>
      <c r="AH317" s="14"/>
      <c r="AI317" s="14"/>
      <c r="AJ317" s="14"/>
    </row>
    <row r="318" spans="1:36" s="5" customFormat="1" x14ac:dyDescent="0.25">
      <c r="A318"/>
      <c r="B318"/>
      <c r="C318" s="1"/>
      <c r="D318" s="1"/>
      <c r="E318" s="1"/>
      <c r="F318" s="1"/>
      <c r="G318" s="1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 s="3"/>
      <c r="AF318" s="14"/>
      <c r="AG318" s="14"/>
      <c r="AH318" s="14"/>
      <c r="AI318" s="14"/>
      <c r="AJ318" s="14"/>
    </row>
    <row r="319" spans="1:36" s="5" customFormat="1" x14ac:dyDescent="0.25">
      <c r="A319"/>
      <c r="B319"/>
      <c r="C319" s="1"/>
      <c r="D319" s="1"/>
      <c r="E319" s="1"/>
      <c r="F319" s="1"/>
      <c r="G319" s="1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 s="3"/>
      <c r="AF319" s="14"/>
      <c r="AG319" s="14"/>
      <c r="AH319" s="14"/>
      <c r="AI319" s="14"/>
      <c r="AJ319" s="14"/>
    </row>
    <row r="320" spans="1:36" s="5" customFormat="1" x14ac:dyDescent="0.25">
      <c r="A320"/>
      <c r="B320"/>
      <c r="C320" s="1"/>
      <c r="D320" s="1"/>
      <c r="E320" s="1"/>
      <c r="F320" s="1"/>
      <c r="G320" s="1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 s="3"/>
      <c r="AF320" s="14"/>
      <c r="AG320" s="14"/>
      <c r="AH320" s="14"/>
      <c r="AI320" s="14"/>
      <c r="AJ320" s="14"/>
    </row>
    <row r="321" spans="1:36" s="5" customFormat="1" x14ac:dyDescent="0.25">
      <c r="A321"/>
      <c r="B321"/>
      <c r="C321" s="1"/>
      <c r="D321" s="1"/>
      <c r="E321" s="1"/>
      <c r="F321" s="1"/>
      <c r="G321" s="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 s="3"/>
      <c r="AF321" s="14"/>
      <c r="AG321" s="14"/>
      <c r="AH321" s="14"/>
      <c r="AI321" s="14"/>
      <c r="AJ321" s="14"/>
    </row>
    <row r="322" spans="1:36" s="5" customFormat="1" x14ac:dyDescent="0.25">
      <c r="A322"/>
      <c r="B322"/>
      <c r="C322" s="1"/>
      <c r="D322" s="1"/>
      <c r="E322" s="1"/>
      <c r="F322" s="1"/>
      <c r="G322" s="1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 s="3"/>
      <c r="AF322" s="14"/>
      <c r="AG322" s="14"/>
      <c r="AH322" s="14"/>
      <c r="AI322" s="14"/>
      <c r="AJ322" s="14"/>
    </row>
    <row r="323" spans="1:36" s="5" customFormat="1" x14ac:dyDescent="0.25">
      <c r="A323"/>
      <c r="B323"/>
      <c r="C323" s="1"/>
      <c r="D323" s="1"/>
      <c r="E323" s="1"/>
      <c r="F323" s="1"/>
      <c r="G323" s="1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 s="3"/>
      <c r="AF323" s="14"/>
      <c r="AG323" s="14"/>
      <c r="AH323" s="14"/>
      <c r="AI323" s="14"/>
      <c r="AJ323" s="14"/>
    </row>
    <row r="324" spans="1:36" s="5" customFormat="1" x14ac:dyDescent="0.25">
      <c r="A324"/>
      <c r="B324"/>
      <c r="C324" s="1"/>
      <c r="D324" s="1"/>
      <c r="E324" s="1"/>
      <c r="F324" s="1"/>
      <c r="G324" s="1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 s="3"/>
      <c r="AF324" s="14"/>
      <c r="AG324" s="14"/>
      <c r="AH324" s="14"/>
      <c r="AI324" s="14"/>
      <c r="AJ324" s="14"/>
    </row>
    <row r="325" spans="1:36" s="5" customFormat="1" x14ac:dyDescent="0.25">
      <c r="A325"/>
      <c r="B325"/>
      <c r="C325" s="1"/>
      <c r="D325" s="1"/>
      <c r="E325" s="1"/>
      <c r="F325" s="1"/>
      <c r="G325" s="1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 s="3"/>
      <c r="AF325" s="14"/>
      <c r="AG325" s="14"/>
      <c r="AH325" s="14"/>
      <c r="AI325" s="14"/>
      <c r="AJ325" s="14"/>
    </row>
    <row r="326" spans="1:36" s="5" customFormat="1" x14ac:dyDescent="0.25">
      <c r="A326"/>
      <c r="B326"/>
      <c r="C326" s="1"/>
      <c r="D326" s="1"/>
      <c r="E326" s="1"/>
      <c r="F326" s="1"/>
      <c r="G326" s="1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 s="3"/>
      <c r="AF326" s="14"/>
      <c r="AG326" s="14"/>
      <c r="AH326" s="14"/>
      <c r="AI326" s="14"/>
      <c r="AJ326" s="14"/>
    </row>
    <row r="327" spans="1:36" s="5" customFormat="1" x14ac:dyDescent="0.25">
      <c r="A327"/>
      <c r="B327"/>
      <c r="C327" s="1"/>
      <c r="D327" s="1"/>
      <c r="E327" s="1"/>
      <c r="F327" s="1"/>
      <c r="G327" s="1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 s="3"/>
      <c r="AF327" s="14"/>
      <c r="AG327" s="14"/>
      <c r="AH327" s="14"/>
      <c r="AI327" s="14"/>
      <c r="AJ327" s="14"/>
    </row>
    <row r="328" spans="1:36" s="5" customFormat="1" x14ac:dyDescent="0.25">
      <c r="A328"/>
      <c r="B328"/>
      <c r="C328" s="1"/>
      <c r="D328" s="1"/>
      <c r="E328" s="1"/>
      <c r="F328" s="1"/>
      <c r="G328" s="1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 s="3"/>
      <c r="AF328" s="14"/>
      <c r="AG328" s="14"/>
      <c r="AH328" s="14"/>
      <c r="AI328" s="14"/>
      <c r="AJ328" s="14"/>
    </row>
    <row r="329" spans="1:36" s="5" customFormat="1" x14ac:dyDescent="0.25">
      <c r="A329"/>
      <c r="B329"/>
      <c r="C329" s="1"/>
      <c r="D329" s="1"/>
      <c r="E329" s="1"/>
      <c r="F329" s="1"/>
      <c r="G329" s="1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 s="3"/>
      <c r="AF329" s="14"/>
      <c r="AG329" s="14"/>
      <c r="AH329" s="14"/>
      <c r="AI329" s="14"/>
      <c r="AJ329" s="14"/>
    </row>
    <row r="330" spans="1:36" s="5" customFormat="1" x14ac:dyDescent="0.25">
      <c r="A330"/>
      <c r="B330"/>
      <c r="C330" s="1"/>
      <c r="D330" s="1"/>
      <c r="E330" s="1"/>
      <c r="F330" s="1"/>
      <c r="G330" s="1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 s="3"/>
      <c r="AF330" s="14"/>
      <c r="AG330" s="14"/>
      <c r="AH330" s="14"/>
      <c r="AI330" s="14"/>
      <c r="AJ330" s="14"/>
    </row>
    <row r="331" spans="1:36" s="5" customFormat="1" x14ac:dyDescent="0.25">
      <c r="A331"/>
      <c r="B331"/>
      <c r="C331" s="1"/>
      <c r="D331" s="1"/>
      <c r="E331" s="1"/>
      <c r="F331" s="1"/>
      <c r="G331" s="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 s="3"/>
      <c r="AF331" s="14"/>
      <c r="AG331" s="14"/>
      <c r="AH331" s="14"/>
      <c r="AI331" s="14"/>
      <c r="AJ331" s="14"/>
    </row>
    <row r="332" spans="1:36" s="5" customFormat="1" x14ac:dyDescent="0.25">
      <c r="A332"/>
      <c r="B332"/>
      <c r="C332" s="1"/>
      <c r="D332" s="1"/>
      <c r="E332" s="1"/>
      <c r="F332" s="1"/>
      <c r="G332" s="1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 s="3"/>
      <c r="AF332" s="14"/>
      <c r="AG332" s="14"/>
      <c r="AH332" s="14"/>
      <c r="AI332" s="14"/>
      <c r="AJ332" s="14"/>
    </row>
    <row r="333" spans="1:36" s="5" customFormat="1" x14ac:dyDescent="0.25">
      <c r="A333"/>
      <c r="B333"/>
      <c r="C333" s="1"/>
      <c r="D333" s="1"/>
      <c r="E333" s="1"/>
      <c r="F333" s="1"/>
      <c r="G333" s="1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 s="3"/>
      <c r="AF333" s="14"/>
      <c r="AG333" s="14"/>
      <c r="AH333" s="14"/>
      <c r="AI333" s="14"/>
      <c r="AJ333" s="14"/>
    </row>
    <row r="334" spans="1:36" s="5" customFormat="1" x14ac:dyDescent="0.25">
      <c r="A334"/>
      <c r="B334"/>
      <c r="C334" s="1"/>
      <c r="D334" s="1"/>
      <c r="E334" s="1"/>
      <c r="F334" s="1"/>
      <c r="G334" s="1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 s="3"/>
      <c r="AF334" s="14"/>
      <c r="AG334" s="14"/>
      <c r="AH334" s="14"/>
      <c r="AI334" s="14"/>
      <c r="AJ334" s="14"/>
    </row>
    <row r="335" spans="1:36" s="5" customFormat="1" x14ac:dyDescent="0.25">
      <c r="A335"/>
      <c r="B335"/>
      <c r="C335" s="1"/>
      <c r="D335" s="1"/>
      <c r="E335" s="1"/>
      <c r="F335" s="1"/>
      <c r="G335" s="1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 s="3"/>
      <c r="AF335" s="14"/>
      <c r="AG335" s="14"/>
      <c r="AH335" s="14"/>
      <c r="AI335" s="14"/>
      <c r="AJ335" s="14"/>
    </row>
    <row r="336" spans="1:36" s="5" customFormat="1" x14ac:dyDescent="0.25">
      <c r="A336"/>
      <c r="B336"/>
      <c r="C336" s="1"/>
      <c r="D336" s="1"/>
      <c r="E336" s="1"/>
      <c r="F336" s="1"/>
      <c r="G336" s="1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 s="3"/>
      <c r="AF336" s="14"/>
      <c r="AG336" s="14"/>
      <c r="AH336" s="14"/>
      <c r="AI336" s="14"/>
      <c r="AJ336" s="14"/>
    </row>
    <row r="337" spans="1:36" s="5" customFormat="1" x14ac:dyDescent="0.25">
      <c r="A337"/>
      <c r="B337"/>
      <c r="C337" s="1"/>
      <c r="D337" s="1"/>
      <c r="E337" s="1"/>
      <c r="F337" s="1"/>
      <c r="G337" s="1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 s="3"/>
      <c r="AF337" s="14"/>
      <c r="AG337" s="14"/>
      <c r="AH337" s="14"/>
      <c r="AI337" s="14"/>
      <c r="AJ337" s="14"/>
    </row>
    <row r="338" spans="1:36" s="5" customFormat="1" x14ac:dyDescent="0.25">
      <c r="A338"/>
      <c r="B338"/>
      <c r="C338" s="1"/>
      <c r="D338" s="1"/>
      <c r="E338" s="1"/>
      <c r="F338" s="1"/>
      <c r="G338" s="1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 s="3"/>
      <c r="AF338" s="14"/>
      <c r="AG338" s="14"/>
      <c r="AH338" s="14"/>
      <c r="AI338" s="14"/>
      <c r="AJ338" s="14"/>
    </row>
    <row r="339" spans="1:36" s="5" customFormat="1" x14ac:dyDescent="0.25">
      <c r="A339"/>
      <c r="B339"/>
      <c r="C339" s="1"/>
      <c r="D339" s="1"/>
      <c r="E339" s="1"/>
      <c r="F339" s="1"/>
      <c r="G339" s="1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 s="3"/>
      <c r="AF339" s="14"/>
      <c r="AG339" s="14"/>
      <c r="AH339" s="14"/>
      <c r="AI339" s="14"/>
      <c r="AJ339" s="14"/>
    </row>
    <row r="340" spans="1:36" s="5" customFormat="1" x14ac:dyDescent="0.25">
      <c r="A340"/>
      <c r="B340"/>
      <c r="C340" s="1"/>
      <c r="D340" s="1"/>
      <c r="E340" s="1"/>
      <c r="F340" s="1"/>
      <c r="G340" s="1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 s="3"/>
      <c r="AF340" s="14"/>
      <c r="AG340" s="14"/>
      <c r="AH340" s="14"/>
      <c r="AI340" s="14"/>
      <c r="AJ340" s="14"/>
    </row>
    <row r="341" spans="1:36" s="5" customFormat="1" x14ac:dyDescent="0.25">
      <c r="A341"/>
      <c r="B341"/>
      <c r="C341" s="1"/>
      <c r="D341" s="1"/>
      <c r="E341" s="1"/>
      <c r="F341" s="1"/>
      <c r="G341" s="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 s="3"/>
      <c r="AF341" s="14"/>
      <c r="AG341" s="14"/>
      <c r="AH341" s="14"/>
      <c r="AI341" s="14"/>
      <c r="AJ341" s="14"/>
    </row>
    <row r="342" spans="1:36" s="5" customFormat="1" x14ac:dyDescent="0.25">
      <c r="A342"/>
      <c r="B342"/>
      <c r="C342" s="1"/>
      <c r="D342" s="1"/>
      <c r="E342" s="1"/>
      <c r="F342" s="1"/>
      <c r="G342" s="1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 s="3"/>
      <c r="AF342" s="14"/>
      <c r="AG342" s="14"/>
      <c r="AH342" s="14"/>
      <c r="AI342" s="14"/>
      <c r="AJ342" s="14"/>
    </row>
    <row r="343" spans="1:36" s="5" customFormat="1" x14ac:dyDescent="0.25">
      <c r="A343"/>
      <c r="B343"/>
      <c r="C343" s="1"/>
      <c r="D343" s="1"/>
      <c r="E343" s="1"/>
      <c r="F343" s="1"/>
      <c r="G343" s="1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 s="3"/>
      <c r="AF343" s="14"/>
      <c r="AG343" s="14"/>
      <c r="AH343" s="14"/>
      <c r="AI343" s="14"/>
      <c r="AJ343" s="14"/>
    </row>
    <row r="344" spans="1:36" s="5" customFormat="1" x14ac:dyDescent="0.25">
      <c r="A344"/>
      <c r="B344"/>
      <c r="C344" s="1"/>
      <c r="D344" s="1"/>
      <c r="E344" s="1"/>
      <c r="F344" s="1"/>
      <c r="G344" s="1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 s="3"/>
      <c r="AF344" s="14"/>
      <c r="AG344" s="14"/>
      <c r="AH344" s="14"/>
      <c r="AI344" s="14"/>
      <c r="AJ344" s="14"/>
    </row>
    <row r="345" spans="1:36" s="5" customFormat="1" x14ac:dyDescent="0.25">
      <c r="A345"/>
      <c r="B345"/>
      <c r="C345" s="1"/>
      <c r="D345" s="1"/>
      <c r="E345" s="1"/>
      <c r="F345" s="1"/>
      <c r="G345" s="1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 s="3"/>
      <c r="AF345" s="14"/>
      <c r="AG345" s="14"/>
      <c r="AH345" s="14"/>
      <c r="AI345" s="14"/>
      <c r="AJ345" s="14"/>
    </row>
    <row r="346" spans="1:36" s="5" customFormat="1" x14ac:dyDescent="0.25">
      <c r="A346"/>
      <c r="B346"/>
      <c r="C346" s="1"/>
      <c r="D346" s="1"/>
      <c r="E346" s="1"/>
      <c r="F346" s="1"/>
      <c r="G346" s="1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 s="3"/>
      <c r="AF346" s="14"/>
      <c r="AG346" s="14"/>
      <c r="AH346" s="14"/>
      <c r="AI346" s="14"/>
      <c r="AJ346" s="14"/>
    </row>
    <row r="347" spans="1:36" s="5" customFormat="1" x14ac:dyDescent="0.25">
      <c r="A347"/>
      <c r="B347"/>
      <c r="C347" s="1"/>
      <c r="D347" s="1"/>
      <c r="E347" s="1"/>
      <c r="F347" s="1"/>
      <c r="G347" s="1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 s="3"/>
      <c r="AF347" s="14"/>
      <c r="AG347" s="14"/>
      <c r="AH347" s="14"/>
      <c r="AI347" s="14"/>
      <c r="AJ347" s="14"/>
    </row>
    <row r="348" spans="1:36" s="5" customFormat="1" x14ac:dyDescent="0.25">
      <c r="A348"/>
      <c r="B348"/>
      <c r="C348" s="1"/>
      <c r="D348" s="1"/>
      <c r="E348" s="1"/>
      <c r="F348" s="1"/>
      <c r="G348" s="1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 s="3"/>
      <c r="AF348" s="14"/>
      <c r="AG348" s="14"/>
      <c r="AH348" s="14"/>
      <c r="AI348" s="14"/>
      <c r="AJ348" s="14"/>
    </row>
    <row r="349" spans="1:36" s="5" customFormat="1" x14ac:dyDescent="0.25">
      <c r="A349"/>
      <c r="B349"/>
      <c r="C349" s="1"/>
      <c r="D349" s="1"/>
      <c r="E349" s="1"/>
      <c r="F349" s="1"/>
      <c r="G349" s="1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 s="3"/>
      <c r="AF349" s="14"/>
      <c r="AG349" s="14"/>
      <c r="AH349" s="14"/>
      <c r="AI349" s="14"/>
      <c r="AJ349" s="14"/>
    </row>
    <row r="350" spans="1:36" s="5" customFormat="1" x14ac:dyDescent="0.25">
      <c r="A350"/>
      <c r="B350"/>
      <c r="C350" s="1"/>
      <c r="D350" s="1"/>
      <c r="E350" s="1"/>
      <c r="F350" s="1"/>
      <c r="G350" s="1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 s="3"/>
      <c r="AF350" s="14"/>
      <c r="AG350" s="14"/>
      <c r="AH350" s="14"/>
      <c r="AI350" s="14"/>
      <c r="AJ350" s="14"/>
    </row>
    <row r="351" spans="1:36" s="5" customFormat="1" x14ac:dyDescent="0.25">
      <c r="A351"/>
      <c r="B351"/>
      <c r="C351" s="1"/>
      <c r="D351" s="1"/>
      <c r="E351" s="1"/>
      <c r="F351" s="1"/>
      <c r="G351" s="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 s="3"/>
      <c r="AF351" s="14"/>
      <c r="AG351" s="14"/>
      <c r="AH351" s="14"/>
      <c r="AI351" s="14"/>
      <c r="AJ351" s="14"/>
    </row>
    <row r="352" spans="1:36" s="5" customFormat="1" x14ac:dyDescent="0.25">
      <c r="A352"/>
      <c r="B352"/>
      <c r="C352" s="1"/>
      <c r="D352" s="1"/>
      <c r="E352" s="1"/>
      <c r="F352" s="1"/>
      <c r="G352" s="1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 s="3"/>
      <c r="AF352" s="14"/>
      <c r="AG352" s="14"/>
      <c r="AH352" s="14"/>
      <c r="AI352" s="14"/>
      <c r="AJ352" s="14"/>
    </row>
    <row r="353" spans="1:36" s="5" customFormat="1" x14ac:dyDescent="0.25">
      <c r="A353"/>
      <c r="B353"/>
      <c r="C353" s="1"/>
      <c r="D353" s="1"/>
      <c r="E353" s="1"/>
      <c r="F353" s="1"/>
      <c r="G353" s="1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 s="3"/>
      <c r="AF353" s="14"/>
      <c r="AG353" s="14"/>
      <c r="AH353" s="14"/>
      <c r="AI353" s="14"/>
      <c r="AJ353" s="14"/>
    </row>
    <row r="354" spans="1:36" s="5" customFormat="1" x14ac:dyDescent="0.25">
      <c r="A354"/>
      <c r="B354"/>
      <c r="C354" s="1"/>
      <c r="D354" s="1"/>
      <c r="E354" s="1"/>
      <c r="F354" s="1"/>
      <c r="G354" s="1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 s="3"/>
      <c r="AF354" s="14"/>
      <c r="AG354" s="14"/>
      <c r="AH354" s="14"/>
      <c r="AI354" s="14"/>
      <c r="AJ354" s="14"/>
    </row>
    <row r="355" spans="1:36" s="5" customFormat="1" x14ac:dyDescent="0.25">
      <c r="A355"/>
      <c r="B355"/>
      <c r="C355" s="1"/>
      <c r="D355" s="1"/>
      <c r="E355" s="1"/>
      <c r="F355" s="1"/>
      <c r="G355" s="1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 s="3"/>
      <c r="AF355" s="14"/>
      <c r="AG355" s="14"/>
      <c r="AH355" s="14"/>
      <c r="AI355" s="14"/>
      <c r="AJ355" s="14"/>
    </row>
    <row r="356" spans="1:36" s="5" customFormat="1" x14ac:dyDescent="0.25">
      <c r="A356"/>
      <c r="B356"/>
      <c r="C356" s="1"/>
      <c r="D356" s="1"/>
      <c r="E356" s="1"/>
      <c r="F356" s="1"/>
      <c r="G356" s="1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 s="3"/>
      <c r="AF356" s="14"/>
      <c r="AG356" s="14"/>
      <c r="AH356" s="14"/>
      <c r="AI356" s="14"/>
      <c r="AJ356" s="14"/>
    </row>
    <row r="357" spans="1:36" s="5" customFormat="1" x14ac:dyDescent="0.25">
      <c r="A357"/>
      <c r="B357"/>
      <c r="C357" s="1"/>
      <c r="D357" s="1"/>
      <c r="E357" s="1"/>
      <c r="F357" s="1"/>
      <c r="G357" s="1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 s="3"/>
      <c r="AF357" s="14"/>
      <c r="AG357" s="14"/>
      <c r="AH357" s="14"/>
      <c r="AI357" s="14"/>
      <c r="AJ357" s="14"/>
    </row>
    <row r="358" spans="1:36" s="5" customFormat="1" x14ac:dyDescent="0.25">
      <c r="A358"/>
      <c r="B358"/>
      <c r="C358" s="1"/>
      <c r="D358" s="1"/>
      <c r="E358" s="1"/>
      <c r="F358" s="1"/>
      <c r="G358" s="1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 s="3"/>
      <c r="AF358" s="14"/>
      <c r="AG358" s="14"/>
      <c r="AH358" s="14"/>
      <c r="AI358" s="14"/>
      <c r="AJ358" s="14"/>
    </row>
    <row r="359" spans="1:36" s="5" customFormat="1" x14ac:dyDescent="0.25">
      <c r="A359"/>
      <c r="B359"/>
      <c r="C359" s="1"/>
      <c r="D359" s="1"/>
      <c r="E359" s="1"/>
      <c r="F359" s="1"/>
      <c r="G359" s="1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 s="3"/>
      <c r="AF359" s="14"/>
      <c r="AG359" s="14"/>
      <c r="AH359" s="14"/>
      <c r="AI359" s="14"/>
      <c r="AJ359" s="14"/>
    </row>
    <row r="360" spans="1:36" s="5" customFormat="1" x14ac:dyDescent="0.25">
      <c r="A360"/>
      <c r="B360"/>
      <c r="C360" s="1"/>
      <c r="D360" s="1"/>
      <c r="E360" s="1"/>
      <c r="F360" s="1"/>
      <c r="G360" s="1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 s="3"/>
      <c r="AF360" s="14"/>
      <c r="AG360" s="14"/>
      <c r="AH360" s="14"/>
      <c r="AI360" s="14"/>
      <c r="AJ360" s="14"/>
    </row>
    <row r="361" spans="1:36" s="5" customFormat="1" x14ac:dyDescent="0.25">
      <c r="A361"/>
      <c r="B361"/>
      <c r="C361" s="1"/>
      <c r="D361" s="1"/>
      <c r="E361" s="1"/>
      <c r="F361" s="1"/>
      <c r="G361" s="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 s="3"/>
      <c r="AF361" s="14"/>
      <c r="AG361" s="14"/>
      <c r="AH361" s="14"/>
      <c r="AI361" s="14"/>
      <c r="AJ361" s="14"/>
    </row>
    <row r="362" spans="1:36" s="5" customFormat="1" x14ac:dyDescent="0.25">
      <c r="A362"/>
      <c r="B362"/>
      <c r="C362" s="1"/>
      <c r="D362" s="1"/>
      <c r="E362" s="1"/>
      <c r="F362" s="1"/>
      <c r="G362" s="1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 s="3"/>
      <c r="AF362" s="14"/>
      <c r="AG362" s="14"/>
      <c r="AH362" s="14"/>
      <c r="AI362" s="14"/>
      <c r="AJ362" s="14"/>
    </row>
    <row r="363" spans="1:36" s="5" customFormat="1" x14ac:dyDescent="0.25">
      <c r="A363"/>
      <c r="B363"/>
      <c r="C363" s="1"/>
      <c r="D363" s="1"/>
      <c r="E363" s="1"/>
      <c r="F363" s="1"/>
      <c r="G363" s="1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 s="3"/>
      <c r="AF363" s="14"/>
      <c r="AG363" s="14"/>
      <c r="AH363" s="14"/>
      <c r="AI363" s="14"/>
      <c r="AJ363" s="14"/>
    </row>
    <row r="364" spans="1:36" s="5" customFormat="1" x14ac:dyDescent="0.25">
      <c r="A364"/>
      <c r="B364"/>
      <c r="C364" s="1"/>
      <c r="D364" s="1"/>
      <c r="E364" s="1"/>
      <c r="F364" s="1"/>
      <c r="G364" s="1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 s="3"/>
      <c r="AF364" s="14"/>
      <c r="AG364" s="14"/>
      <c r="AH364" s="14"/>
      <c r="AI364" s="14"/>
      <c r="AJ364" s="14"/>
    </row>
    <row r="365" spans="1:36" s="5" customFormat="1" x14ac:dyDescent="0.25">
      <c r="A365"/>
      <c r="B365"/>
      <c r="C365" s="1"/>
      <c r="D365" s="1"/>
      <c r="E365" s="1"/>
      <c r="F365" s="1"/>
      <c r="G365" s="1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 s="3"/>
      <c r="AF365" s="14"/>
      <c r="AG365" s="14"/>
      <c r="AH365" s="14"/>
      <c r="AI365" s="14"/>
      <c r="AJ365" s="14"/>
    </row>
    <row r="366" spans="1:36" s="5" customFormat="1" x14ac:dyDescent="0.25">
      <c r="A366"/>
      <c r="B366"/>
      <c r="C366" s="1"/>
      <c r="D366" s="1"/>
      <c r="E366" s="1"/>
      <c r="F366" s="1"/>
      <c r="G366" s="1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 s="3"/>
      <c r="AF366" s="14"/>
      <c r="AG366" s="14"/>
      <c r="AH366" s="14"/>
      <c r="AI366" s="14"/>
      <c r="AJ366" s="14"/>
    </row>
    <row r="367" spans="1:36" s="5" customFormat="1" x14ac:dyDescent="0.25">
      <c r="A367"/>
      <c r="B367"/>
      <c r="C367" s="1"/>
      <c r="D367" s="1"/>
      <c r="E367" s="1"/>
      <c r="F367" s="1"/>
      <c r="G367" s="1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 s="3"/>
      <c r="AF367" s="14"/>
      <c r="AG367" s="14"/>
      <c r="AH367" s="14"/>
      <c r="AI367" s="14"/>
      <c r="AJ367" s="14"/>
    </row>
    <row r="368" spans="1:36" s="5" customFormat="1" x14ac:dyDescent="0.25">
      <c r="A368"/>
      <c r="B368"/>
      <c r="C368" s="1"/>
      <c r="D368" s="1"/>
      <c r="E368" s="1"/>
      <c r="F368" s="1"/>
      <c r="G368" s="1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 s="3"/>
      <c r="AF368" s="14"/>
      <c r="AG368" s="14"/>
      <c r="AH368" s="14"/>
      <c r="AI368" s="14"/>
      <c r="AJ368" s="14"/>
    </row>
    <row r="369" spans="1:36" s="5" customFormat="1" x14ac:dyDescent="0.25">
      <c r="A369"/>
      <c r="B369"/>
      <c r="C369" s="1"/>
      <c r="D369" s="1"/>
      <c r="E369" s="1"/>
      <c r="F369" s="1"/>
      <c r="G369" s="1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 s="3"/>
      <c r="AF369" s="14"/>
      <c r="AG369" s="14"/>
      <c r="AH369" s="14"/>
      <c r="AI369" s="14"/>
      <c r="AJ369" s="14"/>
    </row>
    <row r="370" spans="1:36" s="5" customFormat="1" x14ac:dyDescent="0.25">
      <c r="A370"/>
      <c r="B370"/>
      <c r="C370" s="1"/>
      <c r="D370" s="1"/>
      <c r="E370" s="1"/>
      <c r="F370" s="1"/>
      <c r="G370" s="1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 s="3"/>
      <c r="AF370" s="14"/>
      <c r="AG370" s="14"/>
      <c r="AH370" s="14"/>
      <c r="AI370" s="14"/>
      <c r="AJ370" s="14"/>
    </row>
    <row r="371" spans="1:36" s="5" customFormat="1" x14ac:dyDescent="0.25">
      <c r="A371"/>
      <c r="B371"/>
      <c r="C371" s="1"/>
      <c r="D371" s="1"/>
      <c r="E371" s="1"/>
      <c r="F371" s="1"/>
      <c r="G371" s="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 s="3"/>
      <c r="AF371" s="14"/>
      <c r="AG371" s="14"/>
      <c r="AH371" s="14"/>
      <c r="AI371" s="14"/>
      <c r="AJ371" s="14"/>
    </row>
    <row r="372" spans="1:36" s="5" customFormat="1" x14ac:dyDescent="0.25">
      <c r="A372"/>
      <c r="B372"/>
      <c r="C372" s="1"/>
      <c r="D372" s="1"/>
      <c r="E372" s="1"/>
      <c r="F372" s="1"/>
      <c r="G372" s="1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 s="3"/>
      <c r="AF372" s="14"/>
      <c r="AG372" s="14"/>
      <c r="AH372" s="14"/>
      <c r="AI372" s="14"/>
      <c r="AJ372" s="14"/>
    </row>
    <row r="373" spans="1:36" s="5" customFormat="1" x14ac:dyDescent="0.25">
      <c r="A373"/>
      <c r="B373"/>
      <c r="C373" s="1"/>
      <c r="D373" s="1"/>
      <c r="E373" s="1"/>
      <c r="F373" s="1"/>
      <c r="G373" s="1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 s="3"/>
      <c r="AF373" s="14"/>
      <c r="AG373" s="14"/>
      <c r="AH373" s="14"/>
      <c r="AI373" s="14"/>
      <c r="AJ373" s="14"/>
    </row>
    <row r="374" spans="1:36" s="5" customFormat="1" x14ac:dyDescent="0.25">
      <c r="A374"/>
      <c r="B374"/>
      <c r="C374" s="1"/>
      <c r="D374" s="1"/>
      <c r="E374" s="1"/>
      <c r="F374" s="1"/>
      <c r="G374" s="1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 s="3"/>
      <c r="AF374" s="14"/>
      <c r="AG374" s="14"/>
      <c r="AH374" s="14"/>
      <c r="AI374" s="14"/>
      <c r="AJ374" s="14"/>
    </row>
    <row r="375" spans="1:36" s="5" customFormat="1" x14ac:dyDescent="0.25">
      <c r="A375"/>
      <c r="B375"/>
      <c r="C375" s="1"/>
      <c r="D375" s="1"/>
      <c r="E375" s="1"/>
      <c r="F375" s="1"/>
      <c r="G375" s="1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 s="3"/>
      <c r="AF375" s="14"/>
      <c r="AG375" s="14"/>
      <c r="AH375" s="14"/>
      <c r="AI375" s="14"/>
      <c r="AJ375" s="14"/>
    </row>
    <row r="376" spans="1:36" s="5" customFormat="1" x14ac:dyDescent="0.25">
      <c r="A376"/>
      <c r="B376"/>
      <c r="C376" s="1"/>
      <c r="D376" s="1"/>
      <c r="E376" s="1"/>
      <c r="F376" s="1"/>
      <c r="G376" s="1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 s="3"/>
      <c r="AF376" s="14"/>
      <c r="AG376" s="14"/>
      <c r="AH376" s="14"/>
      <c r="AI376" s="14"/>
      <c r="AJ376" s="14"/>
    </row>
    <row r="377" spans="1:36" s="5" customFormat="1" x14ac:dyDescent="0.25">
      <c r="A377"/>
      <c r="B377"/>
      <c r="C377" s="1"/>
      <c r="D377" s="1"/>
      <c r="E377" s="1"/>
      <c r="F377" s="1"/>
      <c r="G377" s="1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 s="3"/>
      <c r="AF377" s="14"/>
      <c r="AG377" s="14"/>
      <c r="AH377" s="14"/>
      <c r="AI377" s="14"/>
      <c r="AJ377" s="14"/>
    </row>
    <row r="378" spans="1:36" s="5" customFormat="1" x14ac:dyDescent="0.25">
      <c r="A378"/>
      <c r="B378"/>
      <c r="C378" s="1"/>
      <c r="D378" s="1"/>
      <c r="E378" s="1"/>
      <c r="F378" s="1"/>
      <c r="G378" s="1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 s="3"/>
      <c r="AF378" s="14"/>
      <c r="AG378" s="14"/>
      <c r="AH378" s="14"/>
      <c r="AI378" s="14"/>
      <c r="AJ378" s="14"/>
    </row>
    <row r="379" spans="1:36" s="5" customFormat="1" x14ac:dyDescent="0.25">
      <c r="A379"/>
      <c r="B379"/>
      <c r="C379" s="1"/>
      <c r="D379" s="1"/>
      <c r="E379" s="1"/>
      <c r="F379" s="1"/>
      <c r="G379" s="1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 s="3"/>
      <c r="AF379" s="14"/>
      <c r="AG379" s="14"/>
      <c r="AH379" s="14"/>
      <c r="AI379" s="14"/>
      <c r="AJ379" s="14"/>
    </row>
    <row r="380" spans="1:36" s="5" customFormat="1" x14ac:dyDescent="0.25">
      <c r="A380"/>
      <c r="B380"/>
      <c r="C380" s="1"/>
      <c r="D380" s="1"/>
      <c r="E380" s="1"/>
      <c r="F380" s="1"/>
      <c r="G380" s="1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 s="3"/>
      <c r="AF380" s="14"/>
      <c r="AG380" s="14"/>
      <c r="AH380" s="14"/>
      <c r="AI380" s="14"/>
      <c r="AJ380" s="14"/>
    </row>
    <row r="381" spans="1:36" s="5" customFormat="1" x14ac:dyDescent="0.25">
      <c r="A381"/>
      <c r="B381"/>
      <c r="C381" s="1"/>
      <c r="D381" s="1"/>
      <c r="E381" s="1"/>
      <c r="F381" s="1"/>
      <c r="G381" s="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 s="3"/>
      <c r="AF381" s="14"/>
      <c r="AG381" s="14"/>
      <c r="AH381" s="14"/>
      <c r="AI381" s="14"/>
      <c r="AJ381" s="14"/>
    </row>
    <row r="382" spans="1:36" s="5" customFormat="1" x14ac:dyDescent="0.25">
      <c r="A382"/>
      <c r="B382"/>
      <c r="C382" s="1"/>
      <c r="D382" s="1"/>
      <c r="E382" s="1"/>
      <c r="F382" s="1"/>
      <c r="G382" s="1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 s="3"/>
      <c r="AF382"/>
      <c r="AG382"/>
      <c r="AH382" s="14"/>
      <c r="AI382" s="14"/>
      <c r="AJ382" s="14"/>
    </row>
    <row r="383" spans="1:36" s="5" customFormat="1" x14ac:dyDescent="0.25">
      <c r="A383"/>
      <c r="B383"/>
      <c r="C383" s="1"/>
      <c r="D383" s="1"/>
      <c r="E383" s="1"/>
      <c r="F383" s="1"/>
      <c r="G383" s="1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 s="3"/>
      <c r="AF383" s="3"/>
      <c r="AG383" s="3"/>
      <c r="AH383" s="14"/>
      <c r="AI383" s="14"/>
      <c r="AJ383" s="14"/>
    </row>
    <row r="384" spans="1:36" s="5" customFormat="1" x14ac:dyDescent="0.25">
      <c r="A384"/>
      <c r="B384"/>
      <c r="C384" s="1"/>
      <c r="D384" s="1"/>
      <c r="E384" s="1"/>
      <c r="F384" s="1"/>
      <c r="G384" s="1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 s="3"/>
      <c r="AF384" s="3"/>
      <c r="AG384" s="3"/>
      <c r="AH384" s="14"/>
      <c r="AI384" s="14"/>
      <c r="AJ384" s="14"/>
    </row>
    <row r="385" spans="1:36" s="5" customFormat="1" x14ac:dyDescent="0.25">
      <c r="A385"/>
      <c r="B385"/>
      <c r="C385" s="1"/>
      <c r="D385" s="1"/>
      <c r="E385" s="1"/>
      <c r="F385" s="1"/>
      <c r="G385" s="1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 s="3"/>
      <c r="AF385" s="3"/>
      <c r="AG385" s="3"/>
      <c r="AH385" s="14"/>
      <c r="AI385" s="14"/>
      <c r="AJ385" s="14"/>
    </row>
    <row r="386" spans="1:36" s="5" customFormat="1" x14ac:dyDescent="0.25">
      <c r="A386"/>
      <c r="B386"/>
      <c r="C386" s="1"/>
      <c r="D386" s="1"/>
      <c r="E386" s="1"/>
      <c r="F386" s="1"/>
      <c r="G386" s="1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 s="3"/>
      <c r="AF386" s="3"/>
      <c r="AG386" s="3"/>
      <c r="AH386" s="14"/>
      <c r="AI386" s="14"/>
      <c r="AJ386" s="14"/>
    </row>
    <row r="387" spans="1:36" s="5" customFormat="1" x14ac:dyDescent="0.25">
      <c r="A387"/>
      <c r="B387"/>
      <c r="C387" s="1"/>
      <c r="D387" s="1"/>
      <c r="E387" s="1"/>
      <c r="F387" s="1"/>
      <c r="G387" s="1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 s="3"/>
      <c r="AF387" s="3"/>
      <c r="AG387" s="3"/>
      <c r="AH387" s="14"/>
      <c r="AI387" s="14"/>
      <c r="AJ387" s="14"/>
    </row>
    <row r="388" spans="1:36" s="5" customFormat="1" x14ac:dyDescent="0.25">
      <c r="A388"/>
      <c r="B388"/>
      <c r="C388" s="1"/>
      <c r="D388" s="1"/>
      <c r="E388" s="1"/>
      <c r="F388" s="1"/>
      <c r="G388" s="1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 s="3"/>
      <c r="AF388" s="3"/>
      <c r="AG388" s="3"/>
      <c r="AH388" s="14"/>
      <c r="AI388" s="14"/>
      <c r="AJ388" s="14"/>
    </row>
    <row r="389" spans="1:36" s="5" customFormat="1" x14ac:dyDescent="0.25">
      <c r="A389"/>
      <c r="B389"/>
      <c r="C389" s="1"/>
      <c r="D389" s="1"/>
      <c r="E389" s="1"/>
      <c r="F389" s="1"/>
      <c r="G389" s="1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 s="3"/>
      <c r="AF389" s="3"/>
      <c r="AG389" s="3"/>
      <c r="AH389" s="14"/>
      <c r="AI389" s="14"/>
      <c r="AJ389" s="14"/>
    </row>
    <row r="390" spans="1:36" s="5" customFormat="1" x14ac:dyDescent="0.25">
      <c r="A390"/>
      <c r="B390"/>
      <c r="C390" s="1"/>
      <c r="D390" s="1"/>
      <c r="E390" s="1"/>
      <c r="F390" s="1"/>
      <c r="G390" s="1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 s="3"/>
      <c r="AF390" s="3"/>
      <c r="AG390" s="3"/>
      <c r="AH390" s="14"/>
      <c r="AI390" s="14"/>
      <c r="AJ390" s="14"/>
    </row>
    <row r="391" spans="1:36" s="5" customFormat="1" x14ac:dyDescent="0.25">
      <c r="A391"/>
      <c r="B391"/>
      <c r="C391" s="1"/>
      <c r="D391" s="1"/>
      <c r="E391" s="1"/>
      <c r="F391" s="1"/>
      <c r="G391" s="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 s="3"/>
      <c r="AF391" s="3"/>
      <c r="AG391" s="3"/>
      <c r="AH391" s="14"/>
      <c r="AI391" s="14"/>
      <c r="AJ391" s="14"/>
    </row>
    <row r="392" spans="1:36" s="5" customFormat="1" x14ac:dyDescent="0.25">
      <c r="A392"/>
      <c r="B392"/>
      <c r="C392" s="1"/>
      <c r="D392" s="1"/>
      <c r="E392" s="1"/>
      <c r="F392" s="1"/>
      <c r="G392" s="1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 s="3"/>
      <c r="AF392" s="3"/>
      <c r="AG392" s="3"/>
      <c r="AH392" s="14"/>
      <c r="AI392" s="14"/>
      <c r="AJ392" s="14"/>
    </row>
    <row r="393" spans="1:36" s="5" customFormat="1" x14ac:dyDescent="0.25">
      <c r="A393"/>
      <c r="B393"/>
      <c r="C393" s="1"/>
      <c r="D393" s="1"/>
      <c r="E393" s="1"/>
      <c r="F393" s="1"/>
      <c r="G393" s="1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 s="3"/>
      <c r="AF393" s="3"/>
      <c r="AG393" s="3"/>
      <c r="AH393" s="14"/>
      <c r="AI393" s="14"/>
      <c r="AJ393" s="14"/>
    </row>
    <row r="394" spans="1:36" s="5" customFormat="1" x14ac:dyDescent="0.25">
      <c r="A394"/>
      <c r="B394"/>
      <c r="C394" s="1"/>
      <c r="D394" s="1"/>
      <c r="E394" s="1"/>
      <c r="F394" s="1"/>
      <c r="G394" s="1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 s="3"/>
      <c r="AF394" s="3"/>
      <c r="AG394" s="3"/>
      <c r="AH394" s="14"/>
      <c r="AI394" s="14"/>
      <c r="AJ394" s="14"/>
    </row>
    <row r="395" spans="1:36" s="5" customFormat="1" x14ac:dyDescent="0.25">
      <c r="A395"/>
      <c r="B395"/>
      <c r="C395" s="1"/>
      <c r="D395" s="1"/>
      <c r="E395" s="1"/>
      <c r="F395" s="1"/>
      <c r="G395" s="1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 s="3"/>
      <c r="AF395" s="3"/>
      <c r="AG395" s="3"/>
      <c r="AH395" s="14"/>
      <c r="AI395" s="14"/>
      <c r="AJ395" s="14"/>
    </row>
    <row r="396" spans="1:36" s="5" customFormat="1" x14ac:dyDescent="0.25">
      <c r="A396"/>
      <c r="B396"/>
      <c r="C396" s="1"/>
      <c r="D396" s="1"/>
      <c r="E396" s="1"/>
      <c r="F396" s="1"/>
      <c r="G396" s="1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 s="3"/>
      <c r="AF396" s="3"/>
      <c r="AG396" s="3"/>
      <c r="AH396" s="14"/>
      <c r="AI396" s="14"/>
      <c r="AJ396" s="14"/>
    </row>
    <row r="397" spans="1:36" s="5" customFormat="1" x14ac:dyDescent="0.25">
      <c r="A397"/>
      <c r="B397"/>
      <c r="C397" s="1"/>
      <c r="D397" s="1"/>
      <c r="E397" s="1"/>
      <c r="F397" s="1"/>
      <c r="G397" s="1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 s="3"/>
      <c r="AF397" s="3"/>
      <c r="AG397" s="3"/>
      <c r="AH397" s="14"/>
      <c r="AI397" s="14"/>
      <c r="AJ397" s="14"/>
    </row>
    <row r="398" spans="1:36" s="5" customFormat="1" x14ac:dyDescent="0.25">
      <c r="A398"/>
      <c r="B398"/>
      <c r="C398" s="1"/>
      <c r="D398" s="1"/>
      <c r="E398" s="1"/>
      <c r="F398" s="1"/>
      <c r="G398" s="1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 s="3"/>
      <c r="AF398" s="3"/>
      <c r="AG398" s="3"/>
      <c r="AH398" s="14"/>
      <c r="AI398" s="14"/>
      <c r="AJ398" s="14"/>
    </row>
    <row r="399" spans="1:36" s="5" customFormat="1" x14ac:dyDescent="0.25">
      <c r="A399"/>
      <c r="B399"/>
      <c r="C399" s="1"/>
      <c r="D399" s="1"/>
      <c r="E399" s="1"/>
      <c r="F399" s="1"/>
      <c r="G399" s="1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 s="3"/>
      <c r="AF399" s="3"/>
      <c r="AG399" s="3"/>
      <c r="AH399" s="14"/>
      <c r="AI399" s="14"/>
      <c r="AJ399" s="14"/>
    </row>
    <row r="400" spans="1:36" s="5" customFormat="1" x14ac:dyDescent="0.25">
      <c r="A400"/>
      <c r="B400"/>
      <c r="C400" s="1"/>
      <c r="D400" s="1"/>
      <c r="E400" s="1"/>
      <c r="F400" s="1"/>
      <c r="G400" s="1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 s="3"/>
      <c r="AF400" s="3"/>
      <c r="AG400" s="3"/>
      <c r="AH400" s="14"/>
      <c r="AI400" s="14"/>
      <c r="AJ400" s="14"/>
    </row>
    <row r="401" spans="1:36" s="5" customFormat="1" x14ac:dyDescent="0.25">
      <c r="A401"/>
      <c r="B401"/>
      <c r="C401" s="1"/>
      <c r="D401" s="1"/>
      <c r="E401" s="1"/>
      <c r="F401" s="1"/>
      <c r="G401" s="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 s="3"/>
      <c r="AF401" s="3"/>
      <c r="AG401" s="3"/>
      <c r="AH401" s="14"/>
      <c r="AI401" s="14"/>
      <c r="AJ401" s="14"/>
    </row>
    <row r="402" spans="1:36" s="5" customFormat="1" x14ac:dyDescent="0.25">
      <c r="A402"/>
      <c r="B402"/>
      <c r="C402" s="1"/>
      <c r="D402" s="1"/>
      <c r="E402" s="1"/>
      <c r="F402" s="1"/>
      <c r="G402" s="1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 s="3"/>
      <c r="AF402" s="3"/>
      <c r="AG402" s="3"/>
      <c r="AH402" s="14"/>
      <c r="AI402" s="14"/>
      <c r="AJ402" s="14"/>
    </row>
    <row r="403" spans="1:36" s="5" customFormat="1" x14ac:dyDescent="0.25">
      <c r="A403"/>
      <c r="B403"/>
      <c r="C403" s="1"/>
      <c r="D403" s="1"/>
      <c r="E403" s="1"/>
      <c r="F403" s="1"/>
      <c r="G403" s="1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 s="3"/>
      <c r="AF403" s="3"/>
      <c r="AG403" s="3"/>
      <c r="AH403" s="14"/>
      <c r="AI403" s="14"/>
      <c r="AJ403" s="14"/>
    </row>
    <row r="404" spans="1:36" s="5" customFormat="1" x14ac:dyDescent="0.25">
      <c r="A404"/>
      <c r="B404"/>
      <c r="C404" s="1"/>
      <c r="D404" s="1"/>
      <c r="E404" s="1"/>
      <c r="F404" s="1"/>
      <c r="G404" s="1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 s="3"/>
      <c r="AF404" s="3"/>
      <c r="AG404" s="3"/>
      <c r="AH404" s="14"/>
      <c r="AI404" s="14"/>
      <c r="AJ404" s="14"/>
    </row>
    <row r="405" spans="1:36" s="5" customFormat="1" x14ac:dyDescent="0.25">
      <c r="A405"/>
      <c r="B405"/>
      <c r="C405" s="1"/>
      <c r="D405" s="1"/>
      <c r="E405" s="1"/>
      <c r="F405" s="1"/>
      <c r="G405" s="1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 s="3"/>
      <c r="AF405" s="3"/>
      <c r="AG405" s="3"/>
      <c r="AH405" s="14"/>
      <c r="AI405" s="14"/>
      <c r="AJ405" s="14"/>
    </row>
    <row r="406" spans="1:36" s="5" customFormat="1" x14ac:dyDescent="0.25">
      <c r="A406"/>
      <c r="B406"/>
      <c r="C406" s="1"/>
      <c r="D406" s="1"/>
      <c r="E406" s="1"/>
      <c r="F406" s="1"/>
      <c r="G406" s="1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 s="3"/>
      <c r="AF406" s="3"/>
      <c r="AG406" s="3"/>
      <c r="AH406" s="14"/>
      <c r="AI406" s="14"/>
      <c r="AJ406" s="14"/>
    </row>
    <row r="407" spans="1:36" s="5" customFormat="1" x14ac:dyDescent="0.25">
      <c r="A407"/>
      <c r="B407"/>
      <c r="C407" s="1"/>
      <c r="D407" s="1"/>
      <c r="E407" s="1"/>
      <c r="F407" s="1"/>
      <c r="G407" s="1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 s="3"/>
      <c r="AF407" s="3"/>
      <c r="AG407" s="3"/>
      <c r="AH407" s="14"/>
      <c r="AI407" s="14"/>
      <c r="AJ407" s="14"/>
    </row>
    <row r="408" spans="1:36" s="5" customFormat="1" x14ac:dyDescent="0.25">
      <c r="A408"/>
      <c r="B408"/>
      <c r="C408" s="1"/>
      <c r="D408" s="1"/>
      <c r="E408" s="1"/>
      <c r="F408" s="1"/>
      <c r="G408" s="1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 s="3"/>
      <c r="AF408" s="3"/>
      <c r="AG408" s="3"/>
      <c r="AH408" s="14"/>
      <c r="AI408" s="14"/>
      <c r="AJ408" s="14"/>
    </row>
    <row r="409" spans="1:36" s="5" customFormat="1" x14ac:dyDescent="0.25">
      <c r="A409"/>
      <c r="B409"/>
      <c r="C409" s="1"/>
      <c r="D409" s="1"/>
      <c r="E409" s="1"/>
      <c r="F409" s="1"/>
      <c r="G409" s="1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 s="3"/>
      <c r="AF409" s="3"/>
      <c r="AG409" s="3"/>
      <c r="AH409" s="14"/>
      <c r="AI409" s="14"/>
      <c r="AJ409" s="14"/>
    </row>
    <row r="410" spans="1:36" s="5" customFormat="1" x14ac:dyDescent="0.25">
      <c r="A410"/>
      <c r="B410"/>
      <c r="C410" s="1"/>
      <c r="D410" s="1"/>
      <c r="E410" s="1"/>
      <c r="F410" s="1"/>
      <c r="G410" s="1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 s="3"/>
      <c r="AF410" s="3"/>
      <c r="AG410" s="3"/>
      <c r="AH410" s="14"/>
      <c r="AI410" s="14"/>
      <c r="AJ410" s="14"/>
    </row>
    <row r="411" spans="1:36" s="5" customFormat="1" x14ac:dyDescent="0.25">
      <c r="A411"/>
      <c r="B411"/>
      <c r="C411" s="1"/>
      <c r="D411" s="1"/>
      <c r="E411" s="1"/>
      <c r="F411" s="1"/>
      <c r="G411" s="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 s="3"/>
      <c r="AF411" s="3"/>
      <c r="AG411" s="3"/>
      <c r="AH411" s="14"/>
      <c r="AI411" s="14"/>
      <c r="AJ411" s="14"/>
    </row>
    <row r="412" spans="1:36" s="5" customFormat="1" x14ac:dyDescent="0.25">
      <c r="A412"/>
      <c r="B412"/>
      <c r="C412" s="1"/>
      <c r="D412" s="1"/>
      <c r="E412" s="1"/>
      <c r="F412" s="1"/>
      <c r="G412" s="1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 s="3"/>
      <c r="AF412" s="3"/>
      <c r="AG412" s="3"/>
      <c r="AH412" s="14"/>
      <c r="AI412" s="14"/>
      <c r="AJ412" s="14"/>
    </row>
    <row r="413" spans="1:36" s="5" customFormat="1" x14ac:dyDescent="0.25">
      <c r="A413"/>
      <c r="B413"/>
      <c r="C413" s="1"/>
      <c r="D413" s="1"/>
      <c r="E413" s="1"/>
      <c r="F413" s="1"/>
      <c r="G413" s="1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 s="3"/>
      <c r="AF413" s="3"/>
      <c r="AG413" s="3"/>
      <c r="AH413" s="14"/>
      <c r="AI413" s="14"/>
      <c r="AJ413" s="14"/>
    </row>
    <row r="414" spans="1:36" s="5" customFormat="1" x14ac:dyDescent="0.25">
      <c r="A414"/>
      <c r="B414"/>
      <c r="C414" s="1"/>
      <c r="D414" s="1"/>
      <c r="E414" s="1"/>
      <c r="F414" s="1"/>
      <c r="G414" s="1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 s="3"/>
      <c r="AF414" s="3"/>
      <c r="AG414" s="3"/>
      <c r="AH414" s="14"/>
      <c r="AI414" s="14"/>
      <c r="AJ414" s="14"/>
    </row>
    <row r="415" spans="1:36" s="5" customFormat="1" x14ac:dyDescent="0.25">
      <c r="A415"/>
      <c r="B415"/>
      <c r="C415" s="1"/>
      <c r="D415" s="1"/>
      <c r="E415" s="1"/>
      <c r="F415" s="1"/>
      <c r="G415" s="1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 s="3"/>
      <c r="AF415" s="3"/>
      <c r="AG415" s="3"/>
      <c r="AH415" s="14"/>
      <c r="AI415" s="14"/>
      <c r="AJ415" s="14"/>
    </row>
    <row r="416" spans="1:36" s="5" customFormat="1" x14ac:dyDescent="0.25">
      <c r="A416"/>
      <c r="B416"/>
      <c r="C416" s="1"/>
      <c r="D416" s="1"/>
      <c r="E416" s="1"/>
      <c r="F416" s="1"/>
      <c r="G416" s="1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 s="3"/>
      <c r="AF416" s="3"/>
      <c r="AG416" s="3"/>
      <c r="AH416" s="14"/>
      <c r="AI416" s="14"/>
      <c r="AJ416" s="14"/>
    </row>
    <row r="417" spans="1:36" s="5" customFormat="1" x14ac:dyDescent="0.25">
      <c r="A417"/>
      <c r="B417"/>
      <c r="C417" s="1"/>
      <c r="D417" s="1"/>
      <c r="E417" s="1"/>
      <c r="F417" s="1"/>
      <c r="G417" s="1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 s="3"/>
      <c r="AF417" s="3"/>
      <c r="AG417" s="3"/>
      <c r="AH417" s="14"/>
      <c r="AI417" s="14"/>
      <c r="AJ417" s="14"/>
    </row>
    <row r="418" spans="1:36" s="5" customFormat="1" x14ac:dyDescent="0.25">
      <c r="A418"/>
      <c r="B418"/>
      <c r="C418" s="1"/>
      <c r="D418" s="1"/>
      <c r="E418" s="1"/>
      <c r="F418" s="1"/>
      <c r="G418" s="1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 s="3"/>
      <c r="AF418" s="3"/>
      <c r="AG418" s="3"/>
      <c r="AH418" s="14"/>
      <c r="AI418" s="14"/>
      <c r="AJ418" s="14"/>
    </row>
    <row r="419" spans="1:36" s="5" customFormat="1" x14ac:dyDescent="0.25">
      <c r="A419"/>
      <c r="B419"/>
      <c r="C419" s="1"/>
      <c r="D419" s="1"/>
      <c r="E419" s="1"/>
      <c r="F419" s="1"/>
      <c r="G419" s="1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 s="3"/>
      <c r="AF419" s="3"/>
      <c r="AG419" s="3"/>
      <c r="AH419"/>
      <c r="AI419"/>
      <c r="AJ419" s="14"/>
    </row>
    <row r="420" spans="1:36" s="5" customFormat="1" x14ac:dyDescent="0.25">
      <c r="A420"/>
      <c r="B420"/>
      <c r="C420" s="1"/>
      <c r="D420" s="1"/>
      <c r="E420" s="1"/>
      <c r="F420" s="1"/>
      <c r="G420" s="1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 s="3"/>
      <c r="AF420" s="3"/>
      <c r="AG420" s="3"/>
      <c r="AH420" s="3"/>
      <c r="AI420" s="3"/>
      <c r="AJ420" s="14"/>
    </row>
    <row r="421" spans="1:36" s="5" customFormat="1" x14ac:dyDescent="0.25">
      <c r="A421"/>
      <c r="B421"/>
      <c r="C421" s="1"/>
      <c r="D421" s="1"/>
      <c r="E421" s="1"/>
      <c r="F421" s="1"/>
      <c r="G421" s="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 s="3"/>
      <c r="AF421" s="3"/>
      <c r="AG421" s="3"/>
      <c r="AH421" s="3"/>
      <c r="AI421" s="3"/>
      <c r="AJ421" s="14"/>
    </row>
    <row r="422" spans="1:36" s="5" customFormat="1" x14ac:dyDescent="0.25">
      <c r="A422"/>
      <c r="B422"/>
      <c r="C422" s="1"/>
      <c r="D422" s="1"/>
      <c r="E422" s="1"/>
      <c r="F422" s="1"/>
      <c r="G422" s="1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 s="3"/>
      <c r="AF422" s="3"/>
      <c r="AG422" s="3"/>
      <c r="AH422" s="3"/>
      <c r="AI422" s="3"/>
      <c r="AJ422" s="14"/>
    </row>
    <row r="423" spans="1:36" s="5" customFormat="1" x14ac:dyDescent="0.25">
      <c r="A423"/>
      <c r="B423"/>
      <c r="C423" s="1"/>
      <c r="D423" s="1"/>
      <c r="E423" s="1"/>
      <c r="F423" s="1"/>
      <c r="G423" s="1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 s="3"/>
      <c r="AF423" s="3"/>
      <c r="AG423" s="3"/>
      <c r="AH423" s="3"/>
      <c r="AI423" s="3"/>
      <c r="AJ423" s="14"/>
    </row>
    <row r="424" spans="1:36" s="5" customFormat="1" x14ac:dyDescent="0.25">
      <c r="A424"/>
      <c r="B424"/>
      <c r="C424" s="1"/>
      <c r="D424" s="1"/>
      <c r="E424" s="1"/>
      <c r="F424" s="1"/>
      <c r="G424" s="1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 s="3"/>
      <c r="AF424" s="3"/>
      <c r="AG424" s="3"/>
      <c r="AH424" s="3"/>
      <c r="AI424" s="3"/>
      <c r="AJ424" s="14"/>
    </row>
    <row r="425" spans="1:36" s="5" customFormat="1" x14ac:dyDescent="0.25">
      <c r="A425"/>
      <c r="B425"/>
      <c r="C425" s="1"/>
      <c r="D425" s="1"/>
      <c r="E425" s="1"/>
      <c r="F425" s="1"/>
      <c r="G425" s="1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 s="3"/>
      <c r="AF425" s="3"/>
      <c r="AG425" s="3"/>
      <c r="AH425" s="3"/>
      <c r="AI425" s="3"/>
      <c r="AJ425" s="14"/>
    </row>
    <row r="426" spans="1:36" s="5" customFormat="1" x14ac:dyDescent="0.25">
      <c r="A426"/>
      <c r="B426"/>
      <c r="C426" s="1"/>
      <c r="D426" s="1"/>
      <c r="E426" s="1"/>
      <c r="F426" s="1"/>
      <c r="G426" s="1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 s="3"/>
      <c r="AF426" s="3"/>
      <c r="AG426" s="3"/>
      <c r="AH426" s="3"/>
      <c r="AI426" s="3"/>
      <c r="AJ426" s="14"/>
    </row>
    <row r="427" spans="1:36" s="5" customFormat="1" x14ac:dyDescent="0.25">
      <c r="A427"/>
      <c r="B427"/>
      <c r="C427" s="1"/>
      <c r="D427" s="1"/>
      <c r="E427" s="1"/>
      <c r="F427" s="1"/>
      <c r="G427" s="1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 s="3"/>
      <c r="AF427" s="3"/>
      <c r="AG427" s="3"/>
      <c r="AH427" s="3"/>
      <c r="AI427" s="3"/>
      <c r="AJ427" s="14"/>
    </row>
    <row r="428" spans="1:36" s="5" customFormat="1" x14ac:dyDescent="0.25">
      <c r="A428"/>
      <c r="B428"/>
      <c r="C428" s="1"/>
      <c r="D428" s="1"/>
      <c r="E428" s="1"/>
      <c r="F428" s="1"/>
      <c r="G428" s="1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 s="3"/>
      <c r="AF428" s="3"/>
      <c r="AG428" s="3"/>
      <c r="AH428" s="3"/>
      <c r="AI428" s="3"/>
      <c r="AJ428" s="14"/>
    </row>
    <row r="429" spans="1:36" s="5" customFormat="1" x14ac:dyDescent="0.25">
      <c r="A429"/>
      <c r="B429"/>
      <c r="C429" s="1"/>
      <c r="D429" s="1"/>
      <c r="E429" s="1"/>
      <c r="F429" s="1"/>
      <c r="G429" s="1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 s="3"/>
      <c r="AF429" s="3"/>
      <c r="AG429" s="3"/>
      <c r="AH429" s="3"/>
      <c r="AI429" s="3"/>
      <c r="AJ429" s="14"/>
    </row>
    <row r="430" spans="1:36" s="5" customFormat="1" x14ac:dyDescent="0.25">
      <c r="A430"/>
      <c r="B430"/>
      <c r="C430" s="1"/>
      <c r="D430" s="1"/>
      <c r="E430" s="1"/>
      <c r="F430" s="1"/>
      <c r="G430" s="1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 s="3"/>
      <c r="AF430" s="3"/>
      <c r="AG430" s="3"/>
      <c r="AH430" s="3"/>
      <c r="AI430" s="3"/>
      <c r="AJ430" s="14"/>
    </row>
    <row r="431" spans="1:36" s="5" customFormat="1" x14ac:dyDescent="0.25">
      <c r="A431"/>
      <c r="B431"/>
      <c r="C431" s="1"/>
      <c r="D431" s="1"/>
      <c r="E431" s="1"/>
      <c r="F431" s="1"/>
      <c r="G431" s="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 s="3"/>
      <c r="AF431" s="3"/>
      <c r="AG431" s="3"/>
      <c r="AH431" s="3"/>
      <c r="AI431" s="3"/>
      <c r="AJ431" s="14"/>
    </row>
    <row r="432" spans="1:36" s="5" customFormat="1" x14ac:dyDescent="0.25">
      <c r="A432"/>
      <c r="B432"/>
      <c r="C432" s="1"/>
      <c r="D432" s="1"/>
      <c r="E432" s="1"/>
      <c r="F432" s="1"/>
      <c r="G432" s="1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 s="3"/>
      <c r="AF432" s="3"/>
      <c r="AG432" s="3"/>
      <c r="AH432" s="3"/>
      <c r="AI432" s="3"/>
      <c r="AJ432" s="14"/>
    </row>
    <row r="433" spans="1:37" s="5" customFormat="1" x14ac:dyDescent="0.25">
      <c r="A433"/>
      <c r="B433"/>
      <c r="C433" s="1"/>
      <c r="D433" s="1"/>
      <c r="E433" s="1"/>
      <c r="F433" s="1"/>
      <c r="G433" s="1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 s="3"/>
      <c r="AF433" s="3"/>
      <c r="AG433" s="3"/>
      <c r="AH433" s="3"/>
      <c r="AI433" s="3"/>
      <c r="AJ433" s="14"/>
    </row>
    <row r="434" spans="1:37" s="5" customFormat="1" x14ac:dyDescent="0.25">
      <c r="A434"/>
      <c r="B434"/>
      <c r="C434" s="1"/>
      <c r="D434" s="1"/>
      <c r="E434" s="1"/>
      <c r="F434" s="1"/>
      <c r="G434" s="1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 s="3"/>
      <c r="AF434" s="3"/>
      <c r="AG434" s="3"/>
      <c r="AH434" s="3"/>
      <c r="AI434" s="3"/>
      <c r="AJ434" s="14"/>
    </row>
    <row r="435" spans="1:37" s="5" customFormat="1" x14ac:dyDescent="0.25">
      <c r="A435"/>
      <c r="B435"/>
      <c r="C435" s="1"/>
      <c r="D435" s="1"/>
      <c r="E435" s="1"/>
      <c r="F435" s="1"/>
      <c r="G435" s="1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 s="3"/>
      <c r="AF435" s="3"/>
      <c r="AG435" s="3"/>
      <c r="AH435" s="3"/>
      <c r="AI435" s="3"/>
      <c r="AJ435" s="14"/>
    </row>
    <row r="436" spans="1:37" s="5" customFormat="1" x14ac:dyDescent="0.25">
      <c r="A436"/>
      <c r="B436"/>
      <c r="C436" s="1"/>
      <c r="D436" s="1"/>
      <c r="E436" s="1"/>
      <c r="F436" s="1"/>
      <c r="G436" s="1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 s="3"/>
      <c r="AF436" s="3"/>
      <c r="AG436" s="3"/>
      <c r="AH436" s="3"/>
      <c r="AI436" s="3"/>
      <c r="AJ436" s="14"/>
    </row>
    <row r="437" spans="1:37" s="5" customFormat="1" x14ac:dyDescent="0.25">
      <c r="A437"/>
      <c r="B437"/>
      <c r="C437" s="1"/>
      <c r="D437" s="1"/>
      <c r="E437" s="1"/>
      <c r="F437" s="1"/>
      <c r="G437" s="1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 s="3"/>
      <c r="AF437" s="3"/>
      <c r="AG437" s="3"/>
      <c r="AH437" s="3"/>
      <c r="AI437" s="3"/>
      <c r="AJ437" s="14"/>
    </row>
    <row r="438" spans="1:37" s="5" customFormat="1" x14ac:dyDescent="0.25">
      <c r="A438"/>
      <c r="B438"/>
      <c r="C438" s="1"/>
      <c r="D438" s="1"/>
      <c r="E438" s="1"/>
      <c r="F438" s="1"/>
      <c r="G438" s="1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 s="3"/>
      <c r="AF438" s="3"/>
      <c r="AG438" s="3"/>
      <c r="AH438" s="3"/>
      <c r="AI438" s="3"/>
      <c r="AJ438" s="14"/>
    </row>
    <row r="439" spans="1:37" s="5" customFormat="1" x14ac:dyDescent="0.25">
      <c r="A439"/>
      <c r="B439"/>
      <c r="C439" s="1"/>
      <c r="D439" s="1"/>
      <c r="E439" s="1"/>
      <c r="F439" s="1"/>
      <c r="G439" s="1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 s="3"/>
      <c r="AF439" s="3"/>
      <c r="AG439" s="3"/>
      <c r="AH439" s="3"/>
      <c r="AI439" s="3"/>
      <c r="AJ439" s="14"/>
    </row>
    <row r="440" spans="1:37" s="5" customFormat="1" x14ac:dyDescent="0.25">
      <c r="A440"/>
      <c r="B440"/>
      <c r="C440" s="1"/>
      <c r="D440" s="1"/>
      <c r="E440" s="1"/>
      <c r="F440" s="1"/>
      <c r="G440" s="1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 s="3"/>
      <c r="AF440" s="3"/>
      <c r="AG440" s="3"/>
      <c r="AH440" s="3"/>
      <c r="AI440" s="3"/>
      <c r="AJ440" s="14"/>
    </row>
    <row r="441" spans="1:37" s="5" customFormat="1" x14ac:dyDescent="0.25">
      <c r="A441"/>
      <c r="B441"/>
      <c r="C441" s="1"/>
      <c r="D441" s="1"/>
      <c r="E441" s="1"/>
      <c r="F441" s="1"/>
      <c r="G441" s="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 s="3"/>
      <c r="AF441" s="3"/>
      <c r="AG441" s="3"/>
      <c r="AH441" s="3"/>
      <c r="AI441" s="3"/>
      <c r="AJ441" s="14"/>
    </row>
    <row r="442" spans="1:37" s="5" customFormat="1" x14ac:dyDescent="0.25">
      <c r="A442"/>
      <c r="B442"/>
      <c r="C442" s="1"/>
      <c r="D442" s="1"/>
      <c r="E442" s="1"/>
      <c r="F442" s="1"/>
      <c r="G442" s="1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 s="3"/>
      <c r="AF442" s="3"/>
      <c r="AG442" s="3"/>
      <c r="AH442" s="3"/>
      <c r="AI442" s="3"/>
      <c r="AJ442" s="14"/>
    </row>
    <row r="443" spans="1:37" s="5" customFormat="1" x14ac:dyDescent="0.25">
      <c r="A443"/>
      <c r="B443"/>
      <c r="C443" s="1"/>
      <c r="D443" s="1"/>
      <c r="E443" s="1"/>
      <c r="F443" s="1"/>
      <c r="G443" s="1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 s="3"/>
      <c r="AF443" s="3"/>
      <c r="AG443" s="3"/>
      <c r="AH443" s="3"/>
      <c r="AI443" s="3"/>
      <c r="AJ443" s="14"/>
    </row>
    <row r="444" spans="1:37" s="5" customFormat="1" x14ac:dyDescent="0.25">
      <c r="A444"/>
      <c r="B444"/>
      <c r="C444" s="1"/>
      <c r="D444" s="1"/>
      <c r="E444" s="1"/>
      <c r="F444" s="1"/>
      <c r="G444" s="1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 s="3"/>
      <c r="AF444" s="3"/>
      <c r="AG444" s="3"/>
      <c r="AH444" s="3"/>
      <c r="AI444" s="3"/>
      <c r="AJ444" s="14"/>
    </row>
    <row r="445" spans="1:37" s="5" customFormat="1" x14ac:dyDescent="0.25">
      <c r="A445"/>
      <c r="B445"/>
      <c r="C445" s="1"/>
      <c r="D445" s="1"/>
      <c r="E445" s="1"/>
      <c r="F445" s="1"/>
      <c r="G445" s="1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 s="3"/>
      <c r="AF445" s="3"/>
      <c r="AG445" s="3"/>
      <c r="AH445" s="3"/>
      <c r="AI445" s="3"/>
      <c r="AJ445" s="14"/>
    </row>
    <row r="446" spans="1:37" s="5" customFormat="1" x14ac:dyDescent="0.25">
      <c r="A446"/>
      <c r="B446"/>
      <c r="C446" s="1"/>
      <c r="D446" s="1"/>
      <c r="E446" s="1"/>
      <c r="F446" s="1"/>
      <c r="G446" s="1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 s="3"/>
      <c r="AF446" s="3"/>
      <c r="AG446" s="3"/>
      <c r="AH446" s="3"/>
      <c r="AI446" s="3"/>
      <c r="AJ446"/>
      <c r="AK446"/>
    </row>
    <row r="447" spans="1:37" s="5" customFormat="1" x14ac:dyDescent="0.25">
      <c r="A447"/>
      <c r="B447"/>
      <c r="C447" s="1"/>
      <c r="D447" s="1"/>
      <c r="E447" s="1"/>
      <c r="F447" s="1"/>
      <c r="G447" s="1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 s="3"/>
      <c r="AF447" s="3"/>
      <c r="AG447" s="3"/>
      <c r="AH447" s="3"/>
      <c r="AI447" s="3"/>
      <c r="AJ447" s="3"/>
      <c r="AK447" s="3"/>
    </row>
    <row r="448" spans="1:37" s="5" customFormat="1" x14ac:dyDescent="0.25">
      <c r="A448"/>
      <c r="B448"/>
      <c r="C448" s="1"/>
      <c r="D448" s="1"/>
      <c r="E448" s="1"/>
      <c r="F448" s="1"/>
      <c r="G448" s="1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 s="3"/>
      <c r="AF448" s="3"/>
      <c r="AG448" s="3"/>
      <c r="AH448" s="3"/>
      <c r="AI448" s="3"/>
      <c r="AJ448" s="3"/>
      <c r="AK448" s="3"/>
    </row>
    <row r="449" spans="1:37" s="5" customFormat="1" x14ac:dyDescent="0.25">
      <c r="A449"/>
      <c r="B449"/>
      <c r="C449" s="1"/>
      <c r="D449" s="1"/>
      <c r="E449" s="1"/>
      <c r="F449" s="1"/>
      <c r="G449" s="1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 s="3"/>
      <c r="AF449" s="3"/>
      <c r="AG449" s="3"/>
      <c r="AH449" s="3"/>
      <c r="AI449" s="3"/>
      <c r="AJ449" s="3"/>
      <c r="AK449" s="3"/>
    </row>
    <row r="450" spans="1:37" s="5" customFormat="1" x14ac:dyDescent="0.25">
      <c r="A450"/>
      <c r="B450"/>
      <c r="C450" s="1"/>
      <c r="D450" s="1"/>
      <c r="E450" s="1"/>
      <c r="F450" s="1"/>
      <c r="G450" s="1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 s="3"/>
      <c r="AF450" s="3"/>
      <c r="AG450" s="3"/>
      <c r="AH450" s="3"/>
      <c r="AI450" s="3"/>
      <c r="AJ450" s="3"/>
      <c r="AK450" s="3"/>
    </row>
    <row r="451" spans="1:37" s="5" customFormat="1" x14ac:dyDescent="0.25">
      <c r="A451"/>
      <c r="B451"/>
      <c r="C451" s="1"/>
      <c r="D451" s="1"/>
      <c r="E451" s="1"/>
      <c r="F451" s="1"/>
      <c r="G451" s="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 s="3"/>
      <c r="AF451" s="3"/>
      <c r="AG451" s="3"/>
      <c r="AH451" s="3"/>
      <c r="AI451" s="3"/>
      <c r="AJ451" s="3"/>
      <c r="AK451" s="3"/>
    </row>
    <row r="452" spans="1:37" s="5" customFormat="1" x14ac:dyDescent="0.25">
      <c r="A452"/>
      <c r="B452"/>
      <c r="C452" s="1"/>
      <c r="D452" s="1"/>
      <c r="E452" s="1"/>
      <c r="F452" s="1"/>
      <c r="G452" s="1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 s="3"/>
      <c r="AF452" s="3"/>
      <c r="AG452" s="3"/>
      <c r="AH452" s="3"/>
      <c r="AI452" s="3"/>
      <c r="AJ452" s="3"/>
      <c r="AK452" s="3"/>
    </row>
    <row r="453" spans="1:37" s="5" customFormat="1" x14ac:dyDescent="0.25">
      <c r="A453"/>
      <c r="B453"/>
      <c r="C453" s="1"/>
      <c r="D453" s="1"/>
      <c r="E453" s="1"/>
      <c r="F453" s="1"/>
      <c r="G453" s="1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 s="3"/>
      <c r="AF453" s="3"/>
      <c r="AG453" s="3"/>
      <c r="AH453" s="3"/>
      <c r="AI453" s="3"/>
      <c r="AJ453" s="3"/>
      <c r="AK453" s="3"/>
    </row>
    <row r="454" spans="1:37" s="5" customFormat="1" x14ac:dyDescent="0.25">
      <c r="A454"/>
      <c r="B454"/>
      <c r="C454" s="1"/>
      <c r="D454" s="1"/>
      <c r="E454" s="1"/>
      <c r="F454" s="1"/>
      <c r="G454" s="1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 s="3"/>
      <c r="AF454" s="3"/>
      <c r="AG454" s="3"/>
      <c r="AH454" s="3"/>
      <c r="AI454" s="3"/>
      <c r="AJ454" s="3"/>
      <c r="AK454" s="3"/>
    </row>
    <row r="455" spans="1:37" s="5" customFormat="1" x14ac:dyDescent="0.25">
      <c r="A455"/>
      <c r="B455"/>
      <c r="C455" s="1"/>
      <c r="D455" s="1"/>
      <c r="E455" s="1"/>
      <c r="F455" s="1"/>
      <c r="G455" s="1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 s="3"/>
      <c r="AF455" s="3"/>
      <c r="AG455" s="3"/>
      <c r="AH455" s="3"/>
      <c r="AI455" s="3"/>
      <c r="AJ455" s="3"/>
      <c r="AK455" s="3"/>
    </row>
    <row r="456" spans="1:37" s="5" customFormat="1" x14ac:dyDescent="0.25">
      <c r="A456"/>
      <c r="B456"/>
      <c r="C456" s="1"/>
      <c r="D456" s="1"/>
      <c r="E456" s="1"/>
      <c r="F456" s="1"/>
      <c r="G456" s="1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 s="3"/>
      <c r="AF456" s="3"/>
      <c r="AG456" s="3"/>
      <c r="AH456" s="3"/>
      <c r="AI456" s="3"/>
      <c r="AJ456" s="3"/>
      <c r="AK456" s="3"/>
    </row>
    <row r="457" spans="1:37" s="5" customFormat="1" x14ac:dyDescent="0.25">
      <c r="A457"/>
      <c r="B457"/>
      <c r="C457" s="1"/>
      <c r="D457" s="1"/>
      <c r="E457" s="1"/>
      <c r="F457" s="1"/>
      <c r="G457" s="1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 s="3"/>
      <c r="AF457" s="3"/>
      <c r="AG457" s="3"/>
      <c r="AH457" s="3"/>
      <c r="AI457" s="3"/>
      <c r="AJ457" s="3"/>
      <c r="AK457" s="3"/>
    </row>
    <row r="458" spans="1:37" s="5" customFormat="1" x14ac:dyDescent="0.25">
      <c r="A458"/>
      <c r="B458"/>
      <c r="C458" s="1"/>
      <c r="D458" s="1"/>
      <c r="E458" s="1"/>
      <c r="F458" s="1"/>
      <c r="G458" s="1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 s="3"/>
      <c r="AF458" s="3"/>
      <c r="AG458" s="3"/>
      <c r="AH458" s="3"/>
      <c r="AI458" s="3"/>
      <c r="AJ458" s="3"/>
      <c r="AK458" s="3"/>
    </row>
    <row r="459" spans="1:37" s="5" customFormat="1" x14ac:dyDescent="0.25">
      <c r="A459"/>
      <c r="B459"/>
      <c r="C459" s="1"/>
      <c r="D459" s="1"/>
      <c r="E459" s="1"/>
      <c r="F459" s="1"/>
      <c r="G459" s="1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 s="3"/>
      <c r="AF459" s="3"/>
      <c r="AG459" s="3"/>
      <c r="AH459" s="3"/>
      <c r="AI459" s="3"/>
      <c r="AJ459" s="3"/>
      <c r="AK459" s="3"/>
    </row>
    <row r="460" spans="1:37" s="5" customFormat="1" x14ac:dyDescent="0.25">
      <c r="A460"/>
      <c r="B460"/>
      <c r="C460" s="1"/>
      <c r="D460" s="1"/>
      <c r="E460" s="1"/>
      <c r="F460" s="1"/>
      <c r="G460" s="1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 s="3"/>
      <c r="AF460" s="3"/>
      <c r="AG460" s="3"/>
      <c r="AH460" s="3"/>
      <c r="AI460" s="3"/>
      <c r="AJ460" s="3"/>
      <c r="AK460" s="3"/>
    </row>
    <row r="461" spans="1:37" s="5" customFormat="1" x14ac:dyDescent="0.25">
      <c r="A461"/>
      <c r="B461"/>
      <c r="C461" s="1"/>
      <c r="D461" s="1"/>
      <c r="E461" s="1"/>
      <c r="F461" s="1"/>
      <c r="G461" s="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 s="3"/>
      <c r="AF461" s="3"/>
      <c r="AG461" s="3"/>
      <c r="AH461" s="3"/>
      <c r="AI461" s="3"/>
      <c r="AJ461" s="3"/>
      <c r="AK461" s="3"/>
    </row>
    <row r="462" spans="1:37" s="5" customFormat="1" x14ac:dyDescent="0.25">
      <c r="A462"/>
      <c r="B462"/>
      <c r="C462" s="1"/>
      <c r="D462" s="1"/>
      <c r="E462" s="1"/>
      <c r="F462" s="1"/>
      <c r="G462" s="1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 s="3"/>
      <c r="AF462" s="3"/>
      <c r="AG462" s="3"/>
      <c r="AH462" s="3"/>
      <c r="AI462" s="3"/>
      <c r="AJ462" s="3"/>
      <c r="AK462" s="3"/>
    </row>
    <row r="463" spans="1:37" s="5" customFormat="1" x14ac:dyDescent="0.25">
      <c r="A463"/>
      <c r="B463"/>
      <c r="C463" s="1"/>
      <c r="D463" s="1"/>
      <c r="E463" s="1"/>
      <c r="F463" s="1"/>
      <c r="G463" s="1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 s="3"/>
      <c r="AF463" s="3"/>
      <c r="AG463" s="3"/>
      <c r="AH463" s="3"/>
      <c r="AI463" s="3"/>
      <c r="AJ463" s="3"/>
      <c r="AK463" s="3"/>
    </row>
    <row r="464" spans="1:37" s="5" customFormat="1" x14ac:dyDescent="0.25">
      <c r="A464"/>
      <c r="B464"/>
      <c r="C464" s="1"/>
      <c r="D464" s="1"/>
      <c r="E464" s="1"/>
      <c r="F464" s="1"/>
      <c r="G464" s="1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 s="3"/>
      <c r="AF464" s="3"/>
      <c r="AG464" s="3"/>
      <c r="AH464" s="3"/>
      <c r="AI464" s="3"/>
      <c r="AJ464" s="3"/>
      <c r="AK464" s="3"/>
    </row>
    <row r="465" spans="1:37" s="5" customFormat="1" x14ac:dyDescent="0.25">
      <c r="A465"/>
      <c r="B465"/>
      <c r="C465" s="1"/>
      <c r="D465" s="1"/>
      <c r="E465" s="1"/>
      <c r="F465" s="1"/>
      <c r="G465" s="1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 s="3"/>
      <c r="AF465" s="3"/>
      <c r="AG465" s="3"/>
      <c r="AH465" s="3"/>
      <c r="AI465" s="3"/>
      <c r="AJ465" s="3"/>
      <c r="AK465" s="3"/>
    </row>
    <row r="466" spans="1:37" s="5" customFormat="1" x14ac:dyDescent="0.25">
      <c r="A466"/>
      <c r="B466"/>
      <c r="C466" s="1"/>
      <c r="D466" s="1"/>
      <c r="E466" s="1"/>
      <c r="F466" s="1"/>
      <c r="G466" s="1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 s="3"/>
      <c r="AF466" s="3"/>
      <c r="AG466" s="3"/>
      <c r="AH466" s="3"/>
      <c r="AI466" s="3"/>
      <c r="AJ466" s="3"/>
      <c r="AK466" s="3"/>
    </row>
    <row r="467" spans="1:37" s="5" customFormat="1" x14ac:dyDescent="0.25">
      <c r="A467"/>
      <c r="B467"/>
      <c r="C467" s="1"/>
      <c r="D467" s="1"/>
      <c r="E467" s="1"/>
      <c r="F467" s="1"/>
      <c r="G467" s="1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 s="3"/>
      <c r="AF467" s="3"/>
      <c r="AG467" s="3"/>
      <c r="AH467" s="3"/>
      <c r="AI467" s="3"/>
      <c r="AJ467" s="3"/>
      <c r="AK467" s="3"/>
    </row>
    <row r="468" spans="1:37" s="5" customFormat="1" x14ac:dyDescent="0.25">
      <c r="A468"/>
      <c r="B468"/>
      <c r="C468" s="1"/>
      <c r="D468" s="1"/>
      <c r="E468" s="1"/>
      <c r="F468" s="1"/>
      <c r="G468" s="1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 s="3"/>
      <c r="AF468" s="3"/>
      <c r="AG468" s="3"/>
      <c r="AH468" s="3"/>
      <c r="AI468" s="3"/>
      <c r="AJ468" s="3"/>
      <c r="AK468" s="3"/>
    </row>
    <row r="469" spans="1:37" s="5" customFormat="1" x14ac:dyDescent="0.25">
      <c r="A469"/>
      <c r="B469"/>
      <c r="C469" s="1"/>
      <c r="D469" s="1"/>
      <c r="E469" s="1"/>
      <c r="F469" s="1"/>
      <c r="G469" s="1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 s="3"/>
      <c r="AF469" s="3"/>
      <c r="AG469" s="3"/>
      <c r="AH469" s="3"/>
      <c r="AI469" s="3"/>
      <c r="AJ469" s="3"/>
      <c r="AK469" s="3"/>
    </row>
    <row r="470" spans="1:37" s="5" customFormat="1" x14ac:dyDescent="0.25">
      <c r="A470"/>
      <c r="B470"/>
      <c r="C470" s="1"/>
      <c r="D470" s="1"/>
      <c r="E470" s="1"/>
      <c r="F470" s="1"/>
      <c r="G470" s="1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 s="3"/>
      <c r="AF470" s="3"/>
      <c r="AG470" s="3"/>
      <c r="AH470" s="3"/>
      <c r="AI470" s="3"/>
      <c r="AJ470" s="3"/>
      <c r="AK470" s="3"/>
    </row>
    <row r="471" spans="1:37" s="5" customFormat="1" x14ac:dyDescent="0.25">
      <c r="A471"/>
      <c r="B471"/>
      <c r="C471" s="1"/>
      <c r="D471" s="1"/>
      <c r="E471" s="1"/>
      <c r="F471" s="1"/>
      <c r="G471" s="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 s="3"/>
      <c r="AF471" s="3"/>
      <c r="AG471" s="3"/>
      <c r="AH471" s="3"/>
      <c r="AI471" s="3"/>
      <c r="AJ471" s="3"/>
      <c r="AK471" s="3"/>
    </row>
    <row r="472" spans="1:37" s="5" customFormat="1" x14ac:dyDescent="0.25">
      <c r="A472"/>
      <c r="B472"/>
      <c r="C472" s="1"/>
      <c r="D472" s="1"/>
      <c r="E472" s="1"/>
      <c r="F472" s="1"/>
      <c r="G472" s="1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 s="3"/>
      <c r="AF472" s="3"/>
      <c r="AG472" s="3"/>
      <c r="AH472" s="3"/>
      <c r="AI472" s="3"/>
      <c r="AJ472" s="3"/>
      <c r="AK472" s="3"/>
    </row>
    <row r="473" spans="1:37" s="5" customFormat="1" x14ac:dyDescent="0.25">
      <c r="A473"/>
      <c r="B473"/>
      <c r="C473" s="1"/>
      <c r="D473" s="1"/>
      <c r="E473" s="1"/>
      <c r="F473" s="1"/>
      <c r="G473" s="1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 s="3"/>
      <c r="AF473" s="3"/>
      <c r="AG473" s="3"/>
      <c r="AH473" s="3"/>
      <c r="AI473" s="3"/>
      <c r="AJ473" s="3"/>
      <c r="AK473" s="3"/>
    </row>
    <row r="474" spans="1:37" s="5" customFormat="1" x14ac:dyDescent="0.25">
      <c r="A474"/>
      <c r="B474"/>
      <c r="C474" s="1"/>
      <c r="D474" s="1"/>
      <c r="E474" s="1"/>
      <c r="F474" s="1"/>
      <c r="G474" s="1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 s="3"/>
      <c r="AF474" s="3"/>
      <c r="AG474" s="3"/>
      <c r="AH474" s="3"/>
      <c r="AI474" s="3"/>
      <c r="AJ474" s="3"/>
      <c r="AK474" s="3"/>
    </row>
    <row r="475" spans="1:37" s="5" customFormat="1" x14ac:dyDescent="0.25">
      <c r="A475"/>
      <c r="B475"/>
      <c r="C475" s="1"/>
      <c r="D475" s="1"/>
      <c r="E475" s="1"/>
      <c r="F475" s="1"/>
      <c r="G475" s="1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 s="3"/>
      <c r="AF475" s="3"/>
      <c r="AG475" s="3"/>
      <c r="AH475" s="3"/>
      <c r="AI475" s="3"/>
      <c r="AJ475" s="3"/>
      <c r="AK475" s="3"/>
    </row>
    <row r="476" spans="1:37" s="5" customFormat="1" x14ac:dyDescent="0.25">
      <c r="A476"/>
      <c r="B476"/>
      <c r="C476" s="1"/>
      <c r="D476" s="1"/>
      <c r="E476" s="1"/>
      <c r="F476" s="1"/>
      <c r="G476" s="1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 s="3"/>
      <c r="AF476" s="3"/>
      <c r="AG476" s="3"/>
      <c r="AH476" s="3"/>
      <c r="AI476" s="3"/>
      <c r="AJ476" s="3"/>
      <c r="AK476" s="3"/>
    </row>
    <row r="477" spans="1:37" s="5" customFormat="1" x14ac:dyDescent="0.25">
      <c r="A477"/>
      <c r="B477"/>
      <c r="C477" s="1"/>
      <c r="D477" s="1"/>
      <c r="E477" s="1"/>
      <c r="F477" s="1"/>
      <c r="G477" s="1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 s="3"/>
      <c r="AF477" s="3"/>
      <c r="AG477" s="3"/>
      <c r="AH477" s="3"/>
      <c r="AI477" s="3"/>
      <c r="AJ477" s="3"/>
      <c r="AK477" s="3"/>
    </row>
    <row r="478" spans="1:37" s="5" customFormat="1" x14ac:dyDescent="0.25">
      <c r="A478"/>
      <c r="B478"/>
      <c r="C478" s="1"/>
      <c r="D478" s="1"/>
      <c r="E478" s="1"/>
      <c r="F478" s="1"/>
      <c r="G478" s="1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 s="3"/>
      <c r="AF478" s="3"/>
      <c r="AG478" s="3"/>
      <c r="AH478" s="3"/>
      <c r="AI478" s="3"/>
      <c r="AJ478" s="3"/>
      <c r="AK478" s="3"/>
    </row>
    <row r="479" spans="1:37" s="5" customFormat="1" x14ac:dyDescent="0.25">
      <c r="A479"/>
      <c r="B479"/>
      <c r="C479" s="1"/>
      <c r="D479" s="1"/>
      <c r="E479" s="1"/>
      <c r="F479" s="1"/>
      <c r="G479" s="1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 s="3"/>
      <c r="AF479" s="3"/>
      <c r="AG479" s="3"/>
      <c r="AH479" s="3"/>
      <c r="AI479" s="3"/>
      <c r="AJ479" s="3"/>
      <c r="AK479" s="3"/>
    </row>
    <row r="480" spans="1:37" s="5" customFormat="1" x14ac:dyDescent="0.25">
      <c r="A480"/>
      <c r="B480"/>
      <c r="C480" s="1"/>
      <c r="D480" s="1"/>
      <c r="E480" s="1"/>
      <c r="F480" s="1"/>
      <c r="G480" s="1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 s="3"/>
      <c r="AF480" s="3"/>
      <c r="AG480" s="3"/>
      <c r="AH480" s="3"/>
      <c r="AI480" s="3"/>
      <c r="AJ480" s="3"/>
      <c r="AK480" s="3"/>
    </row>
    <row r="481" spans="1:37" s="5" customFormat="1" x14ac:dyDescent="0.25">
      <c r="A481"/>
      <c r="B481"/>
      <c r="C481" s="1"/>
      <c r="D481" s="1"/>
      <c r="E481" s="1"/>
      <c r="F481" s="1"/>
      <c r="G481" s="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 s="3"/>
      <c r="AF481" s="3"/>
      <c r="AG481" s="3"/>
      <c r="AH481" s="3"/>
      <c r="AI481" s="3"/>
      <c r="AJ481" s="3"/>
      <c r="AK481" s="3"/>
    </row>
    <row r="482" spans="1:37" s="5" customFormat="1" x14ac:dyDescent="0.25">
      <c r="A482"/>
      <c r="B482"/>
      <c r="C482" s="1"/>
      <c r="D482" s="1"/>
      <c r="E482" s="1"/>
      <c r="F482" s="1"/>
      <c r="G482" s="1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 s="3"/>
      <c r="AF482" s="3"/>
      <c r="AG482" s="3"/>
      <c r="AH482" s="3"/>
      <c r="AI482" s="3"/>
      <c r="AJ482" s="3"/>
      <c r="AK482" s="3"/>
    </row>
    <row r="483" spans="1:37" s="5" customFormat="1" x14ac:dyDescent="0.25">
      <c r="A483"/>
      <c r="B483"/>
      <c r="C483" s="1"/>
      <c r="D483" s="1"/>
      <c r="E483" s="1"/>
      <c r="F483" s="1"/>
      <c r="G483" s="1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 s="3"/>
      <c r="AF483" s="3"/>
      <c r="AG483" s="3"/>
      <c r="AH483" s="3"/>
      <c r="AI483" s="3"/>
      <c r="AJ483" s="3"/>
      <c r="AK483" s="3"/>
    </row>
    <row r="484" spans="1:37" s="5" customFormat="1" x14ac:dyDescent="0.25">
      <c r="A484"/>
      <c r="B484"/>
      <c r="C484" s="1"/>
      <c r="D484" s="1"/>
      <c r="E484" s="1"/>
      <c r="F484" s="1"/>
      <c r="G484" s="1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 s="3"/>
      <c r="AF484" s="3"/>
      <c r="AG484" s="3"/>
      <c r="AH484" s="3"/>
      <c r="AI484" s="3"/>
      <c r="AJ484" s="3"/>
      <c r="AK484" s="3"/>
    </row>
    <row r="485" spans="1:37" s="5" customFormat="1" x14ac:dyDescent="0.25">
      <c r="A485"/>
      <c r="B485"/>
      <c r="C485" s="1"/>
      <c r="D485" s="1"/>
      <c r="E485" s="1"/>
      <c r="F485" s="1"/>
      <c r="G485" s="1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 s="3"/>
      <c r="AF485" s="3"/>
      <c r="AG485" s="3"/>
      <c r="AH485" s="3"/>
      <c r="AI485" s="3"/>
      <c r="AJ485" s="3"/>
      <c r="AK485" s="3"/>
    </row>
    <row r="486" spans="1:37" s="5" customFormat="1" x14ac:dyDescent="0.25">
      <c r="A486"/>
      <c r="B486"/>
      <c r="C486" s="1"/>
      <c r="D486" s="1"/>
      <c r="E486" s="1"/>
      <c r="F486" s="1"/>
      <c r="G486" s="1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 s="3"/>
      <c r="AF486" s="3"/>
      <c r="AG486" s="3"/>
      <c r="AH486" s="3"/>
      <c r="AI486" s="3"/>
      <c r="AJ486" s="3"/>
      <c r="AK486" s="3"/>
    </row>
    <row r="487" spans="1:37" s="5" customFormat="1" x14ac:dyDescent="0.25">
      <c r="A487"/>
      <c r="B487"/>
      <c r="C487" s="1"/>
      <c r="D487" s="1"/>
      <c r="E487" s="1"/>
      <c r="F487" s="1"/>
      <c r="G487" s="1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 s="3"/>
      <c r="AF487" s="3"/>
      <c r="AG487" s="3"/>
      <c r="AH487" s="3"/>
      <c r="AI487" s="3"/>
      <c r="AJ487" s="3"/>
      <c r="AK487" s="3"/>
    </row>
    <row r="488" spans="1:37" s="5" customFormat="1" x14ac:dyDescent="0.25">
      <c r="A488"/>
      <c r="B488"/>
      <c r="C488" s="1"/>
      <c r="D488" s="1"/>
      <c r="E488" s="1"/>
      <c r="F488" s="1"/>
      <c r="G488" s="1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 s="3"/>
      <c r="AF488" s="3"/>
      <c r="AG488" s="3"/>
      <c r="AH488" s="3"/>
      <c r="AI488" s="3"/>
      <c r="AJ488" s="3"/>
      <c r="AK488" s="3"/>
    </row>
    <row r="489" spans="1:37" s="5" customFormat="1" x14ac:dyDescent="0.25">
      <c r="A489"/>
      <c r="B489"/>
      <c r="C489" s="1"/>
      <c r="D489" s="1"/>
      <c r="E489" s="1"/>
      <c r="F489" s="1"/>
      <c r="G489" s="1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 s="3"/>
      <c r="AF489" s="3"/>
      <c r="AG489" s="3"/>
      <c r="AH489" s="3"/>
      <c r="AI489" s="3"/>
      <c r="AJ489" s="3"/>
      <c r="AK489" s="3"/>
    </row>
    <row r="490" spans="1:37" s="5" customFormat="1" x14ac:dyDescent="0.25">
      <c r="A490"/>
      <c r="B490"/>
      <c r="C490" s="1"/>
      <c r="D490" s="1"/>
      <c r="E490" s="1"/>
      <c r="F490" s="1"/>
      <c r="G490" s="1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 s="3"/>
      <c r="AF490" s="3"/>
      <c r="AG490" s="3"/>
      <c r="AH490" s="3"/>
      <c r="AI490" s="3"/>
      <c r="AJ490" s="3"/>
      <c r="AK490" s="3"/>
    </row>
    <row r="491" spans="1:37" s="5" customFormat="1" x14ac:dyDescent="0.25">
      <c r="A491"/>
      <c r="B491"/>
      <c r="C491" s="1"/>
      <c r="D491" s="1"/>
      <c r="E491" s="1"/>
      <c r="F491" s="1"/>
      <c r="G491" s="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 s="3"/>
      <c r="AF491" s="3"/>
      <c r="AG491" s="3"/>
      <c r="AH491" s="3"/>
      <c r="AI491" s="3"/>
      <c r="AJ491" s="3"/>
      <c r="AK491" s="3"/>
    </row>
    <row r="492" spans="1:37" s="5" customFormat="1" x14ac:dyDescent="0.25">
      <c r="A492"/>
      <c r="B492"/>
      <c r="C492" s="1"/>
      <c r="D492" s="1"/>
      <c r="E492" s="1"/>
      <c r="F492" s="1"/>
      <c r="G492" s="1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 s="3"/>
      <c r="AF492" s="3"/>
      <c r="AG492" s="3"/>
      <c r="AH492" s="3"/>
      <c r="AI492" s="3"/>
      <c r="AJ492" s="3"/>
      <c r="AK492" s="3"/>
    </row>
    <row r="493" spans="1:37" s="5" customFormat="1" x14ac:dyDescent="0.25">
      <c r="A493"/>
      <c r="B493"/>
      <c r="C493" s="1"/>
      <c r="D493" s="1"/>
      <c r="E493" s="1"/>
      <c r="F493" s="1"/>
      <c r="G493" s="1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 s="3"/>
      <c r="AF493" s="3"/>
      <c r="AG493" s="3"/>
      <c r="AH493" s="3"/>
      <c r="AI493" s="3"/>
      <c r="AJ493" s="3"/>
      <c r="AK493" s="3"/>
    </row>
    <row r="494" spans="1:37" s="5" customFormat="1" x14ac:dyDescent="0.25">
      <c r="A494"/>
      <c r="B494"/>
      <c r="C494" s="1"/>
      <c r="D494" s="1"/>
      <c r="E494" s="1"/>
      <c r="F494" s="1"/>
      <c r="G494" s="1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 s="3"/>
      <c r="AF494" s="3"/>
      <c r="AG494" s="3"/>
      <c r="AH494" s="3"/>
      <c r="AI494" s="3"/>
      <c r="AJ494" s="3"/>
      <c r="AK494" s="3"/>
    </row>
    <row r="495" spans="1:37" s="5" customFormat="1" x14ac:dyDescent="0.25">
      <c r="A495"/>
      <c r="B495"/>
      <c r="C495" s="1"/>
      <c r="D495" s="1"/>
      <c r="E495" s="1"/>
      <c r="F495" s="1"/>
      <c r="G495" s="1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 s="3"/>
      <c r="AF495" s="3"/>
      <c r="AG495" s="3"/>
      <c r="AH495" s="3"/>
      <c r="AI495" s="3"/>
      <c r="AJ495" s="3"/>
      <c r="AK495" s="3"/>
    </row>
    <row r="496" spans="1:37" s="5" customFormat="1" x14ac:dyDescent="0.25">
      <c r="A496"/>
      <c r="B496"/>
      <c r="C496" s="1"/>
      <c r="D496" s="1"/>
      <c r="E496" s="1"/>
      <c r="F496" s="1"/>
      <c r="G496" s="1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 s="3"/>
      <c r="AF496" s="3"/>
      <c r="AG496" s="3"/>
      <c r="AH496" s="3"/>
      <c r="AI496" s="3"/>
      <c r="AJ496" s="3"/>
      <c r="AK496" s="3"/>
    </row>
    <row r="497" spans="1:37" s="5" customFormat="1" x14ac:dyDescent="0.25">
      <c r="A497"/>
      <c r="B497"/>
      <c r="C497" s="1"/>
      <c r="D497" s="1"/>
      <c r="E497" s="1"/>
      <c r="F497" s="1"/>
      <c r="G497" s="1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 s="3"/>
      <c r="AF497" s="3"/>
      <c r="AG497" s="3"/>
      <c r="AH497" s="3"/>
      <c r="AI497" s="3"/>
      <c r="AJ497" s="3"/>
      <c r="AK497" s="3"/>
    </row>
    <row r="498" spans="1:37" s="5" customFormat="1" x14ac:dyDescent="0.25">
      <c r="A498"/>
      <c r="B498"/>
      <c r="C498" s="1"/>
      <c r="D498" s="1"/>
      <c r="E498" s="1"/>
      <c r="F498" s="1"/>
      <c r="G498" s="1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 s="3"/>
      <c r="AF498" s="3"/>
      <c r="AG498" s="3"/>
      <c r="AH498" s="3"/>
      <c r="AI498" s="3"/>
      <c r="AJ498" s="3"/>
      <c r="AK498" s="3"/>
    </row>
    <row r="499" spans="1:37" s="5" customFormat="1" x14ac:dyDescent="0.25">
      <c r="A499"/>
      <c r="B499"/>
      <c r="C499" s="1"/>
      <c r="D499" s="1"/>
      <c r="E499" s="1"/>
      <c r="F499" s="1"/>
      <c r="G499" s="1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 s="3"/>
      <c r="AF499" s="3"/>
      <c r="AG499" s="3"/>
      <c r="AH499" s="3"/>
      <c r="AI499" s="3"/>
      <c r="AJ499" s="3"/>
      <c r="AK499" s="3"/>
    </row>
    <row r="500" spans="1:37" s="5" customFormat="1" x14ac:dyDescent="0.25">
      <c r="A500"/>
      <c r="B500"/>
      <c r="C500" s="1"/>
      <c r="D500" s="1"/>
      <c r="E500" s="1"/>
      <c r="F500" s="1"/>
      <c r="G500" s="1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 s="3"/>
      <c r="AF500" s="3"/>
      <c r="AG500" s="3"/>
      <c r="AH500" s="3"/>
      <c r="AI500" s="3"/>
      <c r="AJ500" s="3"/>
      <c r="AK500" s="3"/>
    </row>
    <row r="501" spans="1:37" s="5" customFormat="1" x14ac:dyDescent="0.25">
      <c r="A501"/>
      <c r="B501"/>
      <c r="C501" s="1"/>
      <c r="D501" s="1"/>
      <c r="E501" s="1"/>
      <c r="F501" s="1"/>
      <c r="G501" s="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 s="3"/>
      <c r="AF501" s="3"/>
      <c r="AG501" s="3"/>
      <c r="AH501" s="3"/>
      <c r="AI501" s="3"/>
      <c r="AJ501" s="3"/>
      <c r="AK501" s="3"/>
    </row>
    <row r="502" spans="1:37" s="5" customFormat="1" x14ac:dyDescent="0.25">
      <c r="A502"/>
      <c r="B502"/>
      <c r="C502" s="1"/>
      <c r="D502" s="1"/>
      <c r="E502" s="1"/>
      <c r="F502" s="1"/>
      <c r="G502" s="1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 s="3"/>
      <c r="AF502" s="3"/>
      <c r="AG502" s="3"/>
      <c r="AH502" s="3"/>
      <c r="AI502" s="3"/>
      <c r="AJ502" s="3"/>
      <c r="AK502" s="3"/>
    </row>
    <row r="503" spans="1:37" s="5" customFormat="1" x14ac:dyDescent="0.25">
      <c r="A503"/>
      <c r="B503"/>
      <c r="C503" s="1"/>
      <c r="D503" s="1"/>
      <c r="E503" s="1"/>
      <c r="F503" s="1"/>
      <c r="G503" s="1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 s="3"/>
      <c r="AF503" s="3"/>
      <c r="AG503" s="3"/>
      <c r="AH503" s="3"/>
      <c r="AI503" s="3"/>
      <c r="AJ503" s="3"/>
      <c r="AK503" s="3"/>
    </row>
    <row r="504" spans="1:37" s="5" customFormat="1" x14ac:dyDescent="0.25">
      <c r="A504"/>
      <c r="B504"/>
      <c r="C504" s="1"/>
      <c r="D504" s="1"/>
      <c r="E504" s="1"/>
      <c r="F504" s="1"/>
      <c r="G504" s="1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 s="3"/>
      <c r="AF504" s="3"/>
      <c r="AG504" s="3"/>
      <c r="AH504" s="3"/>
      <c r="AI504" s="3"/>
      <c r="AJ504" s="3"/>
      <c r="AK504" s="3"/>
    </row>
    <row r="505" spans="1:37" s="5" customFormat="1" x14ac:dyDescent="0.25">
      <c r="A505"/>
      <c r="B505"/>
      <c r="C505" s="1"/>
      <c r="D505" s="1"/>
      <c r="E505" s="1"/>
      <c r="F505" s="1"/>
      <c r="G505" s="1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 s="3"/>
      <c r="AF505" s="3"/>
      <c r="AG505" s="3"/>
      <c r="AH505" s="3"/>
      <c r="AI505" s="3"/>
      <c r="AJ505" s="3"/>
      <c r="AK505" s="3"/>
    </row>
    <row r="506" spans="1:37" s="5" customFormat="1" x14ac:dyDescent="0.25">
      <c r="A506"/>
      <c r="B506"/>
      <c r="C506" s="1"/>
      <c r="D506" s="1"/>
      <c r="E506" s="1"/>
      <c r="F506" s="1"/>
      <c r="G506" s="1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 s="3"/>
      <c r="AF506" s="3"/>
      <c r="AG506" s="3"/>
      <c r="AH506" s="3"/>
      <c r="AI506" s="3"/>
      <c r="AJ506" s="3"/>
      <c r="AK506" s="3"/>
    </row>
    <row r="507" spans="1:37" s="5" customFormat="1" x14ac:dyDescent="0.25">
      <c r="A507"/>
      <c r="B507"/>
      <c r="C507" s="1"/>
      <c r="D507" s="1"/>
      <c r="E507" s="1"/>
      <c r="F507" s="1"/>
      <c r="G507" s="1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 s="3"/>
      <c r="AF507" s="3"/>
      <c r="AG507" s="3"/>
      <c r="AH507" s="3"/>
      <c r="AI507" s="3"/>
      <c r="AJ507" s="3"/>
      <c r="AK507" s="3"/>
    </row>
    <row r="508" spans="1:37" s="5" customFormat="1" x14ac:dyDescent="0.25">
      <c r="A508"/>
      <c r="B508"/>
      <c r="C508" s="1"/>
      <c r="D508" s="1"/>
      <c r="E508" s="1"/>
      <c r="F508" s="1"/>
      <c r="G508" s="1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 s="3"/>
      <c r="AF508" s="3"/>
      <c r="AG508" s="3"/>
      <c r="AH508" s="3"/>
      <c r="AI508" s="3"/>
      <c r="AJ508" s="3"/>
      <c r="AK508" s="3"/>
    </row>
    <row r="509" spans="1:37" s="5" customFormat="1" x14ac:dyDescent="0.25">
      <c r="A509"/>
      <c r="B509"/>
      <c r="C509" s="1"/>
      <c r="D509" s="1"/>
      <c r="E509" s="1"/>
      <c r="F509" s="1"/>
      <c r="G509" s="1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 s="3"/>
      <c r="AF509" s="3"/>
      <c r="AG509" s="3"/>
      <c r="AH509" s="3"/>
      <c r="AI509" s="3"/>
      <c r="AJ509" s="3"/>
      <c r="AK509" s="3"/>
    </row>
    <row r="510" spans="1:37" s="5" customFormat="1" x14ac:dyDescent="0.25">
      <c r="A510"/>
      <c r="B510"/>
      <c r="C510" s="1"/>
      <c r="D510" s="1"/>
      <c r="E510" s="1"/>
      <c r="F510" s="1"/>
      <c r="G510" s="1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 s="3"/>
      <c r="AF510" s="3"/>
      <c r="AG510" s="3"/>
      <c r="AH510" s="3"/>
      <c r="AI510" s="3"/>
      <c r="AJ510" s="3"/>
      <c r="AK510" s="3"/>
    </row>
    <row r="511" spans="1:37" s="5" customFormat="1" x14ac:dyDescent="0.25">
      <c r="A511"/>
      <c r="B511"/>
      <c r="C511" s="1"/>
      <c r="D511" s="1"/>
      <c r="E511" s="1"/>
      <c r="F511" s="1"/>
      <c r="G511" s="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 s="3"/>
      <c r="AF511" s="3"/>
      <c r="AG511" s="3"/>
      <c r="AH511" s="3"/>
      <c r="AI511" s="3"/>
      <c r="AJ511" s="3"/>
      <c r="AK511" s="3"/>
    </row>
    <row r="512" spans="1:37" s="5" customFormat="1" x14ac:dyDescent="0.25">
      <c r="A512"/>
      <c r="B512"/>
      <c r="C512" s="1"/>
      <c r="D512" s="1"/>
      <c r="E512" s="1"/>
      <c r="F512" s="1"/>
      <c r="G512" s="1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 s="3"/>
      <c r="AF512" s="3"/>
      <c r="AG512" s="3"/>
      <c r="AH512" s="3"/>
      <c r="AI512" s="3"/>
      <c r="AJ512" s="3"/>
      <c r="AK512" s="3"/>
    </row>
    <row r="513" spans="1:37" s="5" customFormat="1" x14ac:dyDescent="0.25">
      <c r="A513"/>
      <c r="B513"/>
      <c r="C513" s="1"/>
      <c r="D513" s="1"/>
      <c r="E513" s="1"/>
      <c r="F513" s="1"/>
      <c r="G513" s="1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 s="3"/>
      <c r="AF513" s="3"/>
      <c r="AG513" s="3"/>
      <c r="AH513" s="3"/>
      <c r="AI513" s="3"/>
      <c r="AJ513" s="3"/>
      <c r="AK513" s="3"/>
    </row>
    <row r="514" spans="1:37" s="5" customFormat="1" x14ac:dyDescent="0.25">
      <c r="A514"/>
      <c r="B514"/>
      <c r="C514" s="1"/>
      <c r="D514" s="1"/>
      <c r="E514" s="1"/>
      <c r="F514" s="1"/>
      <c r="G514" s="1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 s="3"/>
      <c r="AF514" s="3"/>
      <c r="AG514" s="3"/>
      <c r="AH514" s="3"/>
      <c r="AI514" s="3"/>
      <c r="AJ514" s="3"/>
      <c r="AK514" s="3"/>
    </row>
    <row r="515" spans="1:37" s="5" customFormat="1" x14ac:dyDescent="0.25">
      <c r="A515"/>
      <c r="B515"/>
      <c r="C515" s="1"/>
      <c r="D515" s="1"/>
      <c r="E515" s="1"/>
      <c r="F515" s="1"/>
      <c r="G515" s="1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 s="3"/>
      <c r="AF515" s="3"/>
      <c r="AG515" s="3"/>
      <c r="AH515" s="3"/>
      <c r="AI515" s="3"/>
      <c r="AJ515" s="3"/>
      <c r="AK515" s="3"/>
    </row>
    <row r="516" spans="1:37" s="5" customFormat="1" x14ac:dyDescent="0.25">
      <c r="A516"/>
      <c r="B516"/>
      <c r="C516" s="1"/>
      <c r="D516" s="1"/>
      <c r="E516" s="1"/>
      <c r="F516" s="1"/>
      <c r="G516" s="1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 s="3"/>
      <c r="AF516" s="3"/>
      <c r="AG516" s="3"/>
      <c r="AH516" s="3"/>
      <c r="AI516" s="3"/>
      <c r="AJ516" s="3"/>
      <c r="AK516" s="3"/>
    </row>
    <row r="517" spans="1:37" s="5" customFormat="1" x14ac:dyDescent="0.25">
      <c r="A517"/>
      <c r="B517"/>
      <c r="C517" s="1"/>
      <c r="D517" s="1"/>
      <c r="E517" s="1"/>
      <c r="F517" s="1"/>
      <c r="G517" s="1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 s="3"/>
      <c r="AF517" s="3"/>
      <c r="AG517" s="3"/>
      <c r="AH517" s="3"/>
      <c r="AI517" s="3"/>
      <c r="AJ517" s="3"/>
      <c r="AK517" s="3"/>
    </row>
    <row r="518" spans="1:37" s="5" customFormat="1" x14ac:dyDescent="0.25">
      <c r="A518"/>
      <c r="B518"/>
      <c r="C518" s="1"/>
      <c r="D518" s="1"/>
      <c r="E518" s="1"/>
      <c r="F518" s="1"/>
      <c r="G518" s="1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 s="3"/>
      <c r="AF518" s="3"/>
      <c r="AG518" s="3"/>
      <c r="AH518" s="3"/>
      <c r="AI518" s="3"/>
      <c r="AJ518" s="3"/>
      <c r="AK518" s="3"/>
    </row>
    <row r="519" spans="1:37" s="5" customFormat="1" x14ac:dyDescent="0.25">
      <c r="A519"/>
      <c r="B519"/>
      <c r="C519" s="1"/>
      <c r="D519" s="1"/>
      <c r="E519" s="1"/>
      <c r="F519" s="1"/>
      <c r="G519" s="1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 s="3"/>
      <c r="AF519" s="3"/>
      <c r="AG519" s="3"/>
      <c r="AH519" s="3"/>
      <c r="AI519" s="3"/>
      <c r="AJ519" s="3"/>
      <c r="AK519" s="3"/>
    </row>
    <row r="520" spans="1:37" x14ac:dyDescent="0.25">
      <c r="AE520" s="3"/>
      <c r="AF520" s="3"/>
      <c r="AG520" s="3"/>
      <c r="AH520" s="3"/>
      <c r="AI520" s="3"/>
      <c r="AJ520" s="3"/>
      <c r="AK520" s="3"/>
    </row>
    <row r="521" spans="1:37" s="3" customFormat="1" x14ac:dyDescent="0.25">
      <c r="A521"/>
      <c r="B521"/>
      <c r="C521" s="1"/>
      <c r="D521" s="1"/>
      <c r="E521" s="1"/>
      <c r="F521" s="1"/>
      <c r="G521" s="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</row>
    <row r="522" spans="1:37" s="3" customFormat="1" x14ac:dyDescent="0.25">
      <c r="A522"/>
      <c r="B522"/>
      <c r="C522" s="1"/>
      <c r="D522" s="1"/>
      <c r="E522" s="1"/>
      <c r="F522" s="1"/>
      <c r="G522" s="1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</row>
    <row r="523" spans="1:37" s="3" customFormat="1" x14ac:dyDescent="0.25">
      <c r="A523"/>
      <c r="B523"/>
      <c r="C523" s="1"/>
      <c r="D523" s="1"/>
      <c r="E523" s="1"/>
      <c r="F523" s="1"/>
      <c r="G523" s="1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</row>
    <row r="524" spans="1:37" s="3" customFormat="1" x14ac:dyDescent="0.25">
      <c r="A524"/>
      <c r="B524"/>
      <c r="C524" s="1"/>
      <c r="D524" s="1"/>
      <c r="E524" s="1"/>
      <c r="F524" s="1"/>
      <c r="G524" s="1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</row>
    <row r="525" spans="1:37" s="3" customFormat="1" x14ac:dyDescent="0.25">
      <c r="A525"/>
      <c r="B525"/>
      <c r="C525" s="1"/>
      <c r="D525" s="1"/>
      <c r="E525" s="1"/>
      <c r="F525" s="1"/>
      <c r="G525" s="1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</row>
    <row r="526" spans="1:37" s="3" customFormat="1" x14ac:dyDescent="0.25">
      <c r="A526"/>
      <c r="B526"/>
      <c r="C526" s="1"/>
      <c r="D526" s="1"/>
      <c r="E526" s="1"/>
      <c r="F526" s="1"/>
      <c r="G526" s="1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</row>
    <row r="527" spans="1:37" s="3" customFormat="1" x14ac:dyDescent="0.25">
      <c r="A527"/>
      <c r="B527"/>
      <c r="C527" s="1"/>
      <c r="D527" s="1"/>
      <c r="E527" s="1"/>
      <c r="F527" s="1"/>
      <c r="G527" s="1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</row>
    <row r="528" spans="1:37" s="3" customFormat="1" x14ac:dyDescent="0.25">
      <c r="A528"/>
      <c r="B528"/>
      <c r="C528" s="1"/>
      <c r="D528" s="1"/>
      <c r="E528" s="1"/>
      <c r="F528" s="1"/>
      <c r="G528" s="1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</row>
    <row r="529" spans="1:30" s="3" customFormat="1" x14ac:dyDescent="0.25">
      <c r="A529"/>
      <c r="B529"/>
      <c r="C529" s="1"/>
      <c r="D529" s="1"/>
      <c r="E529" s="1"/>
      <c r="F529" s="1"/>
      <c r="G529" s="1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</row>
    <row r="530" spans="1:30" s="3" customFormat="1" x14ac:dyDescent="0.25">
      <c r="A530"/>
      <c r="B530"/>
      <c r="C530" s="1"/>
      <c r="D530" s="1"/>
      <c r="E530" s="1"/>
      <c r="F530" s="1"/>
      <c r="G530" s="1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</row>
    <row r="531" spans="1:30" s="3" customFormat="1" x14ac:dyDescent="0.25">
      <c r="A531"/>
      <c r="B531"/>
      <c r="C531" s="1"/>
      <c r="D531" s="1"/>
      <c r="E531" s="1"/>
      <c r="F531" s="1"/>
      <c r="G531" s="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</row>
    <row r="532" spans="1:30" s="3" customFormat="1" x14ac:dyDescent="0.25">
      <c r="A532"/>
      <c r="B532"/>
      <c r="C532" s="1"/>
      <c r="D532" s="1"/>
      <c r="E532" s="1"/>
      <c r="F532" s="1"/>
      <c r="G532" s="1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</row>
    <row r="533" spans="1:30" s="3" customFormat="1" x14ac:dyDescent="0.25">
      <c r="A533"/>
      <c r="B533"/>
      <c r="C533" s="1"/>
      <c r="D533" s="1"/>
      <c r="E533" s="1"/>
      <c r="F533" s="1"/>
      <c r="G533" s="1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</row>
    <row r="534" spans="1:30" s="3" customFormat="1" x14ac:dyDescent="0.25">
      <c r="A534"/>
      <c r="B534"/>
      <c r="C534" s="1"/>
      <c r="D534" s="1"/>
      <c r="E534" s="1"/>
      <c r="F534" s="1"/>
      <c r="G534" s="1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</row>
    <row r="535" spans="1:30" s="3" customFormat="1" x14ac:dyDescent="0.25">
      <c r="A535"/>
      <c r="B535"/>
      <c r="C535" s="1"/>
      <c r="D535" s="1"/>
      <c r="E535" s="1"/>
      <c r="F535" s="1"/>
      <c r="G535" s="1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</row>
    <row r="536" spans="1:30" s="3" customFormat="1" x14ac:dyDescent="0.25">
      <c r="A536"/>
      <c r="B536"/>
      <c r="C536" s="1"/>
      <c r="D536" s="1"/>
      <c r="E536" s="1"/>
      <c r="F536" s="1"/>
      <c r="G536" s="1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</row>
    <row r="537" spans="1:30" s="3" customFormat="1" x14ac:dyDescent="0.25">
      <c r="A537"/>
      <c r="B537"/>
      <c r="C537" s="1"/>
      <c r="D537" s="1"/>
      <c r="E537" s="1"/>
      <c r="F537" s="1"/>
      <c r="G537" s="1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</row>
    <row r="538" spans="1:30" s="3" customFormat="1" x14ac:dyDescent="0.25">
      <c r="A538"/>
      <c r="B538"/>
      <c r="C538" s="1"/>
      <c r="D538" s="1"/>
      <c r="E538" s="1"/>
      <c r="F538" s="1"/>
      <c r="G538" s="1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</row>
    <row r="539" spans="1:30" s="3" customFormat="1" x14ac:dyDescent="0.25">
      <c r="A539"/>
      <c r="B539"/>
      <c r="C539" s="1"/>
      <c r="D539" s="1"/>
      <c r="E539" s="1"/>
      <c r="F539" s="1"/>
      <c r="G539" s="1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</row>
    <row r="540" spans="1:30" s="3" customFormat="1" x14ac:dyDescent="0.25">
      <c r="A540"/>
      <c r="B540"/>
      <c r="C540" s="1"/>
      <c r="D540" s="1"/>
      <c r="E540" s="1"/>
      <c r="F540" s="1"/>
      <c r="G540" s="1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</row>
    <row r="541" spans="1:30" s="3" customFormat="1" x14ac:dyDescent="0.25">
      <c r="A541"/>
      <c r="B541"/>
      <c r="C541" s="1"/>
      <c r="D541" s="1"/>
      <c r="E541" s="1"/>
      <c r="F541" s="1"/>
      <c r="G541" s="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</row>
    <row r="542" spans="1:30" s="3" customFormat="1" x14ac:dyDescent="0.25">
      <c r="A542"/>
      <c r="B542"/>
      <c r="C542" s="1"/>
      <c r="D542" s="1"/>
      <c r="E542" s="1"/>
      <c r="F542" s="1"/>
      <c r="G542" s="1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</row>
    <row r="543" spans="1:30" s="3" customFormat="1" x14ac:dyDescent="0.25">
      <c r="A543"/>
      <c r="B543"/>
      <c r="C543" s="1"/>
      <c r="D543" s="1"/>
      <c r="E543" s="1"/>
      <c r="F543" s="1"/>
      <c r="G543" s="1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</row>
    <row r="544" spans="1:30" s="3" customFormat="1" x14ac:dyDescent="0.25">
      <c r="A544"/>
      <c r="B544"/>
      <c r="C544" s="1"/>
      <c r="D544" s="1"/>
      <c r="E544" s="1"/>
      <c r="F544" s="1"/>
      <c r="G544" s="1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</row>
    <row r="545" spans="1:30" s="3" customFormat="1" x14ac:dyDescent="0.25">
      <c r="A545"/>
      <c r="B545"/>
      <c r="C545" s="1"/>
      <c r="D545" s="1"/>
      <c r="E545" s="1"/>
      <c r="F545" s="1"/>
      <c r="G545" s="1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</row>
    <row r="546" spans="1:30" s="3" customFormat="1" x14ac:dyDescent="0.25">
      <c r="A546"/>
      <c r="B546"/>
      <c r="C546" s="1"/>
      <c r="D546" s="1"/>
      <c r="E546" s="1"/>
      <c r="F546" s="1"/>
      <c r="G546" s="1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</row>
    <row r="547" spans="1:30" s="3" customFormat="1" x14ac:dyDescent="0.25">
      <c r="A547"/>
      <c r="B547"/>
      <c r="C547" s="1"/>
      <c r="D547" s="1"/>
      <c r="E547" s="1"/>
      <c r="F547" s="1"/>
      <c r="G547" s="1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</row>
    <row r="548" spans="1:30" s="3" customFormat="1" x14ac:dyDescent="0.25">
      <c r="A548"/>
      <c r="B548"/>
      <c r="C548" s="1"/>
      <c r="D548" s="1"/>
      <c r="E548" s="1"/>
      <c r="F548" s="1"/>
      <c r="G548" s="1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</row>
    <row r="549" spans="1:30" s="3" customFormat="1" x14ac:dyDescent="0.25">
      <c r="A549"/>
      <c r="B549"/>
      <c r="C549" s="1"/>
      <c r="D549" s="1"/>
      <c r="E549" s="1"/>
      <c r="F549" s="1"/>
      <c r="G549" s="1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</row>
    <row r="550" spans="1:30" s="3" customFormat="1" x14ac:dyDescent="0.25">
      <c r="A550"/>
      <c r="B550"/>
      <c r="C550" s="1"/>
      <c r="D550" s="1"/>
      <c r="E550" s="1"/>
      <c r="F550" s="1"/>
      <c r="G550" s="1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</row>
    <row r="551" spans="1:30" s="3" customFormat="1" x14ac:dyDescent="0.25">
      <c r="A551"/>
      <c r="B551"/>
      <c r="C551" s="1"/>
      <c r="D551" s="1"/>
      <c r="E551" s="1"/>
      <c r="F551" s="1"/>
      <c r="G551" s="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</row>
    <row r="552" spans="1:30" s="3" customFormat="1" x14ac:dyDescent="0.25">
      <c r="A552"/>
      <c r="B552"/>
      <c r="C552" s="1"/>
      <c r="D552" s="1"/>
      <c r="E552" s="1"/>
      <c r="F552" s="1"/>
      <c r="G552" s="1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</row>
    <row r="553" spans="1:30" s="3" customFormat="1" x14ac:dyDescent="0.25">
      <c r="A553"/>
      <c r="B553"/>
      <c r="C553" s="1"/>
      <c r="D553" s="1"/>
      <c r="E553" s="1"/>
      <c r="F553" s="1"/>
      <c r="G553" s="1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</row>
    <row r="554" spans="1:30" s="3" customFormat="1" x14ac:dyDescent="0.25">
      <c r="A554"/>
      <c r="B554"/>
      <c r="C554" s="1"/>
      <c r="D554" s="1"/>
      <c r="E554" s="1"/>
      <c r="F554" s="1"/>
      <c r="G554" s="1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</row>
    <row r="555" spans="1:30" s="3" customFormat="1" x14ac:dyDescent="0.25">
      <c r="A555"/>
      <c r="B555"/>
      <c r="C555" s="1"/>
      <c r="D555" s="1"/>
      <c r="E555" s="1"/>
      <c r="F555" s="1"/>
      <c r="G555" s="1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</row>
    <row r="556" spans="1:30" s="3" customFormat="1" x14ac:dyDescent="0.25">
      <c r="A556"/>
      <c r="B556"/>
      <c r="C556" s="1"/>
      <c r="D556" s="1"/>
      <c r="E556" s="1"/>
      <c r="F556" s="1"/>
      <c r="G556" s="1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</row>
    <row r="557" spans="1:30" s="3" customFormat="1" x14ac:dyDescent="0.25">
      <c r="A557"/>
      <c r="B557"/>
      <c r="C557" s="1"/>
      <c r="D557" s="1"/>
      <c r="E557" s="1"/>
      <c r="F557" s="1"/>
      <c r="G557" s="1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</row>
    <row r="558" spans="1:30" s="3" customFormat="1" x14ac:dyDescent="0.25">
      <c r="A558"/>
      <c r="B558"/>
      <c r="C558" s="1"/>
      <c r="D558" s="1"/>
      <c r="E558" s="1"/>
      <c r="F558" s="1"/>
      <c r="G558" s="1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</row>
    <row r="559" spans="1:30" s="3" customFormat="1" x14ac:dyDescent="0.25">
      <c r="A559"/>
      <c r="B559"/>
      <c r="C559" s="1"/>
      <c r="D559" s="1"/>
      <c r="E559" s="1"/>
      <c r="F559" s="1"/>
      <c r="G559" s="1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</row>
    <row r="560" spans="1:30" s="3" customFormat="1" x14ac:dyDescent="0.25">
      <c r="A560"/>
      <c r="B560"/>
      <c r="C560" s="1"/>
      <c r="D560" s="1"/>
      <c r="E560" s="1"/>
      <c r="F560" s="1"/>
      <c r="G560" s="1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</row>
    <row r="561" spans="1:30" s="3" customFormat="1" x14ac:dyDescent="0.25">
      <c r="A561"/>
      <c r="B561"/>
      <c r="C561" s="1"/>
      <c r="D561" s="1"/>
      <c r="E561" s="1"/>
      <c r="F561" s="1"/>
      <c r="G561" s="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</row>
    <row r="562" spans="1:30" s="3" customFormat="1" x14ac:dyDescent="0.25">
      <c r="A562"/>
      <c r="B562"/>
      <c r="C562" s="1"/>
      <c r="D562" s="1"/>
      <c r="E562" s="1"/>
      <c r="F562" s="1"/>
      <c r="G562" s="1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</row>
    <row r="563" spans="1:30" s="3" customFormat="1" x14ac:dyDescent="0.25">
      <c r="A563"/>
      <c r="B563"/>
      <c r="C563" s="1"/>
      <c r="D563" s="1"/>
      <c r="E563" s="1"/>
      <c r="F563" s="1"/>
      <c r="G563" s="1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</row>
    <row r="564" spans="1:30" s="3" customFormat="1" x14ac:dyDescent="0.25">
      <c r="A564"/>
      <c r="B564"/>
      <c r="C564" s="1"/>
      <c r="D564" s="1"/>
      <c r="E564" s="1"/>
      <c r="F564" s="1"/>
      <c r="G564" s="1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</row>
    <row r="565" spans="1:30" s="3" customFormat="1" x14ac:dyDescent="0.25">
      <c r="A565"/>
      <c r="B565"/>
      <c r="C565" s="1"/>
      <c r="D565" s="1"/>
      <c r="E565" s="1"/>
      <c r="F565" s="1"/>
      <c r="G565" s="1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</row>
    <row r="566" spans="1:30" s="3" customFormat="1" x14ac:dyDescent="0.25">
      <c r="A566"/>
      <c r="B566"/>
      <c r="C566" s="1"/>
      <c r="D566" s="1"/>
      <c r="E566" s="1"/>
      <c r="F566" s="1"/>
      <c r="G566" s="1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</row>
    <row r="567" spans="1:30" s="3" customFormat="1" x14ac:dyDescent="0.25">
      <c r="A567"/>
      <c r="B567"/>
      <c r="C567" s="1"/>
      <c r="D567" s="1"/>
      <c r="E567" s="1"/>
      <c r="F567" s="1"/>
      <c r="G567" s="1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</row>
    <row r="568" spans="1:30" s="3" customFormat="1" x14ac:dyDescent="0.25">
      <c r="A568"/>
      <c r="B568"/>
      <c r="C568" s="1"/>
      <c r="D568" s="1"/>
      <c r="E568" s="1"/>
      <c r="F568" s="1"/>
      <c r="G568" s="1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</row>
    <row r="569" spans="1:30" s="3" customFormat="1" x14ac:dyDescent="0.25">
      <c r="A569"/>
      <c r="B569"/>
      <c r="C569" s="1"/>
      <c r="D569" s="1"/>
      <c r="E569" s="1"/>
      <c r="F569" s="1"/>
      <c r="G569" s="1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</row>
    <row r="570" spans="1:30" s="3" customFormat="1" x14ac:dyDescent="0.25">
      <c r="A570"/>
      <c r="B570"/>
      <c r="C570" s="1"/>
      <c r="D570" s="1"/>
      <c r="E570" s="1"/>
      <c r="F570" s="1"/>
      <c r="G570" s="1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</row>
    <row r="571" spans="1:30" s="3" customFormat="1" x14ac:dyDescent="0.25">
      <c r="A571"/>
      <c r="B571"/>
      <c r="C571" s="1"/>
      <c r="D571" s="1"/>
      <c r="E571" s="1"/>
      <c r="F571" s="1"/>
      <c r="G571" s="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</row>
    <row r="572" spans="1:30" s="3" customFormat="1" x14ac:dyDescent="0.25">
      <c r="A572"/>
      <c r="B572"/>
      <c r="C572" s="1"/>
      <c r="D572" s="1"/>
      <c r="E572" s="1"/>
      <c r="F572" s="1"/>
      <c r="G572" s="1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</row>
    <row r="573" spans="1:30" s="3" customFormat="1" x14ac:dyDescent="0.25">
      <c r="A573"/>
      <c r="B573"/>
      <c r="C573" s="1"/>
      <c r="D573" s="1"/>
      <c r="E573" s="1"/>
      <c r="F573" s="1"/>
      <c r="G573" s="1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</row>
    <row r="574" spans="1:30" s="3" customFormat="1" x14ac:dyDescent="0.25">
      <c r="A574"/>
      <c r="B574"/>
      <c r="C574" s="1"/>
      <c r="D574" s="1"/>
      <c r="E574" s="1"/>
      <c r="F574" s="1"/>
      <c r="G574" s="1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</row>
    <row r="575" spans="1:30" s="3" customFormat="1" x14ac:dyDescent="0.25">
      <c r="A575"/>
      <c r="B575"/>
      <c r="C575" s="1"/>
      <c r="D575" s="1"/>
      <c r="E575" s="1"/>
      <c r="F575" s="1"/>
      <c r="G575" s="1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</row>
    <row r="576" spans="1:30" s="3" customFormat="1" x14ac:dyDescent="0.25">
      <c r="A576"/>
      <c r="B576"/>
      <c r="C576" s="1"/>
      <c r="D576" s="1"/>
      <c r="E576" s="1"/>
      <c r="F576" s="1"/>
      <c r="G576" s="1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</row>
    <row r="577" spans="1:31" s="3" customFormat="1" x14ac:dyDescent="0.25">
      <c r="A577"/>
      <c r="B577"/>
      <c r="C577" s="1"/>
      <c r="D577" s="1"/>
      <c r="E577" s="1"/>
      <c r="F577" s="1"/>
      <c r="G577" s="1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</row>
    <row r="578" spans="1:31" s="3" customFormat="1" x14ac:dyDescent="0.25">
      <c r="A578"/>
      <c r="B578"/>
      <c r="C578" s="1"/>
      <c r="D578" s="1"/>
      <c r="E578" s="1"/>
      <c r="F578" s="1"/>
      <c r="G578" s="1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</row>
    <row r="579" spans="1:31" s="3" customFormat="1" x14ac:dyDescent="0.25">
      <c r="A579"/>
      <c r="B579"/>
      <c r="C579" s="1"/>
      <c r="D579" s="1"/>
      <c r="E579" s="1"/>
      <c r="F579" s="1"/>
      <c r="G579" s="1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</row>
    <row r="580" spans="1:31" s="3" customFormat="1" x14ac:dyDescent="0.25">
      <c r="A580"/>
      <c r="B580"/>
      <c r="C580" s="1"/>
      <c r="D580" s="1"/>
      <c r="E580" s="1"/>
      <c r="F580" s="1"/>
      <c r="G580" s="1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</row>
    <row r="581" spans="1:31" s="3" customFormat="1" x14ac:dyDescent="0.25">
      <c r="A581"/>
      <c r="B581"/>
      <c r="C581" s="1"/>
      <c r="D581" s="1"/>
      <c r="E581" s="1"/>
      <c r="F581" s="1"/>
      <c r="G581" s="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</row>
    <row r="582" spans="1:31" s="3" customFormat="1" x14ac:dyDescent="0.25">
      <c r="A582"/>
      <c r="B582"/>
      <c r="C582" s="1"/>
      <c r="D582" s="1"/>
      <c r="E582" s="1"/>
      <c r="F582" s="1"/>
      <c r="G582" s="1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</row>
    <row r="583" spans="1:31" s="3" customFormat="1" x14ac:dyDescent="0.25">
      <c r="A583"/>
      <c r="B583"/>
      <c r="C583" s="1"/>
      <c r="D583" s="1"/>
      <c r="E583" s="1"/>
      <c r="F583" s="1"/>
      <c r="G583" s="1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</row>
    <row r="584" spans="1:31" s="3" customFormat="1" x14ac:dyDescent="0.25">
      <c r="A584"/>
      <c r="B584"/>
      <c r="C584" s="1"/>
      <c r="D584" s="1"/>
      <c r="E584" s="1"/>
      <c r="F584" s="1"/>
      <c r="G584" s="1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</row>
    <row r="585" spans="1:31" s="3" customFormat="1" x14ac:dyDescent="0.25">
      <c r="A585"/>
      <c r="B585"/>
      <c r="C585" s="1"/>
      <c r="D585" s="1"/>
      <c r="E585" s="1"/>
      <c r="F585" s="1"/>
      <c r="G585" s="1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</row>
    <row r="586" spans="1:31" s="3" customFormat="1" x14ac:dyDescent="0.25">
      <c r="A586"/>
      <c r="B586"/>
      <c r="C586" s="1"/>
      <c r="D586" s="1"/>
      <c r="E586" s="1"/>
      <c r="F586" s="1"/>
      <c r="G586" s="1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</row>
    <row r="587" spans="1:31" s="3" customFormat="1" x14ac:dyDescent="0.25">
      <c r="A587"/>
      <c r="B587"/>
      <c r="C587" s="1"/>
      <c r="D587" s="1"/>
      <c r="E587" s="1"/>
      <c r="F587" s="1"/>
      <c r="G587" s="1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</row>
    <row r="588" spans="1:31" s="3" customFormat="1" x14ac:dyDescent="0.25">
      <c r="A588"/>
      <c r="B588"/>
      <c r="C588" s="1"/>
      <c r="D588" s="1"/>
      <c r="E588" s="1"/>
      <c r="F588" s="1"/>
      <c r="G588" s="1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</row>
    <row r="589" spans="1:31" s="3" customFormat="1" x14ac:dyDescent="0.25">
      <c r="A589"/>
      <c r="B589"/>
      <c r="C589" s="1"/>
      <c r="D589" s="1"/>
      <c r="E589" s="1"/>
      <c r="F589" s="1"/>
      <c r="G589" s="1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</row>
    <row r="590" spans="1:31" s="3" customFormat="1" x14ac:dyDescent="0.25">
      <c r="A590"/>
      <c r="B590"/>
      <c r="C590" s="1"/>
      <c r="D590" s="1"/>
      <c r="E590" s="1"/>
      <c r="F590" s="1"/>
      <c r="G590" s="1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</row>
    <row r="591" spans="1:31" s="3" customFormat="1" x14ac:dyDescent="0.25">
      <c r="A591"/>
      <c r="B591"/>
      <c r="C591" s="1"/>
      <c r="D591" s="1"/>
      <c r="E591" s="1"/>
      <c r="F591" s="1"/>
      <c r="G591" s="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</row>
    <row r="592" spans="1:31" s="3" customFormat="1" x14ac:dyDescent="0.25">
      <c r="A592"/>
      <c r="B592"/>
      <c r="C592" s="1"/>
      <c r="D592" s="1"/>
      <c r="E592" s="1"/>
      <c r="F592" s="1"/>
      <c r="G592" s="1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</row>
    <row r="593" spans="1:31" s="3" customFormat="1" x14ac:dyDescent="0.25">
      <c r="A593"/>
      <c r="B593"/>
      <c r="C593" s="1"/>
      <c r="D593" s="1"/>
      <c r="E593" s="1"/>
      <c r="F593" s="1"/>
      <c r="G593" s="1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</row>
    <row r="594" spans="1:31" s="3" customFormat="1" x14ac:dyDescent="0.25">
      <c r="A594"/>
      <c r="B594"/>
      <c r="C594" s="1"/>
      <c r="D594" s="1"/>
      <c r="E594" s="1"/>
      <c r="F594" s="1"/>
      <c r="G594" s="1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</row>
    <row r="595" spans="1:31" s="3" customFormat="1" x14ac:dyDescent="0.25">
      <c r="A595"/>
      <c r="B595"/>
      <c r="C595" s="1"/>
      <c r="D595" s="1"/>
      <c r="E595" s="1"/>
      <c r="F595" s="1"/>
      <c r="G595" s="1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</row>
    <row r="596" spans="1:31" s="3" customFormat="1" x14ac:dyDescent="0.25">
      <c r="A596"/>
      <c r="B596"/>
      <c r="C596" s="1"/>
      <c r="D596" s="1"/>
      <c r="E596" s="1"/>
      <c r="F596" s="1"/>
      <c r="G596" s="1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</row>
    <row r="597" spans="1:31" s="3" customFormat="1" x14ac:dyDescent="0.25">
      <c r="A597"/>
      <c r="B597"/>
      <c r="C597" s="1"/>
      <c r="D597" s="1"/>
      <c r="E597" s="1"/>
      <c r="F597" s="1"/>
      <c r="G597" s="1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</row>
    <row r="598" spans="1:31" s="3" customFormat="1" x14ac:dyDescent="0.25">
      <c r="A598"/>
      <c r="B598"/>
      <c r="C598" s="1"/>
      <c r="D598" s="1"/>
      <c r="E598" s="1"/>
      <c r="F598" s="1"/>
      <c r="G598" s="1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</row>
    <row r="599" spans="1:31" s="3" customFormat="1" x14ac:dyDescent="0.25">
      <c r="A599"/>
      <c r="B599"/>
      <c r="C599" s="1"/>
      <c r="D599" s="1"/>
      <c r="E599" s="1"/>
      <c r="F599" s="1"/>
      <c r="G599" s="1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</row>
    <row r="600" spans="1:31" s="3" customFormat="1" x14ac:dyDescent="0.25">
      <c r="A600"/>
      <c r="B600"/>
      <c r="C600" s="1"/>
      <c r="D600" s="1"/>
      <c r="E600" s="1"/>
      <c r="F600" s="1"/>
      <c r="G600" s="1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</row>
    <row r="601" spans="1:31" s="3" customFormat="1" x14ac:dyDescent="0.25">
      <c r="A601"/>
      <c r="B601"/>
      <c r="C601" s="1"/>
      <c r="D601" s="1"/>
      <c r="E601" s="1"/>
      <c r="F601" s="1"/>
      <c r="G601" s="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</row>
    <row r="602" spans="1:31" s="3" customFormat="1" x14ac:dyDescent="0.25">
      <c r="A602"/>
      <c r="B602"/>
      <c r="C602" s="1"/>
      <c r="D602" s="1"/>
      <c r="E602" s="1"/>
      <c r="F602" s="1"/>
      <c r="G602" s="1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</row>
    <row r="603" spans="1:31" s="3" customFormat="1" x14ac:dyDescent="0.25">
      <c r="A603"/>
      <c r="B603"/>
      <c r="C603" s="1"/>
      <c r="D603" s="1"/>
      <c r="E603" s="1"/>
      <c r="F603" s="1"/>
      <c r="G603" s="1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</row>
    <row r="604" spans="1:31" s="3" customFormat="1" x14ac:dyDescent="0.25">
      <c r="A604"/>
      <c r="B604"/>
      <c r="C604" s="1"/>
      <c r="D604" s="1"/>
      <c r="E604" s="1"/>
      <c r="F604" s="1"/>
      <c r="G604" s="1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</row>
    <row r="605" spans="1:31" s="3" customFormat="1" x14ac:dyDescent="0.25">
      <c r="A605"/>
      <c r="B605"/>
      <c r="C605" s="1"/>
      <c r="D605" s="1"/>
      <c r="E605" s="1"/>
      <c r="F605" s="1"/>
      <c r="G605" s="1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</row>
    <row r="606" spans="1:31" s="3" customFormat="1" x14ac:dyDescent="0.25">
      <c r="A606"/>
      <c r="B606"/>
      <c r="C606" s="1"/>
      <c r="D606" s="1"/>
      <c r="E606" s="1"/>
      <c r="F606" s="1"/>
      <c r="G606" s="1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</row>
    <row r="607" spans="1:31" s="3" customFormat="1" x14ac:dyDescent="0.25">
      <c r="A607"/>
      <c r="B607"/>
      <c r="C607" s="1"/>
      <c r="D607" s="1"/>
      <c r="E607" s="1"/>
      <c r="F607" s="1"/>
      <c r="G607" s="1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</row>
    <row r="608" spans="1:31" s="3" customFormat="1" x14ac:dyDescent="0.25">
      <c r="A608"/>
      <c r="B608"/>
      <c r="C608" s="1"/>
      <c r="D608" s="1"/>
      <c r="E608" s="1"/>
      <c r="F608" s="1"/>
      <c r="G608" s="1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</row>
    <row r="609" spans="1:31" s="3" customFormat="1" x14ac:dyDescent="0.25">
      <c r="A609"/>
      <c r="B609"/>
      <c r="C609" s="1"/>
      <c r="D609" s="1"/>
      <c r="E609" s="1"/>
      <c r="F609" s="1"/>
      <c r="G609" s="1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</row>
    <row r="610" spans="1:31" s="3" customFormat="1" x14ac:dyDescent="0.25">
      <c r="A610"/>
      <c r="B610"/>
      <c r="C610" s="1"/>
      <c r="D610" s="1"/>
      <c r="E610" s="1"/>
      <c r="F610" s="1"/>
      <c r="G610" s="1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</row>
    <row r="611" spans="1:31" s="3" customFormat="1" x14ac:dyDescent="0.25">
      <c r="A611"/>
      <c r="B611"/>
      <c r="C611" s="1"/>
      <c r="D611" s="1"/>
      <c r="E611" s="1"/>
      <c r="F611" s="1"/>
      <c r="G611" s="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</row>
    <row r="612" spans="1:31" s="3" customFormat="1" x14ac:dyDescent="0.25">
      <c r="A612"/>
      <c r="B612"/>
      <c r="C612" s="1"/>
      <c r="D612" s="1"/>
      <c r="E612" s="1"/>
      <c r="F612" s="1"/>
      <c r="G612" s="1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</row>
    <row r="613" spans="1:31" s="3" customFormat="1" x14ac:dyDescent="0.25">
      <c r="A613"/>
      <c r="B613"/>
      <c r="C613" s="1"/>
      <c r="D613" s="1"/>
      <c r="E613" s="1"/>
      <c r="F613" s="1"/>
      <c r="G613" s="1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</row>
    <row r="614" spans="1:31" s="3" customFormat="1" x14ac:dyDescent="0.25">
      <c r="A614"/>
      <c r="B614"/>
      <c r="C614" s="1"/>
      <c r="D614" s="1"/>
      <c r="E614" s="1"/>
      <c r="F614" s="1"/>
      <c r="G614" s="1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</row>
    <row r="615" spans="1:31" s="3" customFormat="1" x14ac:dyDescent="0.25">
      <c r="A615"/>
      <c r="B615"/>
      <c r="C615" s="1"/>
      <c r="D615" s="1"/>
      <c r="E615" s="1"/>
      <c r="F615" s="1"/>
      <c r="G615" s="1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</row>
    <row r="616" spans="1:31" s="3" customFormat="1" x14ac:dyDescent="0.25">
      <c r="A616"/>
      <c r="B616"/>
      <c r="C616" s="1"/>
      <c r="D616" s="1"/>
      <c r="E616" s="1"/>
      <c r="F616" s="1"/>
      <c r="G616" s="1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</row>
    <row r="617" spans="1:31" s="3" customFormat="1" x14ac:dyDescent="0.25">
      <c r="A617"/>
      <c r="B617"/>
      <c r="C617" s="1"/>
      <c r="D617" s="1"/>
      <c r="E617" s="1"/>
      <c r="F617" s="1"/>
      <c r="G617" s="1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</row>
    <row r="618" spans="1:31" s="3" customFormat="1" x14ac:dyDescent="0.25">
      <c r="A618"/>
      <c r="B618"/>
      <c r="C618" s="1"/>
      <c r="D618" s="1"/>
      <c r="E618" s="1"/>
      <c r="F618" s="1"/>
      <c r="G618" s="1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</row>
    <row r="619" spans="1:31" s="3" customFormat="1" x14ac:dyDescent="0.25">
      <c r="A619"/>
      <c r="B619"/>
      <c r="C619" s="1"/>
      <c r="D619" s="1"/>
      <c r="E619" s="1"/>
      <c r="F619" s="1"/>
      <c r="G619" s="1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</row>
    <row r="620" spans="1:31" s="3" customFormat="1" x14ac:dyDescent="0.25">
      <c r="A620"/>
      <c r="B620"/>
      <c r="C620" s="1"/>
      <c r="D620" s="1"/>
      <c r="E620" s="1"/>
      <c r="F620" s="1"/>
      <c r="G620" s="1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</row>
    <row r="621" spans="1:31" s="3" customFormat="1" x14ac:dyDescent="0.25">
      <c r="A621"/>
      <c r="B621"/>
      <c r="C621" s="1"/>
      <c r="D621" s="1"/>
      <c r="E621" s="1"/>
      <c r="F621" s="1"/>
      <c r="G621" s="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</row>
    <row r="622" spans="1:31" s="3" customFormat="1" x14ac:dyDescent="0.25">
      <c r="A622"/>
      <c r="B622"/>
      <c r="C622" s="1"/>
      <c r="D622" s="1"/>
      <c r="E622" s="1"/>
      <c r="F622" s="1"/>
      <c r="G622" s="1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</row>
    <row r="623" spans="1:31" s="3" customFormat="1" x14ac:dyDescent="0.25">
      <c r="A623"/>
      <c r="B623"/>
      <c r="C623" s="1"/>
      <c r="D623" s="1"/>
      <c r="E623" s="1"/>
      <c r="F623" s="1"/>
      <c r="G623" s="1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</row>
    <row r="624" spans="1:31" s="3" customFormat="1" x14ac:dyDescent="0.25">
      <c r="A624"/>
      <c r="B624"/>
      <c r="C624" s="1"/>
      <c r="D624" s="1"/>
      <c r="E624" s="1"/>
      <c r="F624" s="1"/>
      <c r="G624" s="1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</row>
    <row r="625" spans="1:31" s="3" customFormat="1" x14ac:dyDescent="0.25">
      <c r="A625"/>
      <c r="B625"/>
      <c r="C625" s="1"/>
      <c r="D625" s="1"/>
      <c r="E625" s="1"/>
      <c r="F625" s="1"/>
      <c r="G625" s="1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</row>
    <row r="626" spans="1:31" s="3" customFormat="1" x14ac:dyDescent="0.25">
      <c r="A626"/>
      <c r="B626"/>
      <c r="C626" s="1"/>
      <c r="D626" s="1"/>
      <c r="E626" s="1"/>
      <c r="F626" s="1"/>
      <c r="G626" s="1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</row>
    <row r="627" spans="1:31" s="3" customFormat="1" x14ac:dyDescent="0.25">
      <c r="A627"/>
      <c r="B627"/>
      <c r="C627" s="1"/>
      <c r="D627" s="1"/>
      <c r="E627" s="1"/>
      <c r="F627" s="1"/>
      <c r="G627" s="1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</row>
    <row r="628" spans="1:31" s="3" customFormat="1" x14ac:dyDescent="0.25">
      <c r="A628"/>
      <c r="B628"/>
      <c r="C628" s="1"/>
      <c r="D628" s="1"/>
      <c r="E628" s="1"/>
      <c r="F628" s="1"/>
      <c r="G628" s="1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</row>
    <row r="629" spans="1:31" s="3" customFormat="1" x14ac:dyDescent="0.25">
      <c r="A629"/>
      <c r="B629"/>
      <c r="C629" s="1"/>
      <c r="D629" s="1"/>
      <c r="E629" s="1"/>
      <c r="F629" s="1"/>
      <c r="G629" s="1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</row>
    <row r="630" spans="1:31" s="3" customFormat="1" x14ac:dyDescent="0.25">
      <c r="A630"/>
      <c r="B630"/>
      <c r="C630" s="1"/>
      <c r="D630" s="1"/>
      <c r="E630" s="1"/>
      <c r="F630" s="1"/>
      <c r="G630" s="1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</row>
    <row r="631" spans="1:31" s="3" customFormat="1" x14ac:dyDescent="0.25">
      <c r="A631"/>
      <c r="B631"/>
      <c r="C631" s="1"/>
      <c r="D631" s="1"/>
      <c r="E631" s="1"/>
      <c r="F631" s="1"/>
      <c r="G631" s="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</row>
    <row r="632" spans="1:31" s="3" customFormat="1" x14ac:dyDescent="0.25">
      <c r="A632"/>
      <c r="B632"/>
      <c r="C632" s="1"/>
      <c r="D632" s="1"/>
      <c r="E632" s="1"/>
      <c r="F632" s="1"/>
      <c r="G632" s="1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</row>
    <row r="633" spans="1:31" s="3" customFormat="1" x14ac:dyDescent="0.25">
      <c r="A633"/>
      <c r="B633"/>
      <c r="C633" s="1"/>
      <c r="D633" s="1"/>
      <c r="E633" s="1"/>
      <c r="F633" s="1"/>
      <c r="G633" s="1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</row>
    <row r="634" spans="1:31" s="3" customFormat="1" x14ac:dyDescent="0.25">
      <c r="A634"/>
      <c r="B634"/>
      <c r="C634" s="1"/>
      <c r="D634" s="1"/>
      <c r="E634" s="1"/>
      <c r="F634" s="1"/>
      <c r="G634" s="1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</row>
    <row r="635" spans="1:31" s="3" customFormat="1" x14ac:dyDescent="0.25">
      <c r="A635"/>
      <c r="B635"/>
      <c r="C635" s="1"/>
      <c r="D635" s="1"/>
      <c r="E635" s="1"/>
      <c r="F635" s="1"/>
      <c r="G635" s="1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</row>
    <row r="636" spans="1:31" s="3" customFormat="1" x14ac:dyDescent="0.25">
      <c r="A636"/>
      <c r="B636"/>
      <c r="C636" s="1"/>
      <c r="D636" s="1"/>
      <c r="E636" s="1"/>
      <c r="F636" s="1"/>
      <c r="G636" s="1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</row>
    <row r="637" spans="1:31" s="3" customFormat="1" x14ac:dyDescent="0.25">
      <c r="A637"/>
      <c r="B637"/>
      <c r="C637" s="1"/>
      <c r="D637" s="1"/>
      <c r="E637" s="1"/>
      <c r="F637" s="1"/>
      <c r="G637" s="1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</row>
    <row r="638" spans="1:31" s="3" customFormat="1" x14ac:dyDescent="0.25">
      <c r="A638"/>
      <c r="B638"/>
      <c r="C638" s="1"/>
      <c r="D638" s="1"/>
      <c r="E638" s="1"/>
      <c r="F638" s="1"/>
      <c r="G638" s="1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</row>
    <row r="639" spans="1:31" s="3" customFormat="1" x14ac:dyDescent="0.25">
      <c r="A639"/>
      <c r="B639"/>
      <c r="C639" s="1"/>
      <c r="D639" s="1"/>
      <c r="E639" s="1"/>
      <c r="F639" s="1"/>
      <c r="G639" s="1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</row>
    <row r="640" spans="1:31" s="3" customFormat="1" x14ac:dyDescent="0.25">
      <c r="A640"/>
      <c r="B640"/>
      <c r="C640" s="1"/>
      <c r="D640" s="1"/>
      <c r="E640" s="1"/>
      <c r="F640" s="1"/>
      <c r="G640" s="1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</row>
    <row r="641" spans="1:31" s="3" customFormat="1" x14ac:dyDescent="0.25">
      <c r="A641"/>
      <c r="B641"/>
      <c r="C641" s="1"/>
      <c r="D641" s="1"/>
      <c r="E641" s="1"/>
      <c r="F641" s="1"/>
      <c r="G641" s="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</row>
    <row r="642" spans="1:31" s="3" customFormat="1" x14ac:dyDescent="0.25">
      <c r="A642"/>
      <c r="B642"/>
      <c r="C642" s="1"/>
      <c r="D642" s="1"/>
      <c r="E642" s="1"/>
      <c r="F642" s="1"/>
      <c r="G642" s="1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</row>
    <row r="643" spans="1:31" s="3" customFormat="1" x14ac:dyDescent="0.25">
      <c r="A643"/>
      <c r="B643"/>
      <c r="C643" s="1"/>
      <c r="D643" s="1"/>
      <c r="E643" s="1"/>
      <c r="F643" s="1"/>
      <c r="G643" s="1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</row>
    <row r="644" spans="1:31" s="3" customFormat="1" x14ac:dyDescent="0.25">
      <c r="A644"/>
      <c r="B644"/>
      <c r="C644" s="1"/>
      <c r="D644" s="1"/>
      <c r="E644" s="1"/>
      <c r="F644" s="1"/>
      <c r="G644" s="1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</row>
    <row r="645" spans="1:31" s="3" customFormat="1" x14ac:dyDescent="0.25">
      <c r="A645"/>
      <c r="B645"/>
      <c r="C645" s="1"/>
      <c r="D645" s="1"/>
      <c r="E645" s="1"/>
      <c r="F645" s="1"/>
      <c r="G645" s="1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</row>
    <row r="646" spans="1:31" s="3" customFormat="1" x14ac:dyDescent="0.25">
      <c r="A646"/>
      <c r="B646"/>
      <c r="C646" s="1"/>
      <c r="D646" s="1"/>
      <c r="E646" s="1"/>
      <c r="F646" s="1"/>
      <c r="G646" s="1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</row>
    <row r="647" spans="1:31" s="3" customFormat="1" x14ac:dyDescent="0.25">
      <c r="A647"/>
      <c r="B647"/>
      <c r="C647" s="1"/>
      <c r="D647" s="1"/>
      <c r="E647" s="1"/>
      <c r="F647" s="1"/>
      <c r="G647" s="1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</row>
    <row r="648" spans="1:31" s="3" customFormat="1" x14ac:dyDescent="0.25">
      <c r="A648"/>
      <c r="B648"/>
      <c r="C648" s="1"/>
      <c r="D648" s="1"/>
      <c r="E648" s="1"/>
      <c r="F648" s="1"/>
      <c r="G648" s="1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</row>
    <row r="649" spans="1:31" s="3" customFormat="1" x14ac:dyDescent="0.25">
      <c r="A649"/>
      <c r="B649"/>
      <c r="C649" s="1"/>
      <c r="D649" s="1"/>
      <c r="E649" s="1"/>
      <c r="F649" s="1"/>
      <c r="G649" s="1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</row>
    <row r="650" spans="1:31" s="3" customFormat="1" x14ac:dyDescent="0.25">
      <c r="A650"/>
      <c r="B650"/>
      <c r="C650" s="1"/>
      <c r="D650" s="1"/>
      <c r="E650" s="1"/>
      <c r="F650" s="1"/>
      <c r="G650" s="1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</row>
    <row r="651" spans="1:31" s="3" customFormat="1" x14ac:dyDescent="0.25">
      <c r="A651"/>
      <c r="B651"/>
      <c r="C651" s="1"/>
      <c r="D651" s="1"/>
      <c r="E651" s="1"/>
      <c r="F651" s="1"/>
      <c r="G651" s="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</row>
    <row r="652" spans="1:31" s="3" customFormat="1" x14ac:dyDescent="0.25">
      <c r="A652"/>
      <c r="B652"/>
      <c r="C652" s="1"/>
      <c r="D652" s="1"/>
      <c r="E652" s="1"/>
      <c r="F652" s="1"/>
      <c r="G652" s="1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</row>
    <row r="653" spans="1:31" s="3" customFormat="1" x14ac:dyDescent="0.25">
      <c r="A653"/>
      <c r="B653"/>
      <c r="C653" s="1"/>
      <c r="D653" s="1"/>
      <c r="E653" s="1"/>
      <c r="F653" s="1"/>
      <c r="G653" s="1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</row>
    <row r="654" spans="1:31" s="3" customFormat="1" x14ac:dyDescent="0.25">
      <c r="A654"/>
      <c r="B654"/>
      <c r="C654" s="1"/>
      <c r="D654" s="1"/>
      <c r="E654" s="1"/>
      <c r="F654" s="1"/>
      <c r="G654" s="1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</row>
    <row r="655" spans="1:31" s="3" customFormat="1" x14ac:dyDescent="0.25">
      <c r="A655"/>
      <c r="B655"/>
      <c r="C655" s="1"/>
      <c r="D655" s="1"/>
      <c r="E655" s="1"/>
      <c r="F655" s="1"/>
      <c r="G655" s="1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</row>
    <row r="656" spans="1:31" s="3" customFormat="1" x14ac:dyDescent="0.25">
      <c r="A656"/>
      <c r="B656"/>
      <c r="C656" s="1"/>
      <c r="D656" s="1"/>
      <c r="E656" s="1"/>
      <c r="F656" s="1"/>
      <c r="G656" s="1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</row>
    <row r="657" spans="1:31" s="3" customFormat="1" x14ac:dyDescent="0.25">
      <c r="A657"/>
      <c r="B657"/>
      <c r="C657" s="1"/>
      <c r="D657" s="1"/>
      <c r="E657" s="1"/>
      <c r="F657" s="1"/>
      <c r="G657" s="1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</row>
    <row r="658" spans="1:31" s="3" customFormat="1" x14ac:dyDescent="0.25">
      <c r="A658"/>
      <c r="B658"/>
      <c r="C658" s="1"/>
      <c r="D658" s="1"/>
      <c r="E658" s="1"/>
      <c r="F658" s="1"/>
      <c r="G658" s="1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</row>
    <row r="659" spans="1:31" s="3" customFormat="1" x14ac:dyDescent="0.25">
      <c r="A659"/>
      <c r="B659"/>
      <c r="C659" s="1"/>
      <c r="D659" s="1"/>
      <c r="E659" s="1"/>
      <c r="F659" s="1"/>
      <c r="G659" s="1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</row>
    <row r="660" spans="1:31" s="3" customFormat="1" x14ac:dyDescent="0.25">
      <c r="A660"/>
      <c r="B660"/>
      <c r="C660" s="1"/>
      <c r="D660" s="1"/>
      <c r="E660" s="1"/>
      <c r="F660" s="1"/>
      <c r="G660" s="1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</row>
    <row r="661" spans="1:31" s="3" customFormat="1" x14ac:dyDescent="0.25">
      <c r="A661"/>
      <c r="B661"/>
      <c r="C661" s="1"/>
      <c r="D661" s="1"/>
      <c r="E661" s="1"/>
      <c r="F661" s="1"/>
      <c r="G661" s="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</row>
    <row r="662" spans="1:31" s="3" customFormat="1" x14ac:dyDescent="0.25">
      <c r="A662"/>
      <c r="B662"/>
      <c r="C662" s="1"/>
      <c r="D662" s="1"/>
      <c r="E662" s="1"/>
      <c r="F662" s="1"/>
      <c r="G662" s="1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</row>
    <row r="663" spans="1:31" s="3" customFormat="1" x14ac:dyDescent="0.25">
      <c r="A663"/>
      <c r="B663"/>
      <c r="C663" s="1"/>
      <c r="D663" s="1"/>
      <c r="E663" s="1"/>
      <c r="F663" s="1"/>
      <c r="G663" s="1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</row>
    <row r="664" spans="1:31" s="3" customFormat="1" x14ac:dyDescent="0.25">
      <c r="A664"/>
      <c r="B664"/>
      <c r="C664" s="1"/>
      <c r="D664" s="1"/>
      <c r="E664" s="1"/>
      <c r="F664" s="1"/>
      <c r="G664" s="1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</row>
    <row r="665" spans="1:31" s="3" customFormat="1" x14ac:dyDescent="0.25">
      <c r="A665"/>
      <c r="B665"/>
      <c r="C665" s="1"/>
      <c r="D665" s="1"/>
      <c r="E665" s="1"/>
      <c r="F665" s="1"/>
      <c r="G665" s="1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</row>
    <row r="666" spans="1:31" s="3" customFormat="1" x14ac:dyDescent="0.25">
      <c r="A666"/>
      <c r="B666"/>
      <c r="C666" s="1"/>
      <c r="D666" s="1"/>
      <c r="E666" s="1"/>
      <c r="F666" s="1"/>
      <c r="G666" s="1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</row>
    <row r="667" spans="1:31" s="3" customFormat="1" x14ac:dyDescent="0.25">
      <c r="A667"/>
      <c r="B667"/>
      <c r="C667" s="1"/>
      <c r="D667" s="1"/>
      <c r="E667" s="1"/>
      <c r="F667" s="1"/>
      <c r="G667" s="1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</row>
    <row r="668" spans="1:31" s="3" customFormat="1" x14ac:dyDescent="0.25">
      <c r="A668"/>
      <c r="B668"/>
      <c r="C668" s="1"/>
      <c r="D668" s="1"/>
      <c r="E668" s="1"/>
      <c r="F668" s="1"/>
      <c r="G668" s="1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</row>
    <row r="669" spans="1:31" s="3" customFormat="1" x14ac:dyDescent="0.25">
      <c r="A669"/>
      <c r="B669"/>
      <c r="C669" s="1"/>
      <c r="D669" s="1"/>
      <c r="E669" s="1"/>
      <c r="F669" s="1"/>
      <c r="G669" s="1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</row>
    <row r="670" spans="1:31" s="3" customFormat="1" x14ac:dyDescent="0.25">
      <c r="A670"/>
      <c r="B670"/>
      <c r="C670" s="1"/>
      <c r="D670" s="1"/>
      <c r="E670" s="1"/>
      <c r="F670" s="1"/>
      <c r="G670" s="1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</row>
    <row r="671" spans="1:31" s="3" customFormat="1" x14ac:dyDescent="0.25">
      <c r="A671"/>
      <c r="B671"/>
      <c r="C671" s="1"/>
      <c r="D671" s="1"/>
      <c r="E671" s="1"/>
      <c r="F671" s="1"/>
      <c r="G671" s="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</row>
    <row r="672" spans="1:31" s="3" customFormat="1" x14ac:dyDescent="0.25">
      <c r="A672"/>
      <c r="B672"/>
      <c r="C672" s="1"/>
      <c r="D672" s="1"/>
      <c r="E672" s="1"/>
      <c r="F672" s="1"/>
      <c r="G672" s="1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</row>
    <row r="673" spans="1:31" s="3" customFormat="1" x14ac:dyDescent="0.25">
      <c r="A673"/>
      <c r="B673"/>
      <c r="C673" s="1"/>
      <c r="D673" s="1"/>
      <c r="E673" s="1"/>
      <c r="F673" s="1"/>
      <c r="G673" s="1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</row>
    <row r="674" spans="1:31" s="3" customFormat="1" x14ac:dyDescent="0.25">
      <c r="A674"/>
      <c r="B674"/>
      <c r="C674" s="1"/>
      <c r="D674" s="1"/>
      <c r="E674" s="1"/>
      <c r="F674" s="1"/>
      <c r="G674" s="1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</row>
    <row r="675" spans="1:31" s="3" customFormat="1" x14ac:dyDescent="0.25">
      <c r="A675"/>
      <c r="B675"/>
      <c r="C675" s="1"/>
      <c r="D675" s="1"/>
      <c r="E675" s="1"/>
      <c r="F675" s="1"/>
      <c r="G675" s="1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</row>
    <row r="676" spans="1:31" s="3" customFormat="1" x14ac:dyDescent="0.25">
      <c r="A676"/>
      <c r="B676"/>
      <c r="C676" s="1"/>
      <c r="D676" s="1"/>
      <c r="E676" s="1"/>
      <c r="F676" s="1"/>
      <c r="G676" s="1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</row>
    <row r="677" spans="1:31" s="3" customFormat="1" x14ac:dyDescent="0.25">
      <c r="A677"/>
      <c r="B677"/>
      <c r="C677" s="1"/>
      <c r="D677" s="1"/>
      <c r="E677" s="1"/>
      <c r="F677" s="1"/>
      <c r="G677" s="1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</row>
    <row r="678" spans="1:31" s="3" customFormat="1" x14ac:dyDescent="0.25">
      <c r="A678"/>
      <c r="B678"/>
      <c r="C678" s="1"/>
      <c r="D678" s="1"/>
      <c r="E678" s="1"/>
      <c r="F678" s="1"/>
      <c r="G678" s="1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</row>
    <row r="679" spans="1:31" s="3" customFormat="1" x14ac:dyDescent="0.25">
      <c r="A679"/>
      <c r="B679"/>
      <c r="C679" s="1"/>
      <c r="D679" s="1"/>
      <c r="E679" s="1"/>
      <c r="F679" s="1"/>
      <c r="G679" s="1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</row>
    <row r="680" spans="1:31" s="3" customFormat="1" x14ac:dyDescent="0.25">
      <c r="A680"/>
      <c r="B680"/>
      <c r="C680" s="1"/>
      <c r="D680" s="1"/>
      <c r="E680" s="1"/>
      <c r="F680" s="1"/>
      <c r="G680" s="1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</row>
    <row r="681" spans="1:31" s="3" customFormat="1" x14ac:dyDescent="0.25">
      <c r="A681"/>
      <c r="B681"/>
      <c r="C681" s="1"/>
      <c r="D681" s="1"/>
      <c r="E681" s="1"/>
      <c r="F681" s="1"/>
      <c r="G681" s="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</row>
    <row r="682" spans="1:31" s="3" customFormat="1" x14ac:dyDescent="0.25">
      <c r="A682"/>
      <c r="B682"/>
      <c r="C682" s="1"/>
      <c r="D682" s="1"/>
      <c r="E682" s="1"/>
      <c r="F682" s="1"/>
      <c r="G682" s="1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</row>
    <row r="683" spans="1:31" s="3" customFormat="1" x14ac:dyDescent="0.25">
      <c r="A683"/>
      <c r="B683"/>
      <c r="C683" s="1"/>
      <c r="D683" s="1"/>
      <c r="E683" s="1"/>
      <c r="F683" s="1"/>
      <c r="G683" s="1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</row>
    <row r="684" spans="1:31" s="3" customFormat="1" x14ac:dyDescent="0.25">
      <c r="A684"/>
      <c r="B684"/>
      <c r="C684" s="1"/>
      <c r="D684" s="1"/>
      <c r="E684" s="1"/>
      <c r="F684" s="1"/>
      <c r="G684" s="1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</row>
    <row r="685" spans="1:31" s="3" customFormat="1" x14ac:dyDescent="0.25">
      <c r="A685"/>
      <c r="B685"/>
      <c r="C685" s="1"/>
      <c r="D685" s="1"/>
      <c r="E685" s="1"/>
      <c r="F685" s="1"/>
      <c r="G685" s="1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</row>
    <row r="686" spans="1:31" s="3" customFormat="1" x14ac:dyDescent="0.25">
      <c r="A686"/>
      <c r="B686"/>
      <c r="C686" s="1"/>
      <c r="D686" s="1"/>
      <c r="E686" s="1"/>
      <c r="F686" s="1"/>
      <c r="G686" s="1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</row>
    <row r="687" spans="1:31" s="3" customFormat="1" x14ac:dyDescent="0.25">
      <c r="A687"/>
      <c r="B687"/>
      <c r="C687" s="1"/>
      <c r="D687" s="1"/>
      <c r="E687" s="1"/>
      <c r="F687" s="1"/>
      <c r="G687" s="1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</row>
    <row r="688" spans="1:31" s="3" customFormat="1" x14ac:dyDescent="0.25">
      <c r="A688"/>
      <c r="B688"/>
      <c r="C688" s="1"/>
      <c r="D688" s="1"/>
      <c r="E688" s="1"/>
      <c r="F688" s="1"/>
      <c r="G688" s="1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</row>
    <row r="689" spans="1:31" s="3" customFormat="1" x14ac:dyDescent="0.25">
      <c r="A689"/>
      <c r="B689"/>
      <c r="C689" s="1"/>
      <c r="D689" s="1"/>
      <c r="E689" s="1"/>
      <c r="F689" s="1"/>
      <c r="G689" s="1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</row>
    <row r="690" spans="1:31" s="3" customFormat="1" x14ac:dyDescent="0.25">
      <c r="A690"/>
      <c r="B690"/>
      <c r="C690" s="1"/>
      <c r="D690" s="1"/>
      <c r="E690" s="1"/>
      <c r="F690" s="1"/>
      <c r="G690" s="1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</row>
    <row r="691" spans="1:31" s="3" customFormat="1" x14ac:dyDescent="0.25">
      <c r="A691"/>
      <c r="B691"/>
      <c r="C691" s="1"/>
      <c r="D691" s="1"/>
      <c r="E691" s="1"/>
      <c r="F691" s="1"/>
      <c r="G691" s="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</row>
    <row r="692" spans="1:31" s="3" customFormat="1" x14ac:dyDescent="0.25">
      <c r="A692"/>
      <c r="B692"/>
      <c r="C692" s="1"/>
      <c r="D692" s="1"/>
      <c r="E692" s="1"/>
      <c r="F692" s="1"/>
      <c r="G692" s="1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</row>
    <row r="693" spans="1:31" s="3" customFormat="1" x14ac:dyDescent="0.25">
      <c r="A693"/>
      <c r="B693"/>
      <c r="C693" s="1"/>
      <c r="D693" s="1"/>
      <c r="E693" s="1"/>
      <c r="F693" s="1"/>
      <c r="G693" s="1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</row>
    <row r="694" spans="1:31" s="3" customFormat="1" x14ac:dyDescent="0.25">
      <c r="A694"/>
      <c r="B694"/>
      <c r="C694" s="1"/>
      <c r="D694" s="1"/>
      <c r="E694" s="1"/>
      <c r="F694" s="1"/>
      <c r="G694" s="1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</row>
    <row r="695" spans="1:31" s="3" customFormat="1" x14ac:dyDescent="0.25">
      <c r="A695"/>
      <c r="B695"/>
      <c r="C695" s="1"/>
      <c r="D695" s="1"/>
      <c r="E695" s="1"/>
      <c r="F695" s="1"/>
      <c r="G695" s="1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</row>
    <row r="696" spans="1:31" s="3" customFormat="1" x14ac:dyDescent="0.25">
      <c r="A696"/>
      <c r="B696"/>
      <c r="C696" s="1"/>
      <c r="D696" s="1"/>
      <c r="E696" s="1"/>
      <c r="F696" s="1"/>
      <c r="G696" s="1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</row>
    <row r="697" spans="1:31" s="3" customFormat="1" x14ac:dyDescent="0.25">
      <c r="A697"/>
      <c r="B697"/>
      <c r="C697" s="1"/>
      <c r="D697" s="1"/>
      <c r="E697" s="1"/>
      <c r="F697" s="1"/>
      <c r="G697" s="1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</row>
    <row r="698" spans="1:31" s="3" customFormat="1" x14ac:dyDescent="0.25">
      <c r="A698"/>
      <c r="B698"/>
      <c r="C698" s="1"/>
      <c r="D698" s="1"/>
      <c r="E698" s="1"/>
      <c r="F698" s="1"/>
      <c r="G698" s="1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</row>
    <row r="699" spans="1:31" s="3" customFormat="1" x14ac:dyDescent="0.25">
      <c r="A699"/>
      <c r="B699"/>
      <c r="C699" s="1"/>
      <c r="D699" s="1"/>
      <c r="E699" s="1"/>
      <c r="F699" s="1"/>
      <c r="G699" s="1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</row>
    <row r="700" spans="1:31" s="3" customFormat="1" x14ac:dyDescent="0.25">
      <c r="A700"/>
      <c r="B700"/>
      <c r="C700" s="1"/>
      <c r="D700" s="1"/>
      <c r="E700" s="1"/>
      <c r="F700" s="1"/>
      <c r="G700" s="1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</row>
    <row r="701" spans="1:31" s="3" customFormat="1" x14ac:dyDescent="0.25">
      <c r="A701"/>
      <c r="B701"/>
      <c r="C701" s="1"/>
      <c r="D701" s="1"/>
      <c r="E701" s="1"/>
      <c r="F701" s="1"/>
      <c r="G701" s="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</row>
    <row r="702" spans="1:31" s="3" customFormat="1" x14ac:dyDescent="0.25">
      <c r="A702"/>
      <c r="B702"/>
      <c r="C702" s="1"/>
      <c r="D702" s="1"/>
      <c r="E702" s="1"/>
      <c r="F702" s="1"/>
      <c r="G702" s="1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</row>
    <row r="703" spans="1:31" s="3" customFormat="1" x14ac:dyDescent="0.25">
      <c r="A703"/>
      <c r="B703"/>
      <c r="C703" s="1"/>
      <c r="D703" s="1"/>
      <c r="E703" s="1"/>
      <c r="F703" s="1"/>
      <c r="G703" s="1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</row>
    <row r="704" spans="1:31" s="3" customFormat="1" x14ac:dyDescent="0.25">
      <c r="A704"/>
      <c r="B704"/>
      <c r="C704" s="1"/>
      <c r="D704" s="1"/>
      <c r="E704" s="1"/>
      <c r="F704" s="1"/>
      <c r="G704" s="1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</row>
    <row r="705" spans="1:31" s="3" customFormat="1" x14ac:dyDescent="0.25">
      <c r="A705"/>
      <c r="B705"/>
      <c r="C705" s="1"/>
      <c r="D705" s="1"/>
      <c r="E705" s="1"/>
      <c r="F705" s="1"/>
      <c r="G705" s="1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</row>
    <row r="706" spans="1:31" s="3" customFormat="1" x14ac:dyDescent="0.25">
      <c r="A706"/>
      <c r="B706"/>
      <c r="C706" s="1"/>
      <c r="D706" s="1"/>
      <c r="E706" s="1"/>
      <c r="F706" s="1"/>
      <c r="G706" s="1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</row>
    <row r="707" spans="1:31" s="3" customFormat="1" x14ac:dyDescent="0.25">
      <c r="A707"/>
      <c r="B707"/>
      <c r="C707" s="1"/>
      <c r="D707" s="1"/>
      <c r="E707" s="1"/>
      <c r="F707" s="1"/>
      <c r="G707" s="1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</row>
    <row r="708" spans="1:31" s="3" customFormat="1" x14ac:dyDescent="0.25">
      <c r="A708"/>
      <c r="B708"/>
      <c r="C708" s="1"/>
      <c r="D708" s="1"/>
      <c r="E708" s="1"/>
      <c r="F708" s="1"/>
      <c r="G708" s="1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</row>
    <row r="709" spans="1:31" s="3" customFormat="1" x14ac:dyDescent="0.25">
      <c r="A709"/>
      <c r="B709"/>
      <c r="C709" s="1"/>
      <c r="D709" s="1"/>
      <c r="E709" s="1"/>
      <c r="F709" s="1"/>
      <c r="G709" s="1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</row>
    <row r="710" spans="1:31" s="3" customFormat="1" x14ac:dyDescent="0.25">
      <c r="A710"/>
      <c r="B710"/>
      <c r="C710" s="1"/>
      <c r="D710" s="1"/>
      <c r="E710" s="1"/>
      <c r="F710" s="1"/>
      <c r="G710" s="1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</row>
    <row r="711" spans="1:31" s="3" customFormat="1" x14ac:dyDescent="0.25">
      <c r="A711"/>
      <c r="B711"/>
      <c r="C711" s="1"/>
      <c r="D711" s="1"/>
      <c r="E711" s="1"/>
      <c r="F711" s="1"/>
      <c r="G711" s="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</row>
    <row r="712" spans="1:31" s="3" customFormat="1" x14ac:dyDescent="0.25">
      <c r="A712"/>
      <c r="B712"/>
      <c r="C712" s="1"/>
      <c r="D712" s="1"/>
      <c r="E712" s="1"/>
      <c r="F712" s="1"/>
      <c r="G712" s="1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</row>
    <row r="713" spans="1:31" s="3" customFormat="1" x14ac:dyDescent="0.25">
      <c r="A713"/>
      <c r="B713"/>
      <c r="C713" s="1"/>
      <c r="D713" s="1"/>
      <c r="E713" s="1"/>
      <c r="F713" s="1"/>
      <c r="G713" s="1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</row>
    <row r="714" spans="1:31" s="3" customFormat="1" x14ac:dyDescent="0.25">
      <c r="A714"/>
      <c r="B714"/>
      <c r="C714" s="1"/>
      <c r="D714" s="1"/>
      <c r="E714" s="1"/>
      <c r="F714" s="1"/>
      <c r="G714" s="1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</row>
    <row r="715" spans="1:31" s="3" customFormat="1" x14ac:dyDescent="0.25">
      <c r="A715"/>
      <c r="B715"/>
      <c r="C715" s="1"/>
      <c r="D715" s="1"/>
      <c r="E715" s="1"/>
      <c r="F715" s="1"/>
      <c r="G715" s="1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</row>
    <row r="716" spans="1:31" s="3" customFormat="1" x14ac:dyDescent="0.25">
      <c r="A716"/>
      <c r="B716"/>
      <c r="C716" s="1"/>
      <c r="D716" s="1"/>
      <c r="E716" s="1"/>
      <c r="F716" s="1"/>
      <c r="G716" s="1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</row>
    <row r="717" spans="1:31" s="3" customFormat="1" x14ac:dyDescent="0.25">
      <c r="A717"/>
      <c r="B717"/>
      <c r="C717" s="1"/>
      <c r="D717" s="1"/>
      <c r="E717" s="1"/>
      <c r="F717" s="1"/>
      <c r="G717" s="1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</row>
    <row r="718" spans="1:31" s="3" customFormat="1" x14ac:dyDescent="0.25">
      <c r="A718"/>
      <c r="B718"/>
      <c r="C718" s="1"/>
      <c r="D718" s="1"/>
      <c r="E718" s="1"/>
      <c r="F718" s="1"/>
      <c r="G718" s="1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</row>
    <row r="719" spans="1:31" s="3" customFormat="1" x14ac:dyDescent="0.25">
      <c r="A719"/>
      <c r="B719"/>
      <c r="C719" s="1"/>
      <c r="D719" s="1"/>
      <c r="E719" s="1"/>
      <c r="F719" s="1"/>
      <c r="G719" s="1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</row>
    <row r="720" spans="1:31" s="3" customFormat="1" x14ac:dyDescent="0.25">
      <c r="A720"/>
      <c r="B720"/>
      <c r="C720" s="1"/>
      <c r="D720" s="1"/>
      <c r="E720" s="1"/>
      <c r="F720" s="1"/>
      <c r="G720" s="1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</row>
    <row r="721" spans="1:31" s="3" customFormat="1" x14ac:dyDescent="0.25">
      <c r="A721"/>
      <c r="B721"/>
      <c r="C721" s="1"/>
      <c r="D721" s="1"/>
      <c r="E721" s="1"/>
      <c r="F721" s="1"/>
      <c r="G721" s="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</row>
    <row r="722" spans="1:31" s="3" customFormat="1" x14ac:dyDescent="0.25">
      <c r="A722"/>
      <c r="B722"/>
      <c r="C722" s="1"/>
      <c r="D722" s="1"/>
      <c r="E722" s="1"/>
      <c r="F722" s="1"/>
      <c r="G722" s="1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</row>
    <row r="723" spans="1:31" s="3" customFormat="1" x14ac:dyDescent="0.25">
      <c r="A723"/>
      <c r="B723"/>
      <c r="C723" s="1"/>
      <c r="D723" s="1"/>
      <c r="E723" s="1"/>
      <c r="F723" s="1"/>
      <c r="G723" s="1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</row>
    <row r="724" spans="1:31" s="3" customFormat="1" x14ac:dyDescent="0.25">
      <c r="A724"/>
      <c r="B724"/>
      <c r="C724" s="1"/>
      <c r="D724" s="1"/>
      <c r="E724" s="1"/>
      <c r="F724" s="1"/>
      <c r="G724" s="1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</row>
    <row r="725" spans="1:31" s="3" customFormat="1" x14ac:dyDescent="0.25">
      <c r="A725"/>
      <c r="B725"/>
      <c r="C725" s="1"/>
      <c r="D725" s="1"/>
      <c r="E725" s="1"/>
      <c r="F725" s="1"/>
      <c r="G725" s="1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</row>
    <row r="726" spans="1:31" s="3" customFormat="1" x14ac:dyDescent="0.25">
      <c r="A726"/>
      <c r="B726"/>
      <c r="C726" s="1"/>
      <c r="D726" s="1"/>
      <c r="E726" s="1"/>
      <c r="F726" s="1"/>
      <c r="G726" s="1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</row>
    <row r="727" spans="1:31" s="3" customFormat="1" x14ac:dyDescent="0.25">
      <c r="A727"/>
      <c r="B727"/>
      <c r="C727" s="1"/>
      <c r="D727" s="1"/>
      <c r="E727" s="1"/>
      <c r="F727" s="1"/>
      <c r="G727" s="1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</row>
    <row r="728" spans="1:31" s="3" customFormat="1" x14ac:dyDescent="0.25">
      <c r="A728"/>
      <c r="B728"/>
      <c r="C728" s="1"/>
      <c r="D728" s="1"/>
      <c r="E728" s="1"/>
      <c r="F728" s="1"/>
      <c r="G728" s="1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</row>
    <row r="729" spans="1:31" s="3" customFormat="1" x14ac:dyDescent="0.25">
      <c r="A729"/>
      <c r="B729"/>
      <c r="C729" s="1"/>
      <c r="D729" s="1"/>
      <c r="E729" s="1"/>
      <c r="F729" s="1"/>
      <c r="G729" s="1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</row>
    <row r="730" spans="1:31" s="3" customFormat="1" x14ac:dyDescent="0.25">
      <c r="A730"/>
      <c r="B730"/>
      <c r="C730" s="1"/>
      <c r="D730" s="1"/>
      <c r="E730" s="1"/>
      <c r="F730" s="1"/>
      <c r="G730" s="1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</row>
    <row r="731" spans="1:31" s="3" customFormat="1" x14ac:dyDescent="0.25">
      <c r="A731"/>
      <c r="B731"/>
      <c r="C731" s="1"/>
      <c r="D731" s="1"/>
      <c r="E731" s="1"/>
      <c r="F731" s="1"/>
      <c r="G731" s="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</row>
    <row r="732" spans="1:31" s="3" customFormat="1" x14ac:dyDescent="0.25">
      <c r="A732"/>
      <c r="B732"/>
      <c r="C732" s="1"/>
      <c r="D732" s="1"/>
      <c r="E732" s="1"/>
      <c r="F732" s="1"/>
      <c r="G732" s="1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</row>
    <row r="733" spans="1:31" s="3" customFormat="1" x14ac:dyDescent="0.25">
      <c r="A733"/>
      <c r="B733"/>
      <c r="C733" s="1"/>
      <c r="D733" s="1"/>
      <c r="E733" s="1"/>
      <c r="F733" s="1"/>
      <c r="G733" s="1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</row>
    <row r="734" spans="1:31" s="3" customFormat="1" x14ac:dyDescent="0.25">
      <c r="A734"/>
      <c r="B734"/>
      <c r="C734" s="1"/>
      <c r="D734" s="1"/>
      <c r="E734" s="1"/>
      <c r="F734" s="1"/>
      <c r="G734" s="1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</row>
    <row r="735" spans="1:31" s="3" customFormat="1" x14ac:dyDescent="0.25">
      <c r="A735"/>
      <c r="B735"/>
      <c r="C735" s="1"/>
      <c r="D735" s="1"/>
      <c r="E735" s="1"/>
      <c r="F735" s="1"/>
      <c r="G735" s="1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</row>
    <row r="736" spans="1:31" s="3" customFormat="1" x14ac:dyDescent="0.25">
      <c r="A736"/>
      <c r="B736"/>
      <c r="C736" s="1"/>
      <c r="D736" s="1"/>
      <c r="E736" s="1"/>
      <c r="F736" s="1"/>
      <c r="G736" s="1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</row>
    <row r="737" spans="1:31" s="3" customFormat="1" x14ac:dyDescent="0.25">
      <c r="A737"/>
      <c r="B737"/>
      <c r="C737" s="1"/>
      <c r="D737" s="1"/>
      <c r="E737" s="1"/>
      <c r="F737" s="1"/>
      <c r="G737" s="1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</row>
    <row r="738" spans="1:31" s="3" customFormat="1" x14ac:dyDescent="0.25">
      <c r="A738"/>
      <c r="B738"/>
      <c r="C738" s="1"/>
      <c r="D738" s="1"/>
      <c r="E738" s="1"/>
      <c r="F738" s="1"/>
      <c r="G738" s="1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</row>
    <row r="739" spans="1:31" s="3" customFormat="1" x14ac:dyDescent="0.25">
      <c r="A739"/>
      <c r="B739"/>
      <c r="C739" s="1"/>
      <c r="D739" s="1"/>
      <c r="E739" s="1"/>
      <c r="F739" s="1"/>
      <c r="G739" s="1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</row>
    <row r="740" spans="1:31" s="3" customFormat="1" x14ac:dyDescent="0.25">
      <c r="A740"/>
      <c r="B740"/>
      <c r="C740" s="1"/>
      <c r="D740" s="1"/>
      <c r="E740" s="1"/>
      <c r="F740" s="1"/>
      <c r="G740" s="1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</row>
    <row r="741" spans="1:31" s="3" customFormat="1" x14ac:dyDescent="0.25">
      <c r="A741"/>
      <c r="B741"/>
      <c r="C741" s="1"/>
      <c r="D741" s="1"/>
      <c r="E741" s="1"/>
      <c r="F741" s="1"/>
      <c r="G741" s="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</row>
    <row r="742" spans="1:31" s="3" customFormat="1" x14ac:dyDescent="0.25">
      <c r="A742"/>
      <c r="B742"/>
      <c r="C742" s="1"/>
      <c r="D742" s="1"/>
      <c r="E742" s="1"/>
      <c r="F742" s="1"/>
      <c r="G742" s="1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</row>
    <row r="743" spans="1:31" s="3" customFormat="1" x14ac:dyDescent="0.25">
      <c r="A743"/>
      <c r="B743"/>
      <c r="C743" s="1"/>
      <c r="D743" s="1"/>
      <c r="E743" s="1"/>
      <c r="F743" s="1"/>
      <c r="G743" s="1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</row>
    <row r="744" spans="1:31" s="3" customFormat="1" x14ac:dyDescent="0.25">
      <c r="A744"/>
      <c r="B744"/>
      <c r="C744" s="1"/>
      <c r="D744" s="1"/>
      <c r="E744" s="1"/>
      <c r="F744" s="1"/>
      <c r="G744" s="1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</row>
    <row r="745" spans="1:31" s="3" customFormat="1" x14ac:dyDescent="0.25">
      <c r="A745"/>
      <c r="B745"/>
      <c r="C745" s="1"/>
      <c r="D745" s="1"/>
      <c r="E745" s="1"/>
      <c r="F745" s="1"/>
      <c r="G745" s="1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</row>
    <row r="746" spans="1:31" s="3" customFormat="1" x14ac:dyDescent="0.25">
      <c r="A746"/>
      <c r="B746"/>
      <c r="C746" s="1"/>
      <c r="D746" s="1"/>
      <c r="E746" s="1"/>
      <c r="F746" s="1"/>
      <c r="G746" s="1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</row>
    <row r="747" spans="1:31" s="3" customFormat="1" x14ac:dyDescent="0.25">
      <c r="A747"/>
      <c r="B747"/>
      <c r="C747" s="1"/>
      <c r="D747" s="1"/>
      <c r="E747" s="1"/>
      <c r="F747" s="1"/>
      <c r="G747" s="1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</row>
    <row r="748" spans="1:31" s="3" customFormat="1" x14ac:dyDescent="0.25">
      <c r="A748"/>
      <c r="B748"/>
      <c r="C748" s="1"/>
      <c r="D748" s="1"/>
      <c r="E748" s="1"/>
      <c r="F748" s="1"/>
      <c r="G748" s="1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</row>
    <row r="749" spans="1:31" s="3" customFormat="1" x14ac:dyDescent="0.25">
      <c r="A749"/>
      <c r="B749"/>
      <c r="C749" s="1"/>
      <c r="D749" s="1"/>
      <c r="E749" s="1"/>
      <c r="F749" s="1"/>
      <c r="G749" s="1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</row>
    <row r="750" spans="1:31" s="3" customFormat="1" x14ac:dyDescent="0.25">
      <c r="A750"/>
      <c r="B750"/>
      <c r="C750" s="1"/>
      <c r="D750" s="1"/>
      <c r="E750" s="1"/>
      <c r="F750" s="1"/>
      <c r="G750" s="1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</row>
    <row r="751" spans="1:31" s="3" customFormat="1" x14ac:dyDescent="0.25">
      <c r="A751"/>
      <c r="B751"/>
      <c r="C751" s="1"/>
      <c r="D751" s="1"/>
      <c r="E751" s="1"/>
      <c r="F751" s="1"/>
      <c r="G751" s="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</row>
    <row r="752" spans="1:31" s="3" customFormat="1" x14ac:dyDescent="0.25">
      <c r="A752"/>
      <c r="B752"/>
      <c r="C752" s="1"/>
      <c r="D752" s="1"/>
      <c r="E752" s="1"/>
      <c r="F752" s="1"/>
      <c r="G752" s="1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</row>
    <row r="753" spans="1:31" s="3" customFormat="1" x14ac:dyDescent="0.25">
      <c r="A753"/>
      <c r="B753"/>
      <c r="C753" s="1"/>
      <c r="D753" s="1"/>
      <c r="E753" s="1"/>
      <c r="F753" s="1"/>
      <c r="G753" s="1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</row>
    <row r="754" spans="1:31" s="3" customFormat="1" x14ac:dyDescent="0.25">
      <c r="A754"/>
      <c r="B754"/>
      <c r="C754" s="1"/>
      <c r="D754" s="1"/>
      <c r="E754" s="1"/>
      <c r="F754" s="1"/>
      <c r="G754" s="1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</row>
    <row r="755" spans="1:31" s="3" customFormat="1" x14ac:dyDescent="0.25">
      <c r="A755"/>
      <c r="B755"/>
      <c r="C755" s="1"/>
      <c r="D755" s="1"/>
      <c r="E755" s="1"/>
      <c r="F755" s="1"/>
      <c r="G755" s="1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</row>
    <row r="756" spans="1:31" s="3" customFormat="1" x14ac:dyDescent="0.25">
      <c r="A756"/>
      <c r="B756"/>
      <c r="C756" s="1"/>
      <c r="D756" s="1"/>
      <c r="E756" s="1"/>
      <c r="F756" s="1"/>
      <c r="G756" s="1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</row>
    <row r="757" spans="1:31" s="3" customFormat="1" x14ac:dyDescent="0.25">
      <c r="A757"/>
      <c r="B757"/>
      <c r="C757" s="1"/>
      <c r="D757" s="1"/>
      <c r="E757" s="1"/>
      <c r="F757" s="1"/>
      <c r="G757" s="1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</row>
    <row r="758" spans="1:31" s="3" customFormat="1" x14ac:dyDescent="0.25">
      <c r="A758"/>
      <c r="B758"/>
      <c r="C758" s="1"/>
      <c r="D758" s="1"/>
      <c r="E758" s="1"/>
      <c r="F758" s="1"/>
      <c r="G758" s="1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</row>
    <row r="759" spans="1:31" s="3" customFormat="1" x14ac:dyDescent="0.25">
      <c r="A759"/>
      <c r="B759"/>
      <c r="C759" s="1"/>
      <c r="D759" s="1"/>
      <c r="E759" s="1"/>
      <c r="F759" s="1"/>
      <c r="G759" s="1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</row>
    <row r="760" spans="1:31" s="3" customFormat="1" x14ac:dyDescent="0.25">
      <c r="A760"/>
      <c r="B760"/>
      <c r="C760" s="1"/>
      <c r="D760" s="1"/>
      <c r="E760" s="1"/>
      <c r="F760" s="1"/>
      <c r="G760" s="1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</row>
    <row r="761" spans="1:31" s="3" customFormat="1" x14ac:dyDescent="0.25">
      <c r="A761"/>
      <c r="B761"/>
      <c r="C761" s="1"/>
      <c r="D761" s="1"/>
      <c r="E761" s="1"/>
      <c r="F761" s="1"/>
      <c r="G761" s="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</row>
    <row r="762" spans="1:31" s="3" customFormat="1" x14ac:dyDescent="0.25">
      <c r="A762"/>
      <c r="B762"/>
      <c r="C762" s="1"/>
      <c r="D762" s="1"/>
      <c r="E762" s="1"/>
      <c r="F762" s="1"/>
      <c r="G762" s="1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</row>
    <row r="763" spans="1:31" s="3" customFormat="1" x14ac:dyDescent="0.25">
      <c r="A763"/>
      <c r="B763"/>
      <c r="C763" s="1"/>
      <c r="D763" s="1"/>
      <c r="E763" s="1"/>
      <c r="F763" s="1"/>
      <c r="G763" s="1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</row>
    <row r="764" spans="1:31" s="3" customFormat="1" x14ac:dyDescent="0.25">
      <c r="A764"/>
      <c r="B764"/>
      <c r="C764" s="1"/>
      <c r="D764" s="1"/>
      <c r="E764" s="1"/>
      <c r="F764" s="1"/>
      <c r="G764" s="1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</row>
    <row r="765" spans="1:31" s="3" customFormat="1" x14ac:dyDescent="0.25">
      <c r="A765"/>
      <c r="B765"/>
      <c r="C765" s="1"/>
      <c r="D765" s="1"/>
      <c r="E765" s="1"/>
      <c r="F765" s="1"/>
      <c r="G765" s="1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</row>
    <row r="766" spans="1:31" s="3" customFormat="1" x14ac:dyDescent="0.25">
      <c r="A766"/>
      <c r="B766"/>
      <c r="C766" s="1"/>
      <c r="D766" s="1"/>
      <c r="E766" s="1"/>
      <c r="F766" s="1"/>
      <c r="G766" s="1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</row>
    <row r="767" spans="1:31" s="3" customFormat="1" x14ac:dyDescent="0.25">
      <c r="A767"/>
      <c r="B767"/>
      <c r="C767" s="1"/>
      <c r="D767" s="1"/>
      <c r="E767" s="1"/>
      <c r="F767" s="1"/>
      <c r="G767" s="1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</row>
    <row r="768" spans="1:31" s="3" customFormat="1" x14ac:dyDescent="0.25">
      <c r="A768"/>
      <c r="B768"/>
      <c r="C768" s="1"/>
      <c r="D768" s="1"/>
      <c r="E768" s="1"/>
      <c r="F768" s="1"/>
      <c r="G768" s="1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</row>
    <row r="769" spans="1:31" s="3" customFormat="1" x14ac:dyDescent="0.25">
      <c r="A769"/>
      <c r="B769"/>
      <c r="C769" s="1"/>
      <c r="D769" s="1"/>
      <c r="E769" s="1"/>
      <c r="F769" s="1"/>
      <c r="G769" s="1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</row>
    <row r="770" spans="1:31" s="3" customFormat="1" x14ac:dyDescent="0.25">
      <c r="A770"/>
      <c r="B770"/>
      <c r="C770" s="1"/>
      <c r="D770" s="1"/>
      <c r="E770" s="1"/>
      <c r="F770" s="1"/>
      <c r="G770" s="1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</row>
    <row r="771" spans="1:31" s="3" customFormat="1" x14ac:dyDescent="0.25">
      <c r="A771"/>
      <c r="B771"/>
      <c r="C771" s="1"/>
      <c r="D771" s="1"/>
      <c r="E771" s="1"/>
      <c r="F771" s="1"/>
      <c r="G771" s="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</row>
    <row r="772" spans="1:31" s="3" customFormat="1" x14ac:dyDescent="0.25">
      <c r="A772"/>
      <c r="B772"/>
      <c r="C772" s="1"/>
      <c r="D772" s="1"/>
      <c r="E772" s="1"/>
      <c r="F772" s="1"/>
      <c r="G772" s="1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</row>
    <row r="773" spans="1:31" s="3" customFormat="1" x14ac:dyDescent="0.25">
      <c r="A773"/>
      <c r="B773"/>
      <c r="C773" s="1"/>
      <c r="D773" s="1"/>
      <c r="E773" s="1"/>
      <c r="F773" s="1"/>
      <c r="G773" s="1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</row>
    <row r="774" spans="1:31" s="3" customFormat="1" x14ac:dyDescent="0.25">
      <c r="A774"/>
      <c r="B774"/>
      <c r="C774" s="1"/>
      <c r="D774" s="1"/>
      <c r="E774" s="1"/>
      <c r="F774" s="1"/>
      <c r="G774" s="1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</row>
    <row r="775" spans="1:31" s="3" customFormat="1" x14ac:dyDescent="0.25">
      <c r="A775"/>
      <c r="B775"/>
      <c r="C775" s="1"/>
      <c r="D775" s="1"/>
      <c r="E775" s="1"/>
      <c r="F775" s="1"/>
      <c r="G775" s="1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</row>
    <row r="776" spans="1:31" s="3" customFormat="1" x14ac:dyDescent="0.25">
      <c r="A776"/>
      <c r="B776"/>
      <c r="C776" s="1"/>
      <c r="D776" s="1"/>
      <c r="E776" s="1"/>
      <c r="F776" s="1"/>
      <c r="G776" s="1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</row>
    <row r="777" spans="1:31" s="3" customFormat="1" x14ac:dyDescent="0.25">
      <c r="A777"/>
      <c r="B777"/>
      <c r="C777" s="1"/>
      <c r="D777" s="1"/>
      <c r="E777" s="1"/>
      <c r="F777" s="1"/>
      <c r="G777" s="1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</row>
    <row r="778" spans="1:31" s="3" customFormat="1" x14ac:dyDescent="0.25">
      <c r="A778"/>
      <c r="B778"/>
      <c r="C778" s="1"/>
      <c r="D778" s="1"/>
      <c r="E778" s="1"/>
      <c r="F778" s="1"/>
      <c r="G778" s="1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</row>
    <row r="779" spans="1:31" s="3" customFormat="1" x14ac:dyDescent="0.25">
      <c r="A779"/>
      <c r="B779"/>
      <c r="C779" s="1"/>
      <c r="D779" s="1"/>
      <c r="E779" s="1"/>
      <c r="F779" s="1"/>
      <c r="G779" s="1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</row>
    <row r="780" spans="1:31" s="3" customFormat="1" x14ac:dyDescent="0.25">
      <c r="A780"/>
      <c r="B780"/>
      <c r="C780" s="1"/>
      <c r="D780" s="1"/>
      <c r="E780" s="1"/>
      <c r="F780" s="1"/>
      <c r="G780" s="1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</row>
    <row r="781" spans="1:31" s="3" customFormat="1" x14ac:dyDescent="0.25">
      <c r="A781"/>
      <c r="B781"/>
      <c r="C781" s="1"/>
      <c r="D781" s="1"/>
      <c r="E781" s="1"/>
      <c r="F781" s="1"/>
      <c r="G781" s="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</row>
    <row r="782" spans="1:31" s="3" customFormat="1" x14ac:dyDescent="0.25">
      <c r="A782"/>
      <c r="B782"/>
      <c r="C782" s="1"/>
      <c r="D782" s="1"/>
      <c r="E782" s="1"/>
      <c r="F782" s="1"/>
      <c r="G782" s="1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</row>
    <row r="783" spans="1:31" s="3" customFormat="1" x14ac:dyDescent="0.25">
      <c r="A783"/>
      <c r="B783"/>
      <c r="C783" s="1"/>
      <c r="D783" s="1"/>
      <c r="E783" s="1"/>
      <c r="F783" s="1"/>
      <c r="G783" s="1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</row>
    <row r="784" spans="1:31" s="3" customFormat="1" x14ac:dyDescent="0.25">
      <c r="A784"/>
      <c r="B784"/>
      <c r="C784" s="1"/>
      <c r="D784" s="1"/>
      <c r="E784" s="1"/>
      <c r="F784" s="1"/>
      <c r="G784" s="1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</row>
    <row r="785" spans="1:31" s="3" customFormat="1" x14ac:dyDescent="0.25">
      <c r="A785"/>
      <c r="B785"/>
      <c r="C785" s="1"/>
      <c r="D785" s="1"/>
      <c r="E785" s="1"/>
      <c r="F785" s="1"/>
      <c r="G785" s="1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</row>
    <row r="786" spans="1:31" s="3" customFormat="1" x14ac:dyDescent="0.25">
      <c r="A786"/>
      <c r="B786"/>
      <c r="C786" s="1"/>
      <c r="D786" s="1"/>
      <c r="E786" s="1"/>
      <c r="F786" s="1"/>
      <c r="G786" s="1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</row>
    <row r="787" spans="1:31" s="3" customFormat="1" x14ac:dyDescent="0.25">
      <c r="A787"/>
      <c r="B787"/>
      <c r="C787" s="1"/>
      <c r="D787" s="1"/>
      <c r="E787" s="1"/>
      <c r="F787" s="1"/>
      <c r="G787" s="1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</row>
    <row r="788" spans="1:31" s="3" customFormat="1" x14ac:dyDescent="0.25">
      <c r="A788"/>
      <c r="B788"/>
      <c r="C788" s="1"/>
      <c r="D788" s="1"/>
      <c r="E788" s="1"/>
      <c r="F788" s="1"/>
      <c r="G788" s="1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</row>
    <row r="789" spans="1:31" s="3" customFormat="1" x14ac:dyDescent="0.25">
      <c r="A789"/>
      <c r="B789"/>
      <c r="C789" s="1"/>
      <c r="D789" s="1"/>
      <c r="E789" s="1"/>
      <c r="F789" s="1"/>
      <c r="G789" s="1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</row>
    <row r="790" spans="1:31" s="3" customFormat="1" x14ac:dyDescent="0.25">
      <c r="A790"/>
      <c r="B790"/>
      <c r="C790" s="1"/>
      <c r="D790" s="1"/>
      <c r="E790" s="1"/>
      <c r="F790" s="1"/>
      <c r="G790" s="1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</row>
    <row r="791" spans="1:31" s="3" customFormat="1" x14ac:dyDescent="0.25">
      <c r="A791"/>
      <c r="B791"/>
      <c r="C791" s="1"/>
      <c r="D791" s="1"/>
      <c r="E791" s="1"/>
      <c r="F791" s="1"/>
      <c r="G791" s="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</row>
    <row r="792" spans="1:31" s="3" customFormat="1" x14ac:dyDescent="0.25">
      <c r="A792"/>
      <c r="B792"/>
      <c r="C792" s="1"/>
      <c r="D792" s="1"/>
      <c r="E792" s="1"/>
      <c r="F792" s="1"/>
      <c r="G792" s="1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</row>
    <row r="793" spans="1:31" s="3" customFormat="1" x14ac:dyDescent="0.25">
      <c r="A793"/>
      <c r="B793"/>
      <c r="C793" s="1"/>
      <c r="D793" s="1"/>
      <c r="E793" s="1"/>
      <c r="F793" s="1"/>
      <c r="G793" s="1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</row>
    <row r="794" spans="1:31" s="3" customFormat="1" x14ac:dyDescent="0.25">
      <c r="A794"/>
      <c r="B794"/>
      <c r="C794" s="1"/>
      <c r="D794" s="1"/>
      <c r="E794" s="1"/>
      <c r="F794" s="1"/>
      <c r="G794" s="1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</row>
    <row r="795" spans="1:31" s="3" customFormat="1" x14ac:dyDescent="0.25">
      <c r="A795"/>
      <c r="B795"/>
      <c r="C795" s="1"/>
      <c r="D795" s="1"/>
      <c r="E795" s="1"/>
      <c r="F795" s="1"/>
      <c r="G795" s="1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</row>
    <row r="796" spans="1:31" s="3" customFormat="1" x14ac:dyDescent="0.25">
      <c r="A796"/>
      <c r="B796"/>
      <c r="C796" s="1"/>
      <c r="D796" s="1"/>
      <c r="E796" s="1"/>
      <c r="F796" s="1"/>
      <c r="G796" s="1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</row>
    <row r="797" spans="1:31" s="3" customFormat="1" x14ac:dyDescent="0.25">
      <c r="A797"/>
      <c r="B797"/>
      <c r="C797" s="1"/>
      <c r="D797" s="1"/>
      <c r="E797" s="1"/>
      <c r="F797" s="1"/>
      <c r="G797" s="1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</row>
    <row r="798" spans="1:31" s="3" customFormat="1" x14ac:dyDescent="0.25">
      <c r="A798"/>
      <c r="B798"/>
      <c r="C798" s="1"/>
      <c r="D798" s="1"/>
      <c r="E798" s="1"/>
      <c r="F798" s="1"/>
      <c r="G798" s="1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</row>
    <row r="799" spans="1:31" s="3" customFormat="1" x14ac:dyDescent="0.25">
      <c r="A799"/>
      <c r="B799"/>
      <c r="C799" s="1"/>
      <c r="D799" s="1"/>
      <c r="E799" s="1"/>
      <c r="F799" s="1"/>
      <c r="G799" s="1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</row>
    <row r="800" spans="1:31" s="3" customFormat="1" x14ac:dyDescent="0.25">
      <c r="A800"/>
      <c r="B800"/>
      <c r="C800" s="1"/>
      <c r="D800" s="1"/>
      <c r="E800" s="1"/>
      <c r="F800" s="1"/>
      <c r="G800" s="1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</row>
    <row r="801" spans="1:31" s="3" customFormat="1" x14ac:dyDescent="0.25">
      <c r="A801"/>
      <c r="B801"/>
      <c r="C801" s="1"/>
      <c r="D801" s="1"/>
      <c r="E801" s="1"/>
      <c r="F801" s="1"/>
      <c r="G801" s="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</row>
    <row r="802" spans="1:31" s="3" customFormat="1" x14ac:dyDescent="0.25">
      <c r="A802"/>
      <c r="B802"/>
      <c r="C802" s="1"/>
      <c r="D802" s="1"/>
      <c r="E802" s="1"/>
      <c r="F802" s="1"/>
      <c r="G802" s="1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</row>
    <row r="803" spans="1:31" s="3" customFormat="1" x14ac:dyDescent="0.25">
      <c r="A803"/>
      <c r="B803"/>
      <c r="C803" s="1"/>
      <c r="D803" s="1"/>
      <c r="E803" s="1"/>
      <c r="F803" s="1"/>
      <c r="G803" s="1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</row>
    <row r="804" spans="1:31" s="3" customFormat="1" x14ac:dyDescent="0.25">
      <c r="A804"/>
      <c r="B804"/>
      <c r="C804" s="1"/>
      <c r="D804" s="1"/>
      <c r="E804" s="1"/>
      <c r="F804" s="1"/>
      <c r="G804" s="1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</row>
    <row r="805" spans="1:31" s="3" customFormat="1" x14ac:dyDescent="0.25">
      <c r="A805"/>
      <c r="B805"/>
      <c r="C805" s="1"/>
      <c r="D805" s="1"/>
      <c r="E805" s="1"/>
      <c r="F805" s="1"/>
      <c r="G805" s="1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</row>
    <row r="806" spans="1:31" s="3" customFormat="1" x14ac:dyDescent="0.25">
      <c r="A806"/>
      <c r="B806"/>
      <c r="C806" s="1"/>
      <c r="D806" s="1"/>
      <c r="E806" s="1"/>
      <c r="F806" s="1"/>
      <c r="G806" s="1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</row>
    <row r="807" spans="1:31" s="3" customFormat="1" x14ac:dyDescent="0.25">
      <c r="A807"/>
      <c r="B807"/>
      <c r="C807" s="1"/>
      <c r="D807" s="1"/>
      <c r="E807" s="1"/>
      <c r="F807" s="1"/>
      <c r="G807" s="1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</row>
    <row r="808" spans="1:31" s="3" customFormat="1" x14ac:dyDescent="0.25">
      <c r="A808"/>
      <c r="B808"/>
      <c r="C808" s="1"/>
      <c r="D808" s="1"/>
      <c r="E808" s="1"/>
      <c r="F808" s="1"/>
      <c r="G808" s="1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</row>
    <row r="809" spans="1:31" s="3" customFormat="1" x14ac:dyDescent="0.25">
      <c r="A809"/>
      <c r="B809"/>
      <c r="C809" s="1"/>
      <c r="D809" s="1"/>
      <c r="E809" s="1"/>
      <c r="F809" s="1"/>
      <c r="G809" s="1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</row>
    <row r="810" spans="1:31" s="3" customFormat="1" x14ac:dyDescent="0.25">
      <c r="A810"/>
      <c r="B810"/>
      <c r="C810" s="1"/>
      <c r="D810" s="1"/>
      <c r="E810" s="1"/>
      <c r="F810" s="1"/>
      <c r="G810" s="1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</row>
    <row r="811" spans="1:31" s="3" customFormat="1" x14ac:dyDescent="0.25">
      <c r="A811"/>
      <c r="B811"/>
      <c r="C811" s="1"/>
      <c r="D811" s="1"/>
      <c r="E811" s="1"/>
      <c r="F811" s="1"/>
      <c r="G811" s="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</row>
    <row r="812" spans="1:31" s="3" customFormat="1" x14ac:dyDescent="0.25">
      <c r="A812"/>
      <c r="B812"/>
      <c r="C812" s="1"/>
      <c r="D812" s="1"/>
      <c r="E812" s="1"/>
      <c r="F812" s="1"/>
      <c r="G812" s="1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</row>
    <row r="813" spans="1:31" s="3" customFormat="1" x14ac:dyDescent="0.25">
      <c r="A813"/>
      <c r="B813"/>
      <c r="C813" s="1"/>
      <c r="D813" s="1"/>
      <c r="E813" s="1"/>
      <c r="F813" s="1"/>
      <c r="G813" s="1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</row>
    <row r="814" spans="1:31" s="3" customFormat="1" x14ac:dyDescent="0.25">
      <c r="A814"/>
      <c r="B814"/>
      <c r="C814" s="1"/>
      <c r="D814" s="1"/>
      <c r="E814" s="1"/>
      <c r="F814" s="1"/>
      <c r="G814" s="1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</row>
    <row r="815" spans="1:31" s="3" customFormat="1" x14ac:dyDescent="0.25">
      <c r="A815"/>
      <c r="B815"/>
      <c r="C815" s="1"/>
      <c r="D815" s="1"/>
      <c r="E815" s="1"/>
      <c r="F815" s="1"/>
      <c r="G815" s="1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</row>
    <row r="816" spans="1:31" s="3" customFormat="1" x14ac:dyDescent="0.25">
      <c r="A816"/>
      <c r="B816"/>
      <c r="C816" s="1"/>
      <c r="D816" s="1"/>
      <c r="E816" s="1"/>
      <c r="F816" s="1"/>
      <c r="G816" s="1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</row>
    <row r="817" spans="1:31" s="3" customFormat="1" x14ac:dyDescent="0.25">
      <c r="A817"/>
      <c r="B817"/>
      <c r="C817" s="1"/>
      <c r="D817" s="1"/>
      <c r="E817" s="1"/>
      <c r="F817" s="1"/>
      <c r="G817" s="1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</row>
    <row r="818" spans="1:31" s="3" customFormat="1" x14ac:dyDescent="0.25">
      <c r="A818"/>
      <c r="B818"/>
      <c r="C818" s="1"/>
      <c r="D818" s="1"/>
      <c r="E818" s="1"/>
      <c r="F818" s="1"/>
      <c r="G818" s="1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</row>
    <row r="819" spans="1:31" s="3" customFormat="1" x14ac:dyDescent="0.25">
      <c r="A819"/>
      <c r="B819"/>
      <c r="C819" s="1"/>
      <c r="D819" s="1"/>
      <c r="E819" s="1"/>
      <c r="F819" s="1"/>
      <c r="G819" s="1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</row>
    <row r="820" spans="1:31" s="3" customFormat="1" x14ac:dyDescent="0.25">
      <c r="A820"/>
      <c r="B820"/>
      <c r="C820" s="1"/>
      <c r="D820" s="1"/>
      <c r="E820" s="1"/>
      <c r="F820" s="1"/>
      <c r="G820" s="1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</row>
    <row r="821" spans="1:31" s="3" customFormat="1" x14ac:dyDescent="0.25">
      <c r="A821"/>
      <c r="B821"/>
      <c r="C821" s="1"/>
      <c r="D821" s="1"/>
      <c r="E821" s="1"/>
      <c r="F821" s="1"/>
      <c r="G821" s="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</row>
    <row r="822" spans="1:31" s="3" customFormat="1" x14ac:dyDescent="0.25">
      <c r="A822"/>
      <c r="B822"/>
      <c r="C822" s="1"/>
      <c r="D822" s="1"/>
      <c r="E822" s="1"/>
      <c r="F822" s="1"/>
      <c r="G822" s="1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</row>
    <row r="823" spans="1:31" s="3" customFormat="1" x14ac:dyDescent="0.25">
      <c r="A823"/>
      <c r="B823"/>
      <c r="C823" s="1"/>
      <c r="D823" s="1"/>
      <c r="E823" s="1"/>
      <c r="F823" s="1"/>
      <c r="G823" s="1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</row>
    <row r="824" spans="1:31" s="3" customFormat="1" x14ac:dyDescent="0.25">
      <c r="A824"/>
      <c r="B824"/>
      <c r="C824" s="1"/>
      <c r="D824" s="1"/>
      <c r="E824" s="1"/>
      <c r="F824" s="1"/>
      <c r="G824" s="1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</row>
    <row r="825" spans="1:31" s="3" customFormat="1" x14ac:dyDescent="0.25">
      <c r="A825"/>
      <c r="B825"/>
      <c r="C825" s="1"/>
      <c r="D825" s="1"/>
      <c r="E825" s="1"/>
      <c r="F825" s="1"/>
      <c r="G825" s="1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</row>
    <row r="826" spans="1:31" s="3" customFormat="1" x14ac:dyDescent="0.25">
      <c r="A826"/>
      <c r="B826"/>
      <c r="C826" s="1"/>
      <c r="D826" s="1"/>
      <c r="E826" s="1"/>
      <c r="F826" s="1"/>
      <c r="G826" s="1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</row>
    <row r="827" spans="1:31" s="3" customFormat="1" x14ac:dyDescent="0.25">
      <c r="A827"/>
      <c r="B827"/>
      <c r="C827" s="1"/>
      <c r="D827" s="1"/>
      <c r="E827" s="1"/>
      <c r="F827" s="1"/>
      <c r="G827" s="1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</row>
    <row r="828" spans="1:31" s="3" customFormat="1" x14ac:dyDescent="0.25">
      <c r="A828"/>
      <c r="B828"/>
      <c r="C828" s="1"/>
      <c r="D828" s="1"/>
      <c r="E828" s="1"/>
      <c r="F828" s="1"/>
      <c r="G828" s="1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</row>
    <row r="829" spans="1:31" s="3" customFormat="1" x14ac:dyDescent="0.25">
      <c r="A829"/>
      <c r="B829"/>
      <c r="C829" s="1"/>
      <c r="D829" s="1"/>
      <c r="E829" s="1"/>
      <c r="F829" s="1"/>
      <c r="G829" s="1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</row>
    <row r="830" spans="1:31" s="3" customFormat="1" x14ac:dyDescent="0.25">
      <c r="A830"/>
      <c r="B830"/>
      <c r="C830" s="1"/>
      <c r="D830" s="1"/>
      <c r="E830" s="1"/>
      <c r="F830" s="1"/>
      <c r="G830" s="1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</row>
    <row r="831" spans="1:31" s="3" customFormat="1" x14ac:dyDescent="0.25">
      <c r="A831"/>
      <c r="B831"/>
      <c r="C831" s="1"/>
      <c r="D831" s="1"/>
      <c r="E831" s="1"/>
      <c r="F831" s="1"/>
      <c r="G831" s="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</row>
    <row r="832" spans="1:31" s="3" customFormat="1" x14ac:dyDescent="0.25">
      <c r="A832"/>
      <c r="B832"/>
      <c r="C832" s="1"/>
      <c r="D832" s="1"/>
      <c r="E832" s="1"/>
      <c r="F832" s="1"/>
      <c r="G832" s="1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</row>
    <row r="833" spans="1:31" s="3" customFormat="1" x14ac:dyDescent="0.25">
      <c r="A833"/>
      <c r="B833"/>
      <c r="C833" s="1"/>
      <c r="D833" s="1"/>
      <c r="E833" s="1"/>
      <c r="F833" s="1"/>
      <c r="G833" s="1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</row>
    <row r="834" spans="1:31" s="3" customFormat="1" x14ac:dyDescent="0.25">
      <c r="A834"/>
      <c r="B834"/>
      <c r="C834" s="1"/>
      <c r="D834" s="1"/>
      <c r="E834" s="1"/>
      <c r="F834" s="1"/>
      <c r="G834" s="1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</row>
    <row r="835" spans="1:31" s="3" customFormat="1" x14ac:dyDescent="0.25">
      <c r="A835"/>
      <c r="B835"/>
      <c r="C835" s="1"/>
      <c r="D835" s="1"/>
      <c r="E835" s="1"/>
      <c r="F835" s="1"/>
      <c r="G835" s="1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</row>
    <row r="836" spans="1:31" s="3" customFormat="1" x14ac:dyDescent="0.25">
      <c r="A836"/>
      <c r="B836"/>
      <c r="C836" s="1"/>
      <c r="D836" s="1"/>
      <c r="E836" s="1"/>
      <c r="F836" s="1"/>
      <c r="G836" s="1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</row>
    <row r="837" spans="1:31" s="3" customFormat="1" x14ac:dyDescent="0.25">
      <c r="A837"/>
      <c r="B837"/>
      <c r="C837" s="1"/>
      <c r="D837" s="1"/>
      <c r="E837" s="1"/>
      <c r="F837" s="1"/>
      <c r="G837" s="1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</row>
    <row r="838" spans="1:31" s="3" customFormat="1" x14ac:dyDescent="0.25">
      <c r="A838"/>
      <c r="B838"/>
      <c r="C838" s="1"/>
      <c r="D838" s="1"/>
      <c r="E838" s="1"/>
      <c r="F838" s="1"/>
      <c r="G838" s="1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</row>
    <row r="839" spans="1:31" s="3" customFormat="1" x14ac:dyDescent="0.25">
      <c r="A839"/>
      <c r="B839"/>
      <c r="C839" s="1"/>
      <c r="D839" s="1"/>
      <c r="E839" s="1"/>
      <c r="F839" s="1"/>
      <c r="G839" s="1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</row>
    <row r="840" spans="1:31" s="3" customFormat="1" x14ac:dyDescent="0.25">
      <c r="A840"/>
      <c r="B840"/>
      <c r="C840" s="1"/>
      <c r="D840" s="1"/>
      <c r="E840" s="1"/>
      <c r="F840" s="1"/>
      <c r="G840" s="1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</row>
    <row r="841" spans="1:31" s="3" customFormat="1" x14ac:dyDescent="0.25">
      <c r="A841"/>
      <c r="B841"/>
      <c r="C841" s="1"/>
      <c r="D841" s="1"/>
      <c r="E841" s="1"/>
      <c r="F841" s="1"/>
      <c r="G841" s="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</row>
    <row r="842" spans="1:31" s="3" customFormat="1" x14ac:dyDescent="0.25">
      <c r="A842"/>
      <c r="B842"/>
      <c r="C842" s="1"/>
      <c r="D842" s="1"/>
      <c r="E842" s="1"/>
      <c r="F842" s="1"/>
      <c r="G842" s="1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</row>
    <row r="843" spans="1:31" s="3" customFormat="1" x14ac:dyDescent="0.25">
      <c r="A843"/>
      <c r="B843"/>
      <c r="C843" s="1"/>
      <c r="D843" s="1"/>
      <c r="E843" s="1"/>
      <c r="F843" s="1"/>
      <c r="G843" s="1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</row>
    <row r="844" spans="1:31" s="3" customFormat="1" x14ac:dyDescent="0.25">
      <c r="A844"/>
      <c r="B844"/>
      <c r="C844" s="1"/>
      <c r="D844" s="1"/>
      <c r="E844" s="1"/>
      <c r="F844" s="1"/>
      <c r="G844" s="1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</row>
    <row r="845" spans="1:31" s="3" customFormat="1" x14ac:dyDescent="0.25">
      <c r="A845"/>
      <c r="B845"/>
      <c r="C845" s="1"/>
      <c r="D845" s="1"/>
      <c r="E845" s="1"/>
      <c r="F845" s="1"/>
      <c r="G845" s="1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</row>
    <row r="846" spans="1:31" s="3" customFormat="1" x14ac:dyDescent="0.25">
      <c r="A846"/>
      <c r="B846"/>
      <c r="C846" s="1"/>
      <c r="D846" s="1"/>
      <c r="E846" s="1"/>
      <c r="F846" s="1"/>
      <c r="G846" s="1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</row>
    <row r="847" spans="1:31" s="3" customFormat="1" x14ac:dyDescent="0.25">
      <c r="A847"/>
      <c r="B847"/>
      <c r="C847" s="1"/>
      <c r="D847" s="1"/>
      <c r="E847" s="1"/>
      <c r="F847" s="1"/>
      <c r="G847" s="1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</row>
    <row r="848" spans="1:31" s="3" customFormat="1" x14ac:dyDescent="0.25">
      <c r="A848"/>
      <c r="B848"/>
      <c r="C848" s="1"/>
      <c r="D848" s="1"/>
      <c r="E848" s="1"/>
      <c r="F848" s="1"/>
      <c r="G848" s="1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</row>
    <row r="849" spans="1:33" s="3" customFormat="1" x14ac:dyDescent="0.25">
      <c r="A849"/>
      <c r="B849"/>
      <c r="C849" s="1"/>
      <c r="D849" s="1"/>
      <c r="E849" s="1"/>
      <c r="F849" s="1"/>
      <c r="G849" s="1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</row>
    <row r="850" spans="1:33" s="3" customFormat="1" x14ac:dyDescent="0.25">
      <c r="A850"/>
      <c r="B850"/>
      <c r="C850" s="1"/>
      <c r="D850" s="1"/>
      <c r="E850" s="1"/>
      <c r="F850" s="1"/>
      <c r="G850" s="1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</row>
    <row r="851" spans="1:33" s="3" customFormat="1" x14ac:dyDescent="0.25">
      <c r="A851"/>
      <c r="B851"/>
      <c r="C851" s="1"/>
      <c r="D851" s="1"/>
      <c r="E851" s="1"/>
      <c r="F851" s="1"/>
      <c r="G851" s="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</row>
    <row r="852" spans="1:33" s="3" customFormat="1" x14ac:dyDescent="0.25">
      <c r="A852"/>
      <c r="B852"/>
      <c r="C852" s="1"/>
      <c r="D852" s="1"/>
      <c r="E852" s="1"/>
      <c r="F852" s="1"/>
      <c r="G852" s="1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</row>
    <row r="853" spans="1:33" s="3" customFormat="1" x14ac:dyDescent="0.25">
      <c r="A853"/>
      <c r="B853"/>
      <c r="C853" s="1"/>
      <c r="D853" s="1"/>
      <c r="E853" s="1"/>
      <c r="F853" s="1"/>
      <c r="G853" s="1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 spans="1:33" s="3" customFormat="1" x14ac:dyDescent="0.25">
      <c r="A854"/>
      <c r="B854"/>
      <c r="C854" s="1"/>
      <c r="D854" s="1"/>
      <c r="E854" s="1"/>
      <c r="F854" s="1"/>
      <c r="G854" s="1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 spans="1:33" s="3" customFormat="1" x14ac:dyDescent="0.25">
      <c r="A855"/>
      <c r="B855"/>
      <c r="C855" s="1"/>
      <c r="D855" s="1"/>
      <c r="E855" s="1"/>
      <c r="F855" s="1"/>
      <c r="G855" s="1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 spans="1:33" s="3" customFormat="1" x14ac:dyDescent="0.25">
      <c r="A856"/>
      <c r="B856"/>
      <c r="C856" s="1"/>
      <c r="D856" s="1"/>
      <c r="E856" s="1"/>
      <c r="F856" s="1"/>
      <c r="G856" s="1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 spans="1:33" s="3" customFormat="1" x14ac:dyDescent="0.25">
      <c r="A857"/>
      <c r="B857"/>
      <c r="C857" s="1"/>
      <c r="D857" s="1"/>
      <c r="E857" s="1"/>
      <c r="F857" s="1"/>
      <c r="G857" s="1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 spans="1:33" s="3" customFormat="1" x14ac:dyDescent="0.25">
      <c r="A858"/>
      <c r="B858"/>
      <c r="C858" s="1"/>
      <c r="D858" s="1"/>
      <c r="E858" s="1"/>
      <c r="F858" s="1"/>
      <c r="G858" s="1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 spans="1:33" s="3" customFormat="1" x14ac:dyDescent="0.25">
      <c r="A859"/>
      <c r="B859"/>
      <c r="C859" s="1"/>
      <c r="D859" s="1"/>
      <c r="E859" s="1"/>
      <c r="F859" s="1"/>
      <c r="G859" s="1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 spans="1:33" s="3" customFormat="1" x14ac:dyDescent="0.25">
      <c r="A860"/>
      <c r="B860"/>
      <c r="C860" s="1"/>
      <c r="D860" s="1"/>
      <c r="E860" s="1"/>
      <c r="F860" s="1"/>
      <c r="G860" s="1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</row>
    <row r="861" spans="1:33" s="3" customFormat="1" x14ac:dyDescent="0.25">
      <c r="A861"/>
      <c r="B861"/>
      <c r="C861" s="1"/>
      <c r="D861" s="1"/>
      <c r="E861" s="1"/>
      <c r="F861" s="1"/>
      <c r="G861" s="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 spans="1:33" s="3" customFormat="1" x14ac:dyDescent="0.25">
      <c r="A862"/>
      <c r="B862"/>
      <c r="C862" s="1"/>
      <c r="D862" s="1"/>
      <c r="E862" s="1"/>
      <c r="F862" s="1"/>
      <c r="G862" s="1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 spans="1:33" s="3" customFormat="1" x14ac:dyDescent="0.25">
      <c r="A863"/>
      <c r="B863"/>
      <c r="C863" s="1"/>
      <c r="D863" s="1"/>
      <c r="E863" s="1"/>
      <c r="F863" s="1"/>
      <c r="G863" s="1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 spans="1:33" s="3" customFormat="1" x14ac:dyDescent="0.25">
      <c r="A864"/>
      <c r="B864"/>
      <c r="C864" s="1"/>
      <c r="D864" s="1"/>
      <c r="E864" s="1"/>
      <c r="F864" s="1"/>
      <c r="G864" s="1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 spans="1:33" s="3" customFormat="1" x14ac:dyDescent="0.25">
      <c r="A865"/>
      <c r="B865"/>
      <c r="C865" s="1"/>
      <c r="D865" s="1"/>
      <c r="E865" s="1"/>
      <c r="F865" s="1"/>
      <c r="G865" s="1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 spans="1:33" s="3" customFormat="1" x14ac:dyDescent="0.25">
      <c r="A866"/>
      <c r="B866"/>
      <c r="C866" s="1"/>
      <c r="D866" s="1"/>
      <c r="E866" s="1"/>
      <c r="F866" s="1"/>
      <c r="G866" s="1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 spans="1:33" s="3" customFormat="1" x14ac:dyDescent="0.25">
      <c r="A867"/>
      <c r="B867"/>
      <c r="C867" s="1"/>
      <c r="D867" s="1"/>
      <c r="E867" s="1"/>
      <c r="F867" s="1"/>
      <c r="G867" s="1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 spans="1:33" s="3" customFormat="1" x14ac:dyDescent="0.25">
      <c r="A868"/>
      <c r="B868"/>
      <c r="C868" s="1"/>
      <c r="D868" s="1"/>
      <c r="E868" s="1"/>
      <c r="F868" s="1"/>
      <c r="G868" s="1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 spans="1:33" s="3" customFormat="1" x14ac:dyDescent="0.25">
      <c r="A869"/>
      <c r="B869"/>
      <c r="C869" s="1"/>
      <c r="D869" s="1"/>
      <c r="E869" s="1"/>
      <c r="F869" s="1"/>
      <c r="G869" s="1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 spans="1:33" s="3" customFormat="1" x14ac:dyDescent="0.25">
      <c r="A870"/>
      <c r="B870"/>
      <c r="C870" s="1"/>
      <c r="D870" s="1"/>
      <c r="E870" s="1"/>
      <c r="F870" s="1"/>
      <c r="G870" s="1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 spans="1:33" s="3" customFormat="1" x14ac:dyDescent="0.25">
      <c r="A871"/>
      <c r="B871"/>
      <c r="C871" s="1"/>
      <c r="D871" s="1"/>
      <c r="E871" s="1"/>
      <c r="F871" s="1"/>
      <c r="G871" s="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 spans="1:33" s="3" customFormat="1" x14ac:dyDescent="0.25">
      <c r="A872"/>
      <c r="B872"/>
      <c r="C872" s="1"/>
      <c r="D872" s="1"/>
      <c r="E872" s="1"/>
      <c r="F872" s="1"/>
      <c r="G872" s="1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</row>
    <row r="873" spans="1:33" s="3" customFormat="1" x14ac:dyDescent="0.25">
      <c r="A873"/>
      <c r="B873"/>
      <c r="C873" s="1"/>
      <c r="D873" s="1"/>
      <c r="E873" s="1"/>
      <c r="F873" s="1"/>
      <c r="G873" s="1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 spans="1:33" s="3" customFormat="1" x14ac:dyDescent="0.25">
      <c r="A874"/>
      <c r="B874"/>
      <c r="C874" s="1"/>
      <c r="D874" s="1"/>
      <c r="E874" s="1"/>
      <c r="F874" s="1"/>
      <c r="G874" s="1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 spans="1:33" s="3" customFormat="1" x14ac:dyDescent="0.25">
      <c r="A875"/>
      <c r="B875"/>
      <c r="C875" s="1"/>
      <c r="D875" s="1"/>
      <c r="E875" s="1"/>
      <c r="F875" s="1"/>
      <c r="G875" s="1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 spans="1:33" s="3" customFormat="1" x14ac:dyDescent="0.25">
      <c r="A876"/>
      <c r="B876"/>
      <c r="C876" s="1"/>
      <c r="D876" s="1"/>
      <c r="E876" s="1"/>
      <c r="F876" s="1"/>
      <c r="G876" s="1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 spans="1:33" s="3" customFormat="1" x14ac:dyDescent="0.25">
      <c r="A877"/>
      <c r="B877"/>
      <c r="C877" s="1"/>
      <c r="D877" s="1"/>
      <c r="E877" s="1"/>
      <c r="F877" s="1"/>
      <c r="G877" s="1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 spans="1:33" s="3" customFormat="1" x14ac:dyDescent="0.25">
      <c r="A878"/>
      <c r="B878"/>
      <c r="C878" s="1"/>
      <c r="D878" s="1"/>
      <c r="E878" s="1"/>
      <c r="F878" s="1"/>
      <c r="G878" s="1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 spans="1:33" s="3" customFormat="1" x14ac:dyDescent="0.25">
      <c r="A879"/>
      <c r="B879"/>
      <c r="C879" s="1"/>
      <c r="D879" s="1"/>
      <c r="E879" s="1"/>
      <c r="F879" s="1"/>
      <c r="G879" s="1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 spans="1:33" s="3" customFormat="1" x14ac:dyDescent="0.25">
      <c r="A880"/>
      <c r="B880"/>
      <c r="C880" s="1"/>
      <c r="D880" s="1"/>
      <c r="E880" s="1"/>
      <c r="F880" s="1"/>
      <c r="G880" s="1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 spans="1:35" s="3" customFormat="1" x14ac:dyDescent="0.25">
      <c r="A881"/>
      <c r="B881"/>
      <c r="C881" s="1"/>
      <c r="D881" s="1"/>
      <c r="E881" s="1"/>
      <c r="F881" s="1"/>
      <c r="G881" s="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</row>
    <row r="882" spans="1:35" s="3" customFormat="1" x14ac:dyDescent="0.25">
      <c r="A882"/>
      <c r="B882"/>
      <c r="C882" s="1"/>
      <c r="D882" s="1"/>
      <c r="E882" s="1"/>
      <c r="F882" s="1"/>
      <c r="G882" s="1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 spans="1:35" s="3" customFormat="1" x14ac:dyDescent="0.25">
      <c r="A883"/>
      <c r="B883"/>
      <c r="C883" s="1"/>
      <c r="D883" s="1"/>
      <c r="E883" s="1"/>
      <c r="F883" s="1"/>
      <c r="G883" s="1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 spans="1:35" s="3" customFormat="1" x14ac:dyDescent="0.25">
      <c r="A884"/>
      <c r="B884"/>
      <c r="C884" s="1"/>
      <c r="D884" s="1"/>
      <c r="E884" s="1"/>
      <c r="F884" s="1"/>
      <c r="G884" s="1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 spans="1:35" s="3" customFormat="1" x14ac:dyDescent="0.25">
      <c r="A885"/>
      <c r="B885"/>
      <c r="C885" s="1"/>
      <c r="D885" s="1"/>
      <c r="E885" s="1"/>
      <c r="F885" s="1"/>
      <c r="G885" s="1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 spans="1:35" s="3" customFormat="1" x14ac:dyDescent="0.25">
      <c r="A886"/>
      <c r="B886"/>
      <c r="C886" s="1"/>
      <c r="D886" s="1"/>
      <c r="E886" s="1"/>
      <c r="F886" s="1"/>
      <c r="G886" s="1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 spans="1:35" s="3" customFormat="1" x14ac:dyDescent="0.25">
      <c r="A887"/>
      <c r="B887"/>
      <c r="C887" s="1"/>
      <c r="D887" s="1"/>
      <c r="E887" s="1"/>
      <c r="F887" s="1"/>
      <c r="G887" s="1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 spans="1:35" s="3" customFormat="1" x14ac:dyDescent="0.25">
      <c r="A888"/>
      <c r="B888"/>
      <c r="C888" s="1"/>
      <c r="D888" s="1"/>
      <c r="E888" s="1"/>
      <c r="F888" s="1"/>
      <c r="G888" s="1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 spans="1:35" s="3" customFormat="1" x14ac:dyDescent="0.25">
      <c r="A889"/>
      <c r="B889"/>
      <c r="C889" s="1"/>
      <c r="D889" s="1"/>
      <c r="E889" s="1"/>
      <c r="F889" s="1"/>
      <c r="G889" s="1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</row>
    <row r="890" spans="1:35" s="3" customFormat="1" x14ac:dyDescent="0.25">
      <c r="A890"/>
      <c r="B890"/>
      <c r="C890" s="1"/>
      <c r="D890" s="1"/>
      <c r="E890" s="1"/>
      <c r="F890" s="1"/>
      <c r="G890" s="1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</row>
    <row r="891" spans="1:35" s="3" customFormat="1" x14ac:dyDescent="0.25">
      <c r="A891"/>
      <c r="B891"/>
      <c r="C891" s="1"/>
      <c r="D891" s="1"/>
      <c r="E891" s="1"/>
      <c r="F891" s="1"/>
      <c r="G891" s="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</row>
    <row r="892" spans="1:35" s="3" customFormat="1" x14ac:dyDescent="0.25">
      <c r="A892"/>
      <c r="B892"/>
      <c r="C892" s="1"/>
      <c r="D892" s="1"/>
      <c r="E892" s="1"/>
      <c r="F892" s="1"/>
      <c r="G892" s="1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</row>
    <row r="893" spans="1:35" s="3" customFormat="1" x14ac:dyDescent="0.25">
      <c r="A893"/>
      <c r="B893"/>
      <c r="C893" s="1"/>
      <c r="D893" s="1"/>
      <c r="E893" s="1"/>
      <c r="F893" s="1"/>
      <c r="G893" s="1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</row>
    <row r="894" spans="1:35" s="3" customFormat="1" x14ac:dyDescent="0.25">
      <c r="A894"/>
      <c r="B894"/>
      <c r="C894" s="1"/>
      <c r="D894" s="1"/>
      <c r="E894" s="1"/>
      <c r="F894" s="1"/>
      <c r="G894" s="1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</row>
    <row r="895" spans="1:35" s="3" customFormat="1" x14ac:dyDescent="0.25">
      <c r="A895"/>
      <c r="B895"/>
      <c r="C895" s="1"/>
      <c r="D895" s="1"/>
      <c r="E895" s="1"/>
      <c r="F895" s="1"/>
      <c r="G895" s="1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</row>
    <row r="896" spans="1:35" s="3" customFormat="1" x14ac:dyDescent="0.25">
      <c r="A896"/>
      <c r="B896"/>
      <c r="C896" s="1"/>
      <c r="D896" s="1"/>
      <c r="E896" s="1"/>
      <c r="F896" s="1"/>
      <c r="G896" s="1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</row>
    <row r="897" spans="1:35" s="3" customFormat="1" x14ac:dyDescent="0.25">
      <c r="A897"/>
      <c r="B897"/>
      <c r="C897" s="1"/>
      <c r="D897" s="1"/>
      <c r="E897" s="1"/>
      <c r="F897" s="1"/>
      <c r="G897" s="1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</row>
    <row r="898" spans="1:35" s="3" customFormat="1" x14ac:dyDescent="0.25">
      <c r="A898"/>
      <c r="B898"/>
      <c r="C898" s="1"/>
      <c r="D898" s="1"/>
      <c r="E898" s="1"/>
      <c r="F898" s="1"/>
      <c r="G898" s="1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</row>
    <row r="899" spans="1:35" s="3" customFormat="1" x14ac:dyDescent="0.25">
      <c r="A899"/>
      <c r="B899"/>
      <c r="C899" s="1"/>
      <c r="D899" s="1"/>
      <c r="E899" s="1"/>
      <c r="F899" s="1"/>
      <c r="G899" s="1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</row>
    <row r="900" spans="1:35" s="3" customFormat="1" x14ac:dyDescent="0.25">
      <c r="A900"/>
      <c r="B900"/>
      <c r="C900" s="1"/>
      <c r="D900" s="1"/>
      <c r="E900" s="1"/>
      <c r="F900" s="1"/>
      <c r="G900" s="1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</row>
    <row r="901" spans="1:35" s="3" customFormat="1" x14ac:dyDescent="0.25">
      <c r="A901"/>
      <c r="B901"/>
      <c r="C901" s="1"/>
      <c r="D901" s="1"/>
      <c r="E901" s="1"/>
      <c r="F901" s="1"/>
      <c r="G901" s="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</row>
    <row r="902" spans="1:35" s="3" customFormat="1" x14ac:dyDescent="0.25">
      <c r="A902"/>
      <c r="B902"/>
      <c r="C902" s="1"/>
      <c r="D902" s="1"/>
      <c r="E902" s="1"/>
      <c r="F902" s="1"/>
      <c r="G902" s="1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</row>
    <row r="903" spans="1:35" s="3" customFormat="1" x14ac:dyDescent="0.25">
      <c r="A903"/>
      <c r="B903"/>
      <c r="C903" s="1"/>
      <c r="D903" s="1"/>
      <c r="E903" s="1"/>
      <c r="F903" s="1"/>
      <c r="G903" s="1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</row>
    <row r="904" spans="1:35" s="3" customFormat="1" x14ac:dyDescent="0.25">
      <c r="A904"/>
      <c r="B904"/>
      <c r="C904" s="1"/>
      <c r="D904" s="1"/>
      <c r="E904" s="1"/>
      <c r="F904" s="1"/>
      <c r="G904" s="1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</row>
    <row r="905" spans="1:35" s="3" customFormat="1" x14ac:dyDescent="0.25">
      <c r="A905"/>
      <c r="B905"/>
      <c r="C905" s="1"/>
      <c r="D905" s="1"/>
      <c r="E905" s="1"/>
      <c r="F905" s="1"/>
      <c r="G905" s="1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</row>
    <row r="906" spans="1:35" s="3" customFormat="1" x14ac:dyDescent="0.25">
      <c r="A906"/>
      <c r="B906"/>
      <c r="C906" s="1"/>
      <c r="D906" s="1"/>
      <c r="E906" s="1"/>
      <c r="F906" s="1"/>
      <c r="G906" s="1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</row>
    <row r="907" spans="1:35" s="3" customFormat="1" x14ac:dyDescent="0.25">
      <c r="A907"/>
      <c r="B907"/>
      <c r="C907" s="1"/>
      <c r="D907" s="1"/>
      <c r="E907" s="1"/>
      <c r="F907" s="1"/>
      <c r="G907" s="1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</row>
    <row r="908" spans="1:35" s="3" customFormat="1" x14ac:dyDescent="0.25">
      <c r="A908"/>
      <c r="B908"/>
      <c r="C908" s="1"/>
      <c r="D908" s="1"/>
      <c r="E908" s="1"/>
      <c r="F908" s="1"/>
      <c r="G908" s="1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</row>
    <row r="909" spans="1:35" s="3" customFormat="1" x14ac:dyDescent="0.25">
      <c r="A909"/>
      <c r="B909"/>
      <c r="C909" s="1"/>
      <c r="D909" s="1"/>
      <c r="E909" s="1"/>
      <c r="F909" s="1"/>
      <c r="G909" s="1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</row>
    <row r="910" spans="1:35" s="3" customFormat="1" x14ac:dyDescent="0.25">
      <c r="A910"/>
      <c r="B910"/>
      <c r="C910" s="1"/>
      <c r="D910" s="1"/>
      <c r="E910" s="1"/>
      <c r="F910" s="1"/>
      <c r="G910" s="1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</row>
    <row r="911" spans="1:35" s="3" customFormat="1" x14ac:dyDescent="0.25">
      <c r="A911"/>
      <c r="B911"/>
      <c r="C911" s="1"/>
      <c r="D911" s="1"/>
      <c r="E911" s="1"/>
      <c r="F911" s="1"/>
      <c r="G911" s="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</row>
    <row r="912" spans="1:35" s="3" customFormat="1" x14ac:dyDescent="0.25">
      <c r="A912"/>
      <c r="B912"/>
      <c r="C912" s="1"/>
      <c r="D912" s="1"/>
      <c r="E912" s="1"/>
      <c r="F912" s="1"/>
      <c r="G912" s="1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</row>
    <row r="913" spans="1:37" s="3" customFormat="1" x14ac:dyDescent="0.25">
      <c r="A913"/>
      <c r="B913"/>
      <c r="C913" s="1"/>
      <c r="D913" s="1"/>
      <c r="E913" s="1"/>
      <c r="F913" s="1"/>
      <c r="G913" s="1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</row>
    <row r="914" spans="1:37" s="3" customFormat="1" x14ac:dyDescent="0.25">
      <c r="A914"/>
      <c r="B914"/>
      <c r="C914" s="1"/>
      <c r="D914" s="1"/>
      <c r="E914" s="1"/>
      <c r="F914" s="1"/>
      <c r="G914" s="1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</row>
    <row r="915" spans="1:37" s="3" customFormat="1" x14ac:dyDescent="0.25">
      <c r="A915"/>
      <c r="B915"/>
      <c r="C915" s="1"/>
      <c r="D915" s="1"/>
      <c r="E915" s="1"/>
      <c r="F915" s="1"/>
      <c r="G915" s="1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</row>
    <row r="916" spans="1:37" s="3" customFormat="1" x14ac:dyDescent="0.25">
      <c r="A916"/>
      <c r="B916"/>
      <c r="C916" s="1"/>
      <c r="D916" s="1"/>
      <c r="E916" s="1"/>
      <c r="F916" s="1"/>
      <c r="G916" s="1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</row>
    <row r="917" spans="1:37" s="3" customFormat="1" x14ac:dyDescent="0.25">
      <c r="A917"/>
      <c r="B917"/>
      <c r="C917" s="1"/>
      <c r="D917" s="1"/>
      <c r="E917" s="1"/>
      <c r="F917" s="1"/>
      <c r="G917" s="1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 spans="1:37" s="3" customFormat="1" x14ac:dyDescent="0.25">
      <c r="A918"/>
      <c r="B918"/>
      <c r="C918" s="1"/>
      <c r="D918" s="1"/>
      <c r="E918" s="1"/>
      <c r="F918" s="1"/>
      <c r="G918" s="1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 spans="1:37" s="3" customFormat="1" x14ac:dyDescent="0.25">
      <c r="A919"/>
      <c r="B919"/>
      <c r="C919" s="1"/>
      <c r="D919" s="1"/>
      <c r="E919" s="1"/>
      <c r="F919" s="1"/>
      <c r="G919" s="1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 spans="1:37" s="3" customFormat="1" x14ac:dyDescent="0.25">
      <c r="A920"/>
      <c r="B920"/>
      <c r="C920" s="1"/>
      <c r="D920" s="1"/>
      <c r="E920" s="1"/>
      <c r="F920" s="1"/>
      <c r="G920" s="1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 spans="1:37" s="3" customFormat="1" x14ac:dyDescent="0.25">
      <c r="A921"/>
      <c r="B921"/>
      <c r="C921" s="1"/>
      <c r="D921" s="1"/>
      <c r="E921" s="1"/>
      <c r="F921" s="1"/>
      <c r="G921" s="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 spans="1:37" s="3" customFormat="1" x14ac:dyDescent="0.25">
      <c r="A922"/>
      <c r="B922"/>
      <c r="C922" s="1"/>
      <c r="D922" s="1"/>
      <c r="E922" s="1"/>
      <c r="F922" s="1"/>
      <c r="G922" s="1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 spans="1:37" s="3" customFormat="1" x14ac:dyDescent="0.25">
      <c r="A923"/>
      <c r="B923"/>
      <c r="C923" s="1"/>
      <c r="D923" s="1"/>
      <c r="E923" s="1"/>
      <c r="F923" s="1"/>
      <c r="G923" s="1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 spans="1:37" s="3" customFormat="1" x14ac:dyDescent="0.25">
      <c r="A924"/>
      <c r="B924"/>
      <c r="C924" s="1"/>
      <c r="D924" s="1"/>
      <c r="E924" s="1"/>
      <c r="F924" s="1"/>
      <c r="G924" s="1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 spans="1:37" s="3" customFormat="1" x14ac:dyDescent="0.25">
      <c r="A925"/>
      <c r="B925"/>
      <c r="C925" s="1"/>
      <c r="D925" s="1"/>
      <c r="E925" s="1"/>
      <c r="F925" s="1"/>
      <c r="G925" s="1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 spans="1:37" s="3" customFormat="1" x14ac:dyDescent="0.25">
      <c r="A926"/>
      <c r="B926"/>
      <c r="C926" s="1"/>
      <c r="D926" s="1"/>
      <c r="E926" s="1"/>
      <c r="F926" s="1"/>
      <c r="G926" s="1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 spans="1:37" s="3" customFormat="1" x14ac:dyDescent="0.25">
      <c r="A927"/>
      <c r="B927"/>
      <c r="C927" s="1"/>
      <c r="D927" s="1"/>
      <c r="E927" s="1"/>
      <c r="F927" s="1"/>
      <c r="G927" s="1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 spans="1:37" s="3" customFormat="1" x14ac:dyDescent="0.25">
      <c r="A928"/>
      <c r="B928"/>
      <c r="C928" s="1"/>
      <c r="D928" s="1"/>
      <c r="E928" s="1"/>
      <c r="F928" s="1"/>
      <c r="G928" s="1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</row>
    <row r="929" spans="1:37" s="3" customFormat="1" x14ac:dyDescent="0.25">
      <c r="A929"/>
      <c r="B929"/>
      <c r="C929" s="1"/>
      <c r="D929" s="1"/>
      <c r="E929" s="1"/>
      <c r="F929" s="1"/>
      <c r="G929" s="1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 spans="1:37" s="3" customFormat="1" x14ac:dyDescent="0.25">
      <c r="A930"/>
      <c r="B930"/>
      <c r="C930" s="1"/>
      <c r="D930" s="1"/>
      <c r="E930" s="1"/>
      <c r="F930" s="1"/>
      <c r="G930" s="1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 spans="1:37" s="3" customFormat="1" x14ac:dyDescent="0.25">
      <c r="A931"/>
      <c r="B931"/>
      <c r="C931" s="1"/>
      <c r="D931" s="1"/>
      <c r="E931" s="1"/>
      <c r="F931" s="1"/>
      <c r="G931" s="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 spans="1:37" s="3" customFormat="1" x14ac:dyDescent="0.25">
      <c r="A932"/>
      <c r="B932"/>
      <c r="C932" s="1"/>
      <c r="D932" s="1"/>
      <c r="E932" s="1"/>
      <c r="F932" s="1"/>
      <c r="G932" s="1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 spans="1:37" s="3" customFormat="1" x14ac:dyDescent="0.25">
      <c r="A933"/>
      <c r="B933"/>
      <c r="C933" s="1"/>
      <c r="D933" s="1"/>
      <c r="E933" s="1"/>
      <c r="F933" s="1"/>
      <c r="G933" s="1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 spans="1:37" s="3" customFormat="1" x14ac:dyDescent="0.25">
      <c r="A934"/>
      <c r="B934"/>
      <c r="C934" s="1"/>
      <c r="D934" s="1"/>
      <c r="E934" s="1"/>
      <c r="F934" s="1"/>
      <c r="G934" s="1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 spans="1:37" s="3" customFormat="1" x14ac:dyDescent="0.25">
      <c r="A935"/>
      <c r="B935"/>
      <c r="C935" s="1"/>
      <c r="D935" s="1"/>
      <c r="E935" s="1"/>
      <c r="F935" s="1"/>
      <c r="G935" s="1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 spans="1:37" s="3" customFormat="1" x14ac:dyDescent="0.25">
      <c r="A936"/>
      <c r="B936"/>
      <c r="C936" s="1"/>
      <c r="D936" s="1"/>
      <c r="E936" s="1"/>
      <c r="F936" s="1"/>
      <c r="G936" s="1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 spans="1:37" s="3" customFormat="1" x14ac:dyDescent="0.25">
      <c r="A937"/>
      <c r="B937"/>
      <c r="C937" s="1"/>
      <c r="D937" s="1"/>
      <c r="E937" s="1"/>
      <c r="F937" s="1"/>
      <c r="G937" s="1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 spans="1:37" s="3" customFormat="1" x14ac:dyDescent="0.25">
      <c r="A938"/>
      <c r="B938"/>
      <c r="C938" s="1"/>
      <c r="D938" s="1"/>
      <c r="E938" s="1"/>
      <c r="F938" s="1"/>
      <c r="G938" s="1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 spans="1:37" s="3" customFormat="1" x14ac:dyDescent="0.25">
      <c r="A939"/>
      <c r="B939"/>
      <c r="C939" s="1"/>
      <c r="D939" s="1"/>
      <c r="E939" s="1"/>
      <c r="F939" s="1"/>
      <c r="G939" s="1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 spans="1:37" s="3" customFormat="1" x14ac:dyDescent="0.25">
      <c r="A940"/>
      <c r="B940"/>
      <c r="C940" s="1"/>
      <c r="D940" s="1"/>
      <c r="E940" s="1"/>
      <c r="F940" s="1"/>
      <c r="G940" s="1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 spans="1:37" s="3" customFormat="1" x14ac:dyDescent="0.25">
      <c r="A941"/>
      <c r="B941"/>
      <c r="C941" s="1"/>
      <c r="D941" s="1"/>
      <c r="E941" s="1"/>
      <c r="F941" s="1"/>
      <c r="G941" s="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 spans="1:37" s="3" customFormat="1" x14ac:dyDescent="0.25">
      <c r="A942"/>
      <c r="B942"/>
      <c r="C942" s="1"/>
      <c r="D942" s="1"/>
      <c r="E942" s="1"/>
      <c r="F942" s="1"/>
      <c r="G942" s="1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 spans="1:37" s="3" customFormat="1" x14ac:dyDescent="0.25">
      <c r="A943"/>
      <c r="B943"/>
      <c r="C943" s="1"/>
      <c r="D943" s="1"/>
      <c r="E943" s="1"/>
      <c r="F943" s="1"/>
      <c r="G943" s="1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 spans="1:37" s="3" customFormat="1" x14ac:dyDescent="0.25">
      <c r="A944"/>
      <c r="B944"/>
      <c r="C944" s="1"/>
      <c r="D944" s="1"/>
      <c r="E944" s="1"/>
      <c r="F944" s="1"/>
      <c r="G944" s="1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 spans="1:37" s="3" customFormat="1" x14ac:dyDescent="0.25">
      <c r="A945"/>
      <c r="B945"/>
      <c r="C945" s="1"/>
      <c r="D945" s="1"/>
      <c r="E945" s="1"/>
      <c r="F945" s="1"/>
      <c r="G945" s="1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 spans="1:37" s="3" customFormat="1" x14ac:dyDescent="0.25">
      <c r="A946"/>
      <c r="B946"/>
      <c r="C946" s="1"/>
      <c r="D946" s="1"/>
      <c r="E946" s="1"/>
      <c r="F946" s="1"/>
      <c r="G946" s="1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 spans="1:37" s="3" customFormat="1" x14ac:dyDescent="0.25">
      <c r="A947"/>
      <c r="B947"/>
      <c r="C947" s="1"/>
      <c r="D947" s="1"/>
      <c r="E947" s="1"/>
      <c r="F947" s="1"/>
      <c r="G947" s="1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 spans="1:37" s="3" customFormat="1" x14ac:dyDescent="0.25">
      <c r="A948"/>
      <c r="B948"/>
      <c r="C948" s="1"/>
      <c r="D948" s="1"/>
      <c r="E948" s="1"/>
      <c r="F948" s="1"/>
      <c r="G948" s="1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 spans="1:37" s="3" customFormat="1" x14ac:dyDescent="0.25">
      <c r="A949"/>
      <c r="B949"/>
      <c r="C949" s="1"/>
      <c r="D949" s="1"/>
      <c r="E949" s="1"/>
      <c r="F949" s="1"/>
      <c r="G949" s="1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 spans="1:37" s="3" customFormat="1" x14ac:dyDescent="0.25">
      <c r="A950"/>
      <c r="B950"/>
      <c r="C950" s="1"/>
      <c r="D950" s="1"/>
      <c r="E950" s="1"/>
      <c r="F950" s="1"/>
      <c r="G950" s="1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 spans="1:37" s="3" customFormat="1" x14ac:dyDescent="0.25">
      <c r="A951"/>
      <c r="B951"/>
      <c r="C951" s="1"/>
      <c r="D951" s="1"/>
      <c r="E951" s="1"/>
      <c r="F951" s="1"/>
      <c r="G951" s="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 spans="1:37" s="3" customFormat="1" x14ac:dyDescent="0.25">
      <c r="A952"/>
      <c r="B952"/>
      <c r="C952" s="1"/>
      <c r="D952" s="1"/>
      <c r="E952" s="1"/>
      <c r="F952" s="1"/>
      <c r="G952" s="1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 spans="1:37" s="3" customFormat="1" x14ac:dyDescent="0.25">
      <c r="A953"/>
      <c r="B953"/>
      <c r="C953" s="1"/>
      <c r="D953" s="1"/>
      <c r="E953" s="1"/>
      <c r="F953" s="1"/>
      <c r="G953" s="1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 spans="1:37" s="3" customFormat="1" x14ac:dyDescent="0.25">
      <c r="A954"/>
      <c r="B954"/>
      <c r="C954" s="1"/>
      <c r="D954" s="1"/>
      <c r="E954" s="1"/>
      <c r="F954" s="1"/>
      <c r="G954" s="1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 spans="1:37" s="3" customFormat="1" x14ac:dyDescent="0.25">
      <c r="A955"/>
      <c r="B955"/>
      <c r="C955" s="1"/>
      <c r="D955" s="1"/>
      <c r="E955" s="1"/>
      <c r="F955" s="1"/>
      <c r="G955" s="1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 spans="1:37" s="3" customFormat="1" x14ac:dyDescent="0.25">
      <c r="A956"/>
      <c r="B956"/>
      <c r="C956" s="1"/>
      <c r="D956" s="1"/>
      <c r="E956" s="1"/>
      <c r="F956" s="1"/>
      <c r="G956" s="1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 spans="1:37" s="3" customFormat="1" x14ac:dyDescent="0.25">
      <c r="A957"/>
      <c r="B957"/>
      <c r="C957" s="1"/>
      <c r="D957" s="1"/>
      <c r="E957" s="1"/>
      <c r="F957" s="1"/>
      <c r="G957" s="1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 spans="1:37" s="3" customFormat="1" x14ac:dyDescent="0.25">
      <c r="A958"/>
      <c r="B958"/>
      <c r="C958" s="1"/>
      <c r="D958" s="1"/>
      <c r="E958" s="1"/>
      <c r="F958" s="1"/>
      <c r="G958" s="1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 spans="1:37" s="3" customFormat="1" x14ac:dyDescent="0.25">
      <c r="A959"/>
      <c r="B959"/>
      <c r="C959" s="1"/>
      <c r="D959" s="1"/>
      <c r="E959" s="1"/>
      <c r="F959" s="1"/>
      <c r="G959" s="1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 spans="1:37" s="3" customFormat="1" x14ac:dyDescent="0.25">
      <c r="A960"/>
      <c r="B960"/>
      <c r="C960" s="1"/>
      <c r="D960" s="1"/>
      <c r="E960" s="1"/>
      <c r="F960" s="1"/>
      <c r="G960" s="1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 spans="1:37" s="3" customFormat="1" x14ac:dyDescent="0.25">
      <c r="A961"/>
      <c r="B961"/>
      <c r="C961" s="1"/>
      <c r="D961" s="1"/>
      <c r="E961" s="1"/>
      <c r="F961" s="1"/>
      <c r="G961" s="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 spans="1:37" s="3" customFormat="1" x14ac:dyDescent="0.25">
      <c r="A962"/>
      <c r="B962"/>
      <c r="C962" s="1"/>
      <c r="D962" s="1"/>
      <c r="E962" s="1"/>
      <c r="F962" s="1"/>
      <c r="G962" s="1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 spans="1:37" s="3" customFormat="1" x14ac:dyDescent="0.25">
      <c r="A963"/>
      <c r="B963"/>
      <c r="C963" s="1"/>
      <c r="D963" s="1"/>
      <c r="E963" s="1"/>
      <c r="F963" s="1"/>
      <c r="G963" s="1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 spans="1:37" s="3" customFormat="1" x14ac:dyDescent="0.25">
      <c r="A964"/>
      <c r="B964"/>
      <c r="C964" s="1"/>
      <c r="D964" s="1"/>
      <c r="E964" s="1"/>
      <c r="F964" s="1"/>
      <c r="G964" s="1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 s="2"/>
      <c r="AF964"/>
      <c r="AG964"/>
      <c r="AH964"/>
      <c r="AI964"/>
      <c r="AJ964"/>
      <c r="AK964"/>
    </row>
    <row r="965" spans="1:37" s="3" customFormat="1" x14ac:dyDescent="0.25">
      <c r="A965"/>
      <c r="B965"/>
      <c r="C965" s="1"/>
      <c r="D965" s="1"/>
      <c r="E965" s="1"/>
      <c r="F965" s="1"/>
      <c r="G965" s="1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 spans="1:37" s="3" customFormat="1" x14ac:dyDescent="0.25">
      <c r="A966"/>
      <c r="B966"/>
      <c r="C966" s="1"/>
      <c r="D966" s="1"/>
      <c r="E966" s="1"/>
      <c r="F966" s="1"/>
      <c r="G966" s="1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 spans="1:37" s="3" customFormat="1" x14ac:dyDescent="0.25">
      <c r="A967"/>
      <c r="B967"/>
      <c r="C967" s="1"/>
      <c r="D967" s="1"/>
      <c r="E967" s="1"/>
      <c r="F967" s="1"/>
      <c r="G967" s="1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 spans="1:37" s="3" customFormat="1" x14ac:dyDescent="0.25">
      <c r="A968"/>
      <c r="B968"/>
      <c r="C968" s="1"/>
      <c r="D968" s="1"/>
      <c r="E968" s="1"/>
      <c r="F968" s="1"/>
      <c r="G968" s="1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 spans="1:37" s="3" customFormat="1" x14ac:dyDescent="0.25">
      <c r="A969"/>
      <c r="B969"/>
      <c r="C969" s="1"/>
      <c r="D969" s="1"/>
      <c r="E969" s="1"/>
      <c r="F969" s="1"/>
      <c r="G969" s="1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 spans="1:37" s="3" customFormat="1" x14ac:dyDescent="0.25">
      <c r="A970"/>
      <c r="B970"/>
      <c r="C970" s="1"/>
      <c r="D970" s="1"/>
      <c r="E970" s="1"/>
      <c r="F970" s="1"/>
      <c r="G970" s="1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 spans="1:37" s="3" customFormat="1" x14ac:dyDescent="0.25">
      <c r="A971"/>
      <c r="B971"/>
      <c r="C971" s="1"/>
      <c r="D971" s="1"/>
      <c r="E971" s="1"/>
      <c r="F971" s="1"/>
      <c r="G971" s="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 spans="1:37" s="3" customFormat="1" x14ac:dyDescent="0.25">
      <c r="A972"/>
      <c r="B972"/>
      <c r="C972" s="1"/>
      <c r="D972" s="1"/>
      <c r="E972" s="1"/>
      <c r="F972" s="1"/>
      <c r="G972" s="1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 spans="1:37" s="3" customFormat="1" x14ac:dyDescent="0.25">
      <c r="A973"/>
      <c r="B973"/>
      <c r="C973" s="1"/>
      <c r="D973" s="1"/>
      <c r="E973" s="1"/>
      <c r="F973" s="1"/>
      <c r="G973" s="1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 spans="1:37" s="3" customFormat="1" x14ac:dyDescent="0.25">
      <c r="A974"/>
      <c r="B974"/>
      <c r="C974" s="1"/>
      <c r="D974" s="1"/>
      <c r="E974" s="1"/>
      <c r="F974" s="1"/>
      <c r="G974" s="1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 spans="1:37" s="3" customFormat="1" x14ac:dyDescent="0.25">
      <c r="A975"/>
      <c r="B975"/>
      <c r="C975" s="1"/>
      <c r="D975" s="1"/>
      <c r="E975" s="1"/>
      <c r="F975" s="1"/>
      <c r="G975" s="1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 spans="1:37" s="3" customFormat="1" x14ac:dyDescent="0.25">
      <c r="A976"/>
      <c r="B976"/>
      <c r="C976" s="1"/>
      <c r="D976" s="1"/>
      <c r="E976" s="1"/>
      <c r="F976" s="1"/>
      <c r="G976" s="1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</row>
    <row r="977" spans="1:37" s="3" customFormat="1" x14ac:dyDescent="0.25">
      <c r="A977"/>
      <c r="B977"/>
      <c r="C977" s="1"/>
      <c r="D977" s="1"/>
      <c r="E977" s="1"/>
      <c r="F977" s="1"/>
      <c r="G977" s="1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 spans="1:37" s="3" customFormat="1" x14ac:dyDescent="0.25">
      <c r="A978"/>
      <c r="B978"/>
      <c r="C978" s="1"/>
      <c r="D978" s="1"/>
      <c r="E978" s="1"/>
      <c r="F978" s="1"/>
      <c r="G978" s="1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 spans="1:37" s="3" customFormat="1" x14ac:dyDescent="0.25">
      <c r="A979"/>
      <c r="B979"/>
      <c r="C979" s="1"/>
      <c r="D979" s="1"/>
      <c r="E979" s="1"/>
      <c r="F979" s="1"/>
      <c r="G979" s="1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 spans="1:37" s="3" customFormat="1" x14ac:dyDescent="0.25">
      <c r="A980"/>
      <c r="B980"/>
      <c r="C980" s="1"/>
      <c r="D980" s="1"/>
      <c r="E980" s="1"/>
      <c r="F980" s="1"/>
      <c r="G980" s="1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 spans="1:37" s="3" customFormat="1" x14ac:dyDescent="0.25">
      <c r="A981"/>
      <c r="B981"/>
      <c r="C981" s="1"/>
      <c r="D981" s="1"/>
      <c r="E981" s="1"/>
      <c r="F981" s="1"/>
      <c r="G981" s="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 spans="1:37" s="3" customFormat="1" x14ac:dyDescent="0.25">
      <c r="A982"/>
      <c r="B982"/>
      <c r="C982" s="1"/>
      <c r="D982" s="1"/>
      <c r="E982" s="1"/>
      <c r="F982" s="1"/>
      <c r="G982" s="1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 spans="1:37" s="3" customFormat="1" x14ac:dyDescent="0.25">
      <c r="A983"/>
      <c r="B983"/>
      <c r="C983" s="1"/>
      <c r="D983" s="1"/>
      <c r="E983" s="1"/>
      <c r="F983" s="1"/>
      <c r="G983" s="1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 spans="1:37" s="3" customFormat="1" x14ac:dyDescent="0.25">
      <c r="A984"/>
      <c r="B984"/>
      <c r="C984" s="1"/>
      <c r="D984" s="1"/>
      <c r="E984" s="1"/>
      <c r="F984" s="1"/>
      <c r="G984" s="1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 spans="1:37" s="3" customFormat="1" x14ac:dyDescent="0.25">
      <c r="A985"/>
      <c r="B985"/>
      <c r="C985" s="1"/>
      <c r="D985" s="1"/>
      <c r="E985" s="1"/>
      <c r="F985" s="1"/>
      <c r="G985" s="1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 spans="1:37" s="3" customFormat="1" x14ac:dyDescent="0.25">
      <c r="A986"/>
      <c r="B986"/>
      <c r="C986" s="1"/>
      <c r="D986" s="1"/>
      <c r="E986" s="1"/>
      <c r="F986" s="1"/>
      <c r="G986" s="1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 spans="1:37" s="3" customFormat="1" x14ac:dyDescent="0.25">
      <c r="A987"/>
      <c r="B987"/>
      <c r="C987" s="1"/>
      <c r="D987" s="1"/>
      <c r="E987" s="1"/>
      <c r="F987" s="1"/>
      <c r="G987" s="1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 spans="1:37" s="3" customFormat="1" x14ac:dyDescent="0.25">
      <c r="A988"/>
      <c r="B988"/>
      <c r="C988" s="1"/>
      <c r="D988" s="1"/>
      <c r="E988" s="1"/>
      <c r="F988" s="1"/>
      <c r="G988" s="1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 spans="1:37" s="3" customFormat="1" x14ac:dyDescent="0.25">
      <c r="A989"/>
      <c r="B989"/>
      <c r="C989" s="1"/>
      <c r="D989" s="1"/>
      <c r="E989" s="1"/>
      <c r="F989" s="1"/>
      <c r="G989" s="1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</row>
    <row r="990" spans="1:37" s="3" customFormat="1" x14ac:dyDescent="0.25">
      <c r="A990"/>
      <c r="B990"/>
      <c r="C990" s="1"/>
      <c r="D990" s="1"/>
      <c r="E990" s="1"/>
      <c r="F990" s="1"/>
      <c r="G990" s="1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1225" spans="32:33" x14ac:dyDescent="0.25">
      <c r="AF1225" s="2"/>
      <c r="AG1225" s="2"/>
    </row>
    <row r="1226" spans="32:33" ht="13.15" customHeight="1" x14ac:dyDescent="0.25"/>
    <row r="1262" spans="34:35" x14ac:dyDescent="0.25">
      <c r="AH1262" s="2"/>
      <c r="AI1262" s="2"/>
    </row>
    <row r="1289" spans="36:37" x14ac:dyDescent="0.25">
      <c r="AJ1289" s="2"/>
      <c r="AK1289" s="2"/>
    </row>
    <row r="1363" spans="1:37" s="2" customFormat="1" x14ac:dyDescent="0.25">
      <c r="A1363"/>
      <c r="B1363"/>
      <c r="C1363" s="1"/>
      <c r="D1363" s="1"/>
      <c r="E1363" s="1"/>
      <c r="F1363" s="1"/>
      <c r="G1363" s="1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</sheetData>
  <mergeCells count="281">
    <mergeCell ref="F53:T53"/>
    <mergeCell ref="U53:AB53"/>
    <mergeCell ref="F52:T52"/>
    <mergeCell ref="U52:AB52"/>
    <mergeCell ref="AI36:AJ36"/>
    <mergeCell ref="U150:AB150"/>
    <mergeCell ref="AC150:AH150"/>
    <mergeCell ref="U128:AB128"/>
    <mergeCell ref="AC39:AH40"/>
    <mergeCell ref="U39:AB40"/>
    <mergeCell ref="U132:AB132"/>
    <mergeCell ref="U149:AB149"/>
    <mergeCell ref="AC149:AH149"/>
    <mergeCell ref="U148:AB148"/>
    <mergeCell ref="AC104:AH104"/>
    <mergeCell ref="U106:AB106"/>
    <mergeCell ref="AC106:AH106"/>
    <mergeCell ref="AC110:AH110"/>
    <mergeCell ref="U131:AB131"/>
    <mergeCell ref="AI121:AP121"/>
    <mergeCell ref="U122:AB122"/>
    <mergeCell ref="U123:AB123"/>
    <mergeCell ref="U129:AB129"/>
    <mergeCell ref="U130:AB130"/>
    <mergeCell ref="AC109:AH109"/>
    <mergeCell ref="U100:AB100"/>
    <mergeCell ref="AC105:AH105"/>
    <mergeCell ref="U107:AB107"/>
    <mergeCell ref="A25:B25"/>
    <mergeCell ref="A26:B26"/>
    <mergeCell ref="A27:B27"/>
    <mergeCell ref="A28:B28"/>
    <mergeCell ref="A29:B29"/>
    <mergeCell ref="AJ21:AJ24"/>
    <mergeCell ref="A22:B22"/>
    <mergeCell ref="A23:B23"/>
    <mergeCell ref="A24:B24"/>
    <mergeCell ref="A21:B21"/>
    <mergeCell ref="AH21:AH24"/>
    <mergeCell ref="AI21:AI22"/>
    <mergeCell ref="A30:B30"/>
    <mergeCell ref="U119:AB119"/>
    <mergeCell ref="U127:AB127"/>
    <mergeCell ref="AC127:AH127"/>
    <mergeCell ref="A33:B33"/>
    <mergeCell ref="A35:B35"/>
    <mergeCell ref="U102:AB102"/>
    <mergeCell ref="U103:AB103"/>
    <mergeCell ref="U118:AB118"/>
    <mergeCell ref="F119:T119"/>
    <mergeCell ref="F118:T118"/>
    <mergeCell ref="C39:C40"/>
    <mergeCell ref="D39:E40"/>
    <mergeCell ref="F39:T40"/>
    <mergeCell ref="A31:B31"/>
    <mergeCell ref="A34:B34"/>
    <mergeCell ref="B39:B40"/>
    <mergeCell ref="A39:A40"/>
    <mergeCell ref="A36:B36"/>
    <mergeCell ref="A32:B32"/>
    <mergeCell ref="F127:T127"/>
    <mergeCell ref="U104:AB104"/>
    <mergeCell ref="U115:AB115"/>
    <mergeCell ref="U121:AB121"/>
    <mergeCell ref="F141:T141"/>
    <mergeCell ref="F142:T142"/>
    <mergeCell ref="F137:T137"/>
    <mergeCell ref="F132:T132"/>
    <mergeCell ref="AC148:AH148"/>
    <mergeCell ref="F140:T140"/>
    <mergeCell ref="F150:T150"/>
    <mergeCell ref="F149:T149"/>
    <mergeCell ref="U135:AB135"/>
    <mergeCell ref="F147:T147"/>
    <mergeCell ref="F148:T148"/>
    <mergeCell ref="U140:AB140"/>
    <mergeCell ref="U141:AB141"/>
    <mergeCell ref="U142:AB142"/>
    <mergeCell ref="U143:AB143"/>
    <mergeCell ref="U144:AB144"/>
    <mergeCell ref="U145:AB145"/>
    <mergeCell ref="U146:AB146"/>
    <mergeCell ref="U147:AB147"/>
    <mergeCell ref="F143:T143"/>
    <mergeCell ref="F144:T144"/>
    <mergeCell ref="F145:T145"/>
    <mergeCell ref="F146:T146"/>
    <mergeCell ref="U139:AB139"/>
    <mergeCell ref="F139:T139"/>
    <mergeCell ref="AC139:AH139"/>
    <mergeCell ref="U137:AB137"/>
    <mergeCell ref="AC137:AH137"/>
    <mergeCell ref="AC135:AH135"/>
    <mergeCell ref="F136:T136"/>
    <mergeCell ref="U136:AB136"/>
    <mergeCell ref="AC136:AH136"/>
    <mergeCell ref="F135:T135"/>
    <mergeCell ref="F129:T129"/>
    <mergeCell ref="F130:T130"/>
    <mergeCell ref="F131:T131"/>
    <mergeCell ref="AC138:AH138"/>
    <mergeCell ref="U138:AB138"/>
    <mergeCell ref="F138:T138"/>
    <mergeCell ref="F133:T133"/>
    <mergeCell ref="U133:AB133"/>
    <mergeCell ref="AC133:AH133"/>
    <mergeCell ref="F134:T134"/>
    <mergeCell ref="U134:AB134"/>
    <mergeCell ref="AC134:AH134"/>
    <mergeCell ref="U116:AB116"/>
    <mergeCell ref="U114:AB114"/>
    <mergeCell ref="U113:AB113"/>
    <mergeCell ref="AC108:AH108"/>
    <mergeCell ref="U95:AB95"/>
    <mergeCell ref="U96:AB96"/>
    <mergeCell ref="U97:AB97"/>
    <mergeCell ref="F128:T128"/>
    <mergeCell ref="U126:AB126"/>
    <mergeCell ref="F120:T120"/>
    <mergeCell ref="F121:T121"/>
    <mergeCell ref="F122:T122"/>
    <mergeCell ref="F123:T123"/>
    <mergeCell ref="F124:T124"/>
    <mergeCell ref="F125:T125"/>
    <mergeCell ref="U120:AB120"/>
    <mergeCell ref="U124:AB124"/>
    <mergeCell ref="U125:AB125"/>
    <mergeCell ref="U83:AB83"/>
    <mergeCell ref="U84:AB84"/>
    <mergeCell ref="U85:AB85"/>
    <mergeCell ref="U86:AB86"/>
    <mergeCell ref="U87:AB87"/>
    <mergeCell ref="AC107:AH107"/>
    <mergeCell ref="AC112:AH112"/>
    <mergeCell ref="U111:AB111"/>
    <mergeCell ref="AC111:AH111"/>
    <mergeCell ref="B128:B132"/>
    <mergeCell ref="B133:B139"/>
    <mergeCell ref="B140:B150"/>
    <mergeCell ref="B99:B101"/>
    <mergeCell ref="B108:B113"/>
    <mergeCell ref="B114:B119"/>
    <mergeCell ref="B120:B127"/>
    <mergeCell ref="F99:T99"/>
    <mergeCell ref="U99:AB99"/>
    <mergeCell ref="B102:B107"/>
    <mergeCell ref="F101:T101"/>
    <mergeCell ref="U101:AB101"/>
    <mergeCell ref="F105:T105"/>
    <mergeCell ref="U105:AB105"/>
    <mergeCell ref="F110:T110"/>
    <mergeCell ref="U110:AB110"/>
    <mergeCell ref="F112:T112"/>
    <mergeCell ref="U112:AB112"/>
    <mergeCell ref="U108:AB108"/>
    <mergeCell ref="U109:AB109"/>
    <mergeCell ref="U117:AB117"/>
    <mergeCell ref="F116:T116"/>
    <mergeCell ref="F117:T117"/>
    <mergeCell ref="F126:T126"/>
    <mergeCell ref="F115:T115"/>
    <mergeCell ref="F114:T114"/>
    <mergeCell ref="F113:T113"/>
    <mergeCell ref="F111:T111"/>
    <mergeCell ref="F109:T109"/>
    <mergeCell ref="F108:T108"/>
    <mergeCell ref="F107:T107"/>
    <mergeCell ref="F106:T106"/>
    <mergeCell ref="U65:AB65"/>
    <mergeCell ref="U66:AB66"/>
    <mergeCell ref="U67:AB67"/>
    <mergeCell ref="U68:AB68"/>
    <mergeCell ref="U69:AB69"/>
    <mergeCell ref="F94:T94"/>
    <mergeCell ref="F93:T93"/>
    <mergeCell ref="U93:AB93"/>
    <mergeCell ref="U94:AB94"/>
    <mergeCell ref="U81:AB81"/>
    <mergeCell ref="U82:AB82"/>
    <mergeCell ref="U70:AB70"/>
    <mergeCell ref="U71:AB71"/>
    <mergeCell ref="U72:AB72"/>
    <mergeCell ref="U73:AB73"/>
    <mergeCell ref="F104:T104"/>
    <mergeCell ref="F103:T103"/>
    <mergeCell ref="F102:T102"/>
    <mergeCell ref="F100:T100"/>
    <mergeCell ref="F90:T90"/>
    <mergeCell ref="F89:T89"/>
    <mergeCell ref="F88:T88"/>
    <mergeCell ref="B88:B92"/>
    <mergeCell ref="U91:AB91"/>
    <mergeCell ref="U92:AB92"/>
    <mergeCell ref="F92:T92"/>
    <mergeCell ref="F91:T91"/>
    <mergeCell ref="B93:B94"/>
    <mergeCell ref="U88:AB88"/>
    <mergeCell ref="U89:AB89"/>
    <mergeCell ref="U90:AB90"/>
    <mergeCell ref="B59:B62"/>
    <mergeCell ref="F87:T87"/>
    <mergeCell ref="F65:T65"/>
    <mergeCell ref="F66:T66"/>
    <mergeCell ref="F67:T67"/>
    <mergeCell ref="F68:T68"/>
    <mergeCell ref="F69:T69"/>
    <mergeCell ref="F70:T70"/>
    <mergeCell ref="F71:T71"/>
    <mergeCell ref="F72:T72"/>
    <mergeCell ref="F73:T73"/>
    <mergeCell ref="F74:T74"/>
    <mergeCell ref="F75:T75"/>
    <mergeCell ref="F76:T76"/>
    <mergeCell ref="F77:T77"/>
    <mergeCell ref="F78:T78"/>
    <mergeCell ref="F79:T79"/>
    <mergeCell ref="F80:T80"/>
    <mergeCell ref="F81:T81"/>
    <mergeCell ref="F82:T82"/>
    <mergeCell ref="F61:T61"/>
    <mergeCell ref="B76:B80"/>
    <mergeCell ref="B74:B75"/>
    <mergeCell ref="B70:B73"/>
    <mergeCell ref="F46:T46"/>
    <mergeCell ref="U46:AB46"/>
    <mergeCell ref="F47:T47"/>
    <mergeCell ref="F62:T62"/>
    <mergeCell ref="F83:T83"/>
    <mergeCell ref="F84:T84"/>
    <mergeCell ref="F85:T85"/>
    <mergeCell ref="F86:T86"/>
    <mergeCell ref="U62:AB62"/>
    <mergeCell ref="F59:T59"/>
    <mergeCell ref="U59:AB59"/>
    <mergeCell ref="F60:T60"/>
    <mergeCell ref="U60:AB60"/>
    <mergeCell ref="U61:AB61"/>
    <mergeCell ref="U75:AB75"/>
    <mergeCell ref="U57:AB57"/>
    <mergeCell ref="F58:T58"/>
    <mergeCell ref="U58:AB58"/>
    <mergeCell ref="U74:AB74"/>
    <mergeCell ref="U76:AB76"/>
    <mergeCell ref="U77:AB77"/>
    <mergeCell ref="U78:AB78"/>
    <mergeCell ref="U79:AB79"/>
    <mergeCell ref="U80:AB80"/>
    <mergeCell ref="F41:T41"/>
    <mergeCell ref="U41:AB41"/>
    <mergeCell ref="F42:T42"/>
    <mergeCell ref="U42:AB42"/>
    <mergeCell ref="F43:T43"/>
    <mergeCell ref="U43:AB43"/>
    <mergeCell ref="F44:T44"/>
    <mergeCell ref="U44:AB44"/>
    <mergeCell ref="F45:T45"/>
    <mergeCell ref="U45:AB45"/>
    <mergeCell ref="B67:B69"/>
    <mergeCell ref="F63:T63"/>
    <mergeCell ref="U63:AB63"/>
    <mergeCell ref="F64:T64"/>
    <mergeCell ref="U64:AB64"/>
    <mergeCell ref="B81:B87"/>
    <mergeCell ref="B63:B66"/>
    <mergeCell ref="U47:AB47"/>
    <mergeCell ref="F48:T48"/>
    <mergeCell ref="U48:AB48"/>
    <mergeCell ref="F49:T49"/>
    <mergeCell ref="U49:AB49"/>
    <mergeCell ref="F50:T50"/>
    <mergeCell ref="U50:AB50"/>
    <mergeCell ref="F51:T51"/>
    <mergeCell ref="U51:AB51"/>
    <mergeCell ref="B55:B58"/>
    <mergeCell ref="F54:T54"/>
    <mergeCell ref="U54:AB54"/>
    <mergeCell ref="F55:T55"/>
    <mergeCell ref="U55:AB55"/>
    <mergeCell ref="F56:T56"/>
    <mergeCell ref="U56:AB56"/>
    <mergeCell ref="F57:T57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A983-C745-4D20-A4B0-2A88084DAA6E}">
  <dimension ref="A3:M115"/>
  <sheetViews>
    <sheetView showGridLines="0" topLeftCell="A64" zoomScale="80" zoomScaleNormal="80" workbookViewId="0">
      <selection activeCell="G108" sqref="G108"/>
    </sheetView>
  </sheetViews>
  <sheetFormatPr defaultColWidth="8.91015625" defaultRowHeight="12.75" x14ac:dyDescent="0.2"/>
  <cols>
    <col min="1" max="1" width="28.59375" style="20" customWidth="1"/>
    <col min="2" max="2" width="17.08203125" style="20" bestFit="1" customWidth="1"/>
    <col min="3" max="3" width="6.9296875" style="20" bestFit="1" customWidth="1"/>
    <col min="4" max="4" width="12.625" style="20" customWidth="1"/>
    <col min="5" max="5" width="34.1640625" style="20" bestFit="1" customWidth="1"/>
    <col min="6" max="6" width="13.86328125" style="20" customWidth="1"/>
    <col min="7" max="17" width="12.625" style="20" customWidth="1"/>
    <col min="18" max="18" width="7.1796875" style="20" bestFit="1" customWidth="1"/>
    <col min="19" max="23" width="5.69140625" style="20" customWidth="1"/>
    <col min="24" max="16384" width="8.91015625" style="20"/>
  </cols>
  <sheetData>
    <row r="3" spans="1:13" x14ac:dyDescent="0.2">
      <c r="A3" s="20" t="s">
        <v>2884</v>
      </c>
    </row>
    <row r="4" spans="1:13" x14ac:dyDescent="0.2">
      <c r="A4" s="22" t="s">
        <v>25</v>
      </c>
      <c r="B4" s="21" t="s">
        <v>2882</v>
      </c>
      <c r="C4" s="21" t="s">
        <v>31</v>
      </c>
      <c r="D4" s="167" t="s">
        <v>29</v>
      </c>
      <c r="E4" s="167"/>
      <c r="F4" s="167"/>
      <c r="G4" s="167" t="s">
        <v>28</v>
      </c>
      <c r="H4" s="167"/>
      <c r="I4" s="167" t="s">
        <v>2</v>
      </c>
      <c r="J4" s="167"/>
      <c r="K4" s="167" t="s">
        <v>30</v>
      </c>
      <c r="L4" s="167"/>
      <c r="M4" s="167"/>
    </row>
    <row r="5" spans="1:13" x14ac:dyDescent="0.2">
      <c r="A5" s="23" t="s">
        <v>2881</v>
      </c>
      <c r="B5" s="61" t="s">
        <v>2908</v>
      </c>
      <c r="C5" s="24" t="s">
        <v>32</v>
      </c>
      <c r="D5" s="168" t="s">
        <v>2883</v>
      </c>
      <c r="E5" s="168"/>
      <c r="F5" s="168"/>
      <c r="G5" s="168"/>
      <c r="H5" s="168"/>
      <c r="I5" s="168"/>
      <c r="J5" s="168"/>
      <c r="K5" s="168" t="s">
        <v>2885</v>
      </c>
      <c r="L5" s="168"/>
      <c r="M5" s="168"/>
    </row>
    <row r="6" spans="1:13" x14ac:dyDescent="0.2">
      <c r="A6" s="23" t="s">
        <v>2886</v>
      </c>
      <c r="B6" s="61" t="s">
        <v>2907</v>
      </c>
      <c r="C6" s="25" t="s">
        <v>32</v>
      </c>
      <c r="D6" s="168" t="s">
        <v>2883</v>
      </c>
      <c r="E6" s="168"/>
      <c r="F6" s="168"/>
      <c r="G6" s="168"/>
      <c r="H6" s="168"/>
      <c r="I6" s="168"/>
      <c r="J6" s="168"/>
      <c r="K6" s="168"/>
      <c r="L6" s="168"/>
      <c r="M6" s="168"/>
    </row>
    <row r="7" spans="1:13" x14ac:dyDescent="0.2">
      <c r="A7" s="23"/>
      <c r="B7" s="21"/>
      <c r="C7" s="25"/>
      <c r="D7" s="168"/>
      <c r="E7" s="168"/>
      <c r="F7" s="168"/>
      <c r="G7" s="168"/>
      <c r="H7" s="168"/>
      <c r="I7" s="168"/>
      <c r="J7" s="168"/>
      <c r="K7" s="168"/>
      <c r="L7" s="168"/>
      <c r="M7" s="168"/>
    </row>
    <row r="8" spans="1:13" x14ac:dyDescent="0.2">
      <c r="A8" s="23"/>
      <c r="B8" s="21"/>
      <c r="C8" s="25"/>
      <c r="D8" s="168"/>
      <c r="E8" s="168"/>
      <c r="F8" s="168"/>
      <c r="G8" s="168"/>
      <c r="H8" s="168"/>
      <c r="I8" s="168"/>
      <c r="J8" s="168"/>
      <c r="K8" s="168"/>
      <c r="L8" s="168"/>
      <c r="M8" s="168"/>
    </row>
    <row r="10" spans="1:13" x14ac:dyDescent="0.2">
      <c r="A10" s="56" t="s">
        <v>2903</v>
      </c>
      <c r="B10" s="56"/>
      <c r="C10" s="56"/>
    </row>
    <row r="11" spans="1:13" x14ac:dyDescent="0.2">
      <c r="A11" s="21" t="s">
        <v>18</v>
      </c>
      <c r="B11" s="161" t="s">
        <v>2908</v>
      </c>
      <c r="C11" s="161"/>
    </row>
    <row r="12" spans="1:13" x14ac:dyDescent="0.2">
      <c r="A12" s="21" t="s">
        <v>2888</v>
      </c>
      <c r="B12" s="160">
        <v>45416</v>
      </c>
      <c r="C12" s="161"/>
    </row>
    <row r="13" spans="1:13" x14ac:dyDescent="0.2">
      <c r="A13" s="21" t="s">
        <v>2889</v>
      </c>
      <c r="B13" s="160">
        <v>46146</v>
      </c>
      <c r="C13" s="161"/>
    </row>
    <row r="14" spans="1:13" x14ac:dyDescent="0.2">
      <c r="A14" s="21" t="s">
        <v>2890</v>
      </c>
      <c r="B14" s="162" t="s">
        <v>2891</v>
      </c>
      <c r="C14" s="162"/>
    </row>
    <row r="15" spans="1:13" x14ac:dyDescent="0.2">
      <c r="A15" s="21" t="s">
        <v>2892</v>
      </c>
      <c r="B15" s="163" t="s">
        <v>2883</v>
      </c>
      <c r="C15" s="163"/>
    </row>
    <row r="16" spans="1:13" x14ac:dyDescent="0.2">
      <c r="A16" s="21" t="s">
        <v>2893</v>
      </c>
      <c r="B16" s="161">
        <v>141530</v>
      </c>
      <c r="C16" s="161"/>
    </row>
    <row r="17" spans="1:3" x14ac:dyDescent="0.2">
      <c r="A17" s="21" t="s">
        <v>2894</v>
      </c>
      <c r="B17" s="161">
        <v>66</v>
      </c>
      <c r="C17" s="161"/>
    </row>
    <row r="18" spans="1:3" x14ac:dyDescent="0.2">
      <c r="A18" s="21" t="s">
        <v>2895</v>
      </c>
      <c r="B18" s="165">
        <f>B16/B17</f>
        <v>2144.3939393939395</v>
      </c>
      <c r="C18" s="165"/>
    </row>
    <row r="19" spans="1:3" x14ac:dyDescent="0.2">
      <c r="A19" s="21" t="s">
        <v>2896</v>
      </c>
      <c r="B19" s="166">
        <f>B18/5000</f>
        <v>0.42887878787878791</v>
      </c>
      <c r="C19" s="166"/>
    </row>
    <row r="20" spans="1:3" x14ac:dyDescent="0.2">
      <c r="A20" s="21" t="s">
        <v>2897</v>
      </c>
      <c r="B20" s="161" t="s">
        <v>2898</v>
      </c>
      <c r="C20" s="161"/>
    </row>
    <row r="21" spans="1:3" x14ac:dyDescent="0.2">
      <c r="A21" s="159" t="s">
        <v>2899</v>
      </c>
      <c r="B21" s="57" t="s">
        <v>2900</v>
      </c>
      <c r="C21" s="58">
        <v>0.51500000000000001</v>
      </c>
    </row>
    <row r="22" spans="1:3" x14ac:dyDescent="0.2">
      <c r="A22" s="159"/>
      <c r="B22" s="57" t="s">
        <v>20</v>
      </c>
      <c r="C22" s="58">
        <v>0.22700000000000001</v>
      </c>
    </row>
    <row r="23" spans="1:3" x14ac:dyDescent="0.2">
      <c r="A23" s="159"/>
      <c r="B23" s="57" t="s">
        <v>2901</v>
      </c>
      <c r="C23" s="58">
        <v>0.121</v>
      </c>
    </row>
    <row r="24" spans="1:3" x14ac:dyDescent="0.2">
      <c r="A24" s="59" t="s">
        <v>2902</v>
      </c>
      <c r="B24" s="164">
        <f>SUM(C21:C23)</f>
        <v>0.86299999999999999</v>
      </c>
      <c r="C24" s="164"/>
    </row>
    <row r="26" spans="1:3" x14ac:dyDescent="0.2">
      <c r="A26" s="56" t="s">
        <v>2909</v>
      </c>
      <c r="B26" s="56"/>
      <c r="C26" s="56"/>
    </row>
    <row r="27" spans="1:3" x14ac:dyDescent="0.2">
      <c r="A27" s="21" t="s">
        <v>18</v>
      </c>
      <c r="B27" s="161" t="s">
        <v>2908</v>
      </c>
      <c r="C27" s="161"/>
    </row>
    <row r="28" spans="1:3" x14ac:dyDescent="0.2">
      <c r="A28" s="21" t="s">
        <v>2888</v>
      </c>
      <c r="B28" s="160">
        <v>45416</v>
      </c>
      <c r="C28" s="161"/>
    </row>
    <row r="29" spans="1:3" x14ac:dyDescent="0.2">
      <c r="A29" s="21" t="s">
        <v>2889</v>
      </c>
      <c r="B29" s="160">
        <v>46146</v>
      </c>
      <c r="C29" s="161"/>
    </row>
    <row r="30" spans="1:3" x14ac:dyDescent="0.2">
      <c r="A30" s="21" t="s">
        <v>2890</v>
      </c>
      <c r="B30" s="162" t="s">
        <v>2891</v>
      </c>
      <c r="C30" s="162"/>
    </row>
    <row r="31" spans="1:3" x14ac:dyDescent="0.2">
      <c r="A31" s="21" t="s">
        <v>2892</v>
      </c>
      <c r="B31" s="163" t="s">
        <v>2883</v>
      </c>
      <c r="C31" s="163"/>
    </row>
    <row r="32" spans="1:3" x14ac:dyDescent="0.2">
      <c r="A32" s="21" t="s">
        <v>2893</v>
      </c>
      <c r="B32" s="161">
        <v>233257</v>
      </c>
      <c r="C32" s="161"/>
    </row>
    <row r="33" spans="1:3" x14ac:dyDescent="0.2">
      <c r="A33" s="21" t="s">
        <v>2894</v>
      </c>
      <c r="B33" s="161">
        <v>123</v>
      </c>
      <c r="C33" s="161"/>
    </row>
    <row r="34" spans="1:3" x14ac:dyDescent="0.2">
      <c r="A34" s="21" t="s">
        <v>2895</v>
      </c>
      <c r="B34" s="165">
        <f>B32/B33</f>
        <v>1896.3983739837399</v>
      </c>
      <c r="C34" s="165"/>
    </row>
    <row r="35" spans="1:3" x14ac:dyDescent="0.2">
      <c r="A35" s="21" t="s">
        <v>2896</v>
      </c>
      <c r="B35" s="166">
        <f>B34/5000</f>
        <v>0.37927967479674801</v>
      </c>
      <c r="C35" s="166"/>
    </row>
    <row r="36" spans="1:3" x14ac:dyDescent="0.2">
      <c r="A36" s="21" t="s">
        <v>2897</v>
      </c>
      <c r="B36" s="161" t="s">
        <v>2898</v>
      </c>
      <c r="C36" s="161"/>
    </row>
    <row r="37" spans="1:3" x14ac:dyDescent="0.2">
      <c r="A37" s="159" t="s">
        <v>2899</v>
      </c>
      <c r="B37" s="57" t="s">
        <v>2911</v>
      </c>
      <c r="C37" s="58">
        <v>0.61799999999999999</v>
      </c>
    </row>
    <row r="38" spans="1:3" x14ac:dyDescent="0.2">
      <c r="A38" s="159"/>
      <c r="B38" s="57" t="s">
        <v>2900</v>
      </c>
      <c r="C38" s="58">
        <v>0.28499999999999998</v>
      </c>
    </row>
    <row r="39" spans="1:3" x14ac:dyDescent="0.2">
      <c r="A39" s="159"/>
      <c r="B39" s="57" t="s">
        <v>20</v>
      </c>
      <c r="C39" s="58">
        <v>5.7000000000000002E-2</v>
      </c>
    </row>
    <row r="40" spans="1:3" x14ac:dyDescent="0.2">
      <c r="A40" s="59" t="s">
        <v>2902</v>
      </c>
      <c r="B40" s="164">
        <f>SUM(C37:C39)</f>
        <v>0.96000000000000008</v>
      </c>
      <c r="C40" s="164"/>
    </row>
    <row r="42" spans="1:3" x14ac:dyDescent="0.2">
      <c r="A42" s="56" t="s">
        <v>2910</v>
      </c>
      <c r="B42" s="56"/>
      <c r="C42" s="56"/>
    </row>
    <row r="43" spans="1:3" x14ac:dyDescent="0.2">
      <c r="A43" s="21" t="s">
        <v>18</v>
      </c>
      <c r="B43" s="161" t="s">
        <v>2908</v>
      </c>
      <c r="C43" s="161"/>
    </row>
    <row r="44" spans="1:3" x14ac:dyDescent="0.2">
      <c r="A44" s="21" t="s">
        <v>2888</v>
      </c>
      <c r="B44" s="160">
        <v>45416</v>
      </c>
      <c r="C44" s="161"/>
    </row>
    <row r="45" spans="1:3" x14ac:dyDescent="0.2">
      <c r="A45" s="21" t="s">
        <v>2889</v>
      </c>
      <c r="B45" s="160">
        <v>46146</v>
      </c>
      <c r="C45" s="161"/>
    </row>
    <row r="46" spans="1:3" x14ac:dyDescent="0.2">
      <c r="A46" s="21" t="s">
        <v>2890</v>
      </c>
      <c r="B46" s="162" t="s">
        <v>2891</v>
      </c>
      <c r="C46" s="162"/>
    </row>
    <row r="47" spans="1:3" x14ac:dyDescent="0.2">
      <c r="A47" s="21" t="s">
        <v>2892</v>
      </c>
      <c r="B47" s="163" t="s">
        <v>2883</v>
      </c>
      <c r="C47" s="163"/>
    </row>
    <row r="48" spans="1:3" x14ac:dyDescent="0.2">
      <c r="A48" s="21" t="s">
        <v>2893</v>
      </c>
      <c r="B48" s="161">
        <v>217871</v>
      </c>
      <c r="C48" s="161"/>
    </row>
    <row r="49" spans="1:7" x14ac:dyDescent="0.2">
      <c r="A49" s="21" t="s">
        <v>2894</v>
      </c>
      <c r="B49" s="161">
        <v>83</v>
      </c>
      <c r="C49" s="161"/>
    </row>
    <row r="50" spans="1:7" x14ac:dyDescent="0.2">
      <c r="A50" s="21" t="s">
        <v>2895</v>
      </c>
      <c r="B50" s="165">
        <f>B48/B49</f>
        <v>2624.9518072289156</v>
      </c>
      <c r="C50" s="165"/>
    </row>
    <row r="51" spans="1:7" x14ac:dyDescent="0.2">
      <c r="A51" s="21" t="s">
        <v>2896</v>
      </c>
      <c r="B51" s="166">
        <f>B50/5000</f>
        <v>0.52499036144578315</v>
      </c>
      <c r="C51" s="166"/>
    </row>
    <row r="52" spans="1:7" x14ac:dyDescent="0.2">
      <c r="A52" s="21" t="s">
        <v>2897</v>
      </c>
      <c r="B52" s="161" t="s">
        <v>2898</v>
      </c>
      <c r="C52" s="161"/>
    </row>
    <row r="53" spans="1:7" x14ac:dyDescent="0.2">
      <c r="A53" s="159" t="s">
        <v>2899</v>
      </c>
      <c r="B53" s="57" t="s">
        <v>2900</v>
      </c>
      <c r="C53" s="58">
        <v>0.39800000000000002</v>
      </c>
    </row>
    <row r="54" spans="1:7" x14ac:dyDescent="0.2">
      <c r="A54" s="159"/>
      <c r="B54" s="57" t="s">
        <v>2911</v>
      </c>
      <c r="C54" s="58">
        <v>0.33700000000000002</v>
      </c>
    </row>
    <row r="55" spans="1:7" x14ac:dyDescent="0.2">
      <c r="A55" s="159"/>
      <c r="B55" s="57" t="s">
        <v>2912</v>
      </c>
      <c r="C55" s="58">
        <v>0.12</v>
      </c>
    </row>
    <row r="56" spans="1:7" x14ac:dyDescent="0.2">
      <c r="A56" s="59" t="s">
        <v>2902</v>
      </c>
      <c r="B56" s="164">
        <f>SUM(C53:C55)</f>
        <v>0.85500000000000009</v>
      </c>
      <c r="C56" s="164"/>
    </row>
    <row r="58" spans="1:7" x14ac:dyDescent="0.2">
      <c r="A58" s="56" t="s">
        <v>2913</v>
      </c>
      <c r="B58" s="56"/>
      <c r="C58" s="56"/>
    </row>
    <row r="59" spans="1:7" x14ac:dyDescent="0.2">
      <c r="A59" s="21" t="s">
        <v>18</v>
      </c>
      <c r="B59" s="161" t="s">
        <v>2908</v>
      </c>
      <c r="C59" s="161"/>
      <c r="E59" s="21" t="s">
        <v>18</v>
      </c>
      <c r="F59" s="161" t="s">
        <v>2907</v>
      </c>
      <c r="G59" s="161"/>
    </row>
    <row r="60" spans="1:7" x14ac:dyDescent="0.2">
      <c r="A60" s="21" t="s">
        <v>2888</v>
      </c>
      <c r="B60" s="160">
        <v>45416</v>
      </c>
      <c r="C60" s="161"/>
      <c r="E60" s="21" t="s">
        <v>2888</v>
      </c>
      <c r="F60" s="160">
        <v>45761</v>
      </c>
      <c r="G60" s="161"/>
    </row>
    <row r="61" spans="1:7" x14ac:dyDescent="0.2">
      <c r="A61" s="21" t="s">
        <v>2889</v>
      </c>
      <c r="B61" s="160">
        <v>46146</v>
      </c>
      <c r="C61" s="161"/>
      <c r="E61" s="21" t="s">
        <v>2889</v>
      </c>
      <c r="F61" s="160">
        <v>46491</v>
      </c>
      <c r="G61" s="161"/>
    </row>
    <row r="62" spans="1:7" x14ac:dyDescent="0.2">
      <c r="A62" s="21" t="s">
        <v>2890</v>
      </c>
      <c r="B62" s="162" t="s">
        <v>2891</v>
      </c>
      <c r="C62" s="162"/>
      <c r="E62" s="21" t="s">
        <v>2890</v>
      </c>
      <c r="F62" s="162" t="s">
        <v>2891</v>
      </c>
      <c r="G62" s="162"/>
    </row>
    <row r="63" spans="1:7" x14ac:dyDescent="0.2">
      <c r="A63" s="21" t="s">
        <v>2892</v>
      </c>
      <c r="B63" s="163" t="s">
        <v>2883</v>
      </c>
      <c r="C63" s="163"/>
      <c r="E63" s="21" t="s">
        <v>2892</v>
      </c>
      <c r="F63" s="163" t="s">
        <v>2883</v>
      </c>
      <c r="G63" s="163"/>
    </row>
    <row r="64" spans="1:7" x14ac:dyDescent="0.2">
      <c r="A64" s="21" t="s">
        <v>2893</v>
      </c>
      <c r="B64" s="161">
        <v>242731</v>
      </c>
      <c r="C64" s="161"/>
      <c r="E64" s="21" t="s">
        <v>2893</v>
      </c>
      <c r="F64" s="161">
        <v>42662</v>
      </c>
      <c r="G64" s="161"/>
    </row>
    <row r="65" spans="1:7" x14ac:dyDescent="0.2">
      <c r="A65" s="21" t="s">
        <v>2894</v>
      </c>
      <c r="B65" s="161">
        <v>65</v>
      </c>
      <c r="C65" s="161"/>
      <c r="E65" s="21" t="s">
        <v>2894</v>
      </c>
      <c r="F65" s="161">
        <v>44</v>
      </c>
      <c r="G65" s="161"/>
    </row>
    <row r="66" spans="1:7" x14ac:dyDescent="0.2">
      <c r="A66" s="21" t="s">
        <v>2895</v>
      </c>
      <c r="B66" s="165">
        <f>B64/B65</f>
        <v>3734.3230769230768</v>
      </c>
      <c r="C66" s="165"/>
      <c r="E66" s="21" t="s">
        <v>2895</v>
      </c>
      <c r="F66" s="165">
        <f>F64/F65</f>
        <v>969.59090909090912</v>
      </c>
      <c r="G66" s="165"/>
    </row>
    <row r="67" spans="1:7" x14ac:dyDescent="0.2">
      <c r="A67" s="21" t="s">
        <v>2896</v>
      </c>
      <c r="B67" s="166">
        <f>B66/5000</f>
        <v>0.74686461538461535</v>
      </c>
      <c r="C67" s="166"/>
      <c r="E67" s="21" t="s">
        <v>2896</v>
      </c>
      <c r="F67" s="166">
        <f>F66/5000</f>
        <v>0.19391818181818182</v>
      </c>
      <c r="G67" s="166"/>
    </row>
    <row r="68" spans="1:7" x14ac:dyDescent="0.2">
      <c r="A68" s="21" t="s">
        <v>2897</v>
      </c>
      <c r="B68" s="161" t="s">
        <v>2898</v>
      </c>
      <c r="C68" s="161"/>
      <c r="E68" s="21" t="s">
        <v>2897</v>
      </c>
      <c r="F68" s="161" t="s">
        <v>2898</v>
      </c>
      <c r="G68" s="161"/>
    </row>
    <row r="69" spans="1:7" x14ac:dyDescent="0.2">
      <c r="A69" s="159" t="s">
        <v>2899</v>
      </c>
      <c r="B69" s="57" t="s">
        <v>2911</v>
      </c>
      <c r="C69" s="58">
        <v>0.36899999999999999</v>
      </c>
      <c r="E69" s="159" t="s">
        <v>2899</v>
      </c>
      <c r="F69" s="57" t="s">
        <v>2900</v>
      </c>
      <c r="G69" s="58">
        <v>0.432</v>
      </c>
    </row>
    <row r="70" spans="1:7" x14ac:dyDescent="0.2">
      <c r="A70" s="159"/>
      <c r="B70" s="57" t="s">
        <v>2912</v>
      </c>
      <c r="C70" s="58">
        <v>0.26200000000000001</v>
      </c>
      <c r="E70" s="159"/>
      <c r="F70" s="57" t="s">
        <v>2912</v>
      </c>
      <c r="G70" s="58">
        <v>0.38600000000000001</v>
      </c>
    </row>
    <row r="71" spans="1:7" x14ac:dyDescent="0.2">
      <c r="A71" s="159"/>
      <c r="B71" s="57" t="s">
        <v>2914</v>
      </c>
      <c r="C71" s="58">
        <v>0.16900000000000001</v>
      </c>
      <c r="E71" s="159"/>
      <c r="F71" s="57" t="s">
        <v>2915</v>
      </c>
      <c r="G71" s="58">
        <v>6.8000000000000005E-2</v>
      </c>
    </row>
    <row r="72" spans="1:7" x14ac:dyDescent="0.2">
      <c r="A72" s="59" t="s">
        <v>2902</v>
      </c>
      <c r="B72" s="164">
        <f>SUM(C69:C71)</f>
        <v>0.8</v>
      </c>
      <c r="C72" s="164"/>
      <c r="E72" s="59" t="s">
        <v>2902</v>
      </c>
      <c r="F72" s="164">
        <f>SUM(G69:G71)</f>
        <v>0.88600000000000012</v>
      </c>
      <c r="G72" s="164"/>
    </row>
    <row r="74" spans="1:7" x14ac:dyDescent="0.2">
      <c r="A74" s="56" t="s">
        <v>2916</v>
      </c>
      <c r="B74" s="56"/>
      <c r="C74" s="56"/>
    </row>
    <row r="75" spans="1:7" x14ac:dyDescent="0.2">
      <c r="A75" s="21" t="s">
        <v>18</v>
      </c>
      <c r="B75" s="161" t="s">
        <v>2908</v>
      </c>
      <c r="C75" s="161"/>
      <c r="E75" s="21" t="s">
        <v>18</v>
      </c>
      <c r="F75" s="161" t="s">
        <v>2907</v>
      </c>
      <c r="G75" s="161"/>
    </row>
    <row r="76" spans="1:7" x14ac:dyDescent="0.2">
      <c r="A76" s="21" t="s">
        <v>2888</v>
      </c>
      <c r="B76" s="160">
        <v>45416</v>
      </c>
      <c r="C76" s="161"/>
      <c r="E76" s="21" t="s">
        <v>2888</v>
      </c>
      <c r="F76" s="160">
        <v>45761</v>
      </c>
      <c r="G76" s="161"/>
    </row>
    <row r="77" spans="1:7" x14ac:dyDescent="0.2">
      <c r="A77" s="21" t="s">
        <v>2889</v>
      </c>
      <c r="B77" s="160">
        <v>46146</v>
      </c>
      <c r="C77" s="161"/>
      <c r="E77" s="21" t="s">
        <v>2889</v>
      </c>
      <c r="F77" s="160">
        <v>46491</v>
      </c>
      <c r="G77" s="161"/>
    </row>
    <row r="78" spans="1:7" x14ac:dyDescent="0.2">
      <c r="A78" s="21" t="s">
        <v>2890</v>
      </c>
      <c r="B78" s="162" t="s">
        <v>2891</v>
      </c>
      <c r="C78" s="162"/>
      <c r="E78" s="21" t="s">
        <v>2890</v>
      </c>
      <c r="F78" s="162" t="s">
        <v>2891</v>
      </c>
      <c r="G78" s="162"/>
    </row>
    <row r="79" spans="1:7" x14ac:dyDescent="0.2">
      <c r="A79" s="21" t="s">
        <v>2892</v>
      </c>
      <c r="B79" s="163" t="s">
        <v>2883</v>
      </c>
      <c r="C79" s="163"/>
      <c r="E79" s="21" t="s">
        <v>2892</v>
      </c>
      <c r="F79" s="163" t="s">
        <v>2883</v>
      </c>
      <c r="G79" s="163"/>
    </row>
    <row r="80" spans="1:7" x14ac:dyDescent="0.2">
      <c r="A80" s="21" t="s">
        <v>2893</v>
      </c>
      <c r="B80" s="161">
        <v>138836</v>
      </c>
      <c r="C80" s="161"/>
      <c r="E80" s="21" t="s">
        <v>2893</v>
      </c>
      <c r="F80" s="161">
        <v>44936</v>
      </c>
      <c r="G80" s="161"/>
    </row>
    <row r="81" spans="1:7" x14ac:dyDescent="0.2">
      <c r="A81" s="21" t="s">
        <v>2894</v>
      </c>
      <c r="B81" s="161">
        <v>68</v>
      </c>
      <c r="C81" s="161"/>
      <c r="E81" s="21" t="s">
        <v>2894</v>
      </c>
      <c r="F81" s="161">
        <v>33</v>
      </c>
      <c r="G81" s="161"/>
    </row>
    <row r="82" spans="1:7" x14ac:dyDescent="0.2">
      <c r="A82" s="21" t="s">
        <v>2895</v>
      </c>
      <c r="B82" s="165">
        <f>B80/B81</f>
        <v>2041.7058823529412</v>
      </c>
      <c r="C82" s="165"/>
      <c r="E82" s="21" t="s">
        <v>2895</v>
      </c>
      <c r="F82" s="165">
        <f>F80/F81</f>
        <v>1361.6969696969697</v>
      </c>
      <c r="G82" s="165"/>
    </row>
    <row r="83" spans="1:7" x14ac:dyDescent="0.2">
      <c r="A83" s="21" t="s">
        <v>2896</v>
      </c>
      <c r="B83" s="166">
        <f>B82/5000</f>
        <v>0.40834117647058826</v>
      </c>
      <c r="C83" s="166"/>
      <c r="E83" s="21" t="s">
        <v>2896</v>
      </c>
      <c r="F83" s="166">
        <f>F82/5000</f>
        <v>0.27233939393939394</v>
      </c>
      <c r="G83" s="166"/>
    </row>
    <row r="84" spans="1:7" x14ac:dyDescent="0.2">
      <c r="A84" s="21" t="s">
        <v>2897</v>
      </c>
      <c r="B84" s="161" t="s">
        <v>2920</v>
      </c>
      <c r="C84" s="161"/>
      <c r="E84" s="21" t="s">
        <v>2897</v>
      </c>
      <c r="F84" s="161" t="s">
        <v>2920</v>
      </c>
      <c r="G84" s="161"/>
    </row>
    <row r="85" spans="1:7" x14ac:dyDescent="0.2">
      <c r="A85" s="159" t="s">
        <v>2899</v>
      </c>
      <c r="B85" s="57" t="s">
        <v>2911</v>
      </c>
      <c r="C85" s="58">
        <v>0.52900000000000003</v>
      </c>
      <c r="E85" s="159" t="s">
        <v>2899</v>
      </c>
      <c r="F85" s="57" t="s">
        <v>2915</v>
      </c>
      <c r="G85" s="58">
        <v>0.48499999999999999</v>
      </c>
    </row>
    <row r="86" spans="1:7" x14ac:dyDescent="0.2">
      <c r="A86" s="159"/>
      <c r="B86" s="57" t="s">
        <v>2912</v>
      </c>
      <c r="C86" s="58">
        <v>0.20599999999999999</v>
      </c>
      <c r="E86" s="159"/>
      <c r="F86" s="57" t="s">
        <v>2912</v>
      </c>
      <c r="G86" s="58">
        <v>0.33300000000000002</v>
      </c>
    </row>
    <row r="87" spans="1:7" x14ac:dyDescent="0.2">
      <c r="A87" s="159"/>
      <c r="B87" s="57" t="s">
        <v>2921</v>
      </c>
      <c r="C87" s="58">
        <v>0.11799999999999999</v>
      </c>
      <c r="E87" s="159"/>
      <c r="F87" s="57" t="s">
        <v>2900</v>
      </c>
      <c r="G87" s="58">
        <v>6.0999999999999999E-2</v>
      </c>
    </row>
    <row r="88" spans="1:7" x14ac:dyDescent="0.2">
      <c r="A88" s="59" t="s">
        <v>2902</v>
      </c>
      <c r="B88" s="164">
        <f>SUM(C85:C87)</f>
        <v>0.85299999999999998</v>
      </c>
      <c r="C88" s="164"/>
      <c r="E88" s="59" t="s">
        <v>2902</v>
      </c>
      <c r="F88" s="164">
        <f>SUM(G85:G87)</f>
        <v>0.879</v>
      </c>
      <c r="G88" s="164"/>
    </row>
    <row r="90" spans="1:7" x14ac:dyDescent="0.2">
      <c r="A90" s="56" t="s">
        <v>2917</v>
      </c>
      <c r="B90" s="56"/>
      <c r="C90" s="56"/>
    </row>
    <row r="91" spans="1:7" x14ac:dyDescent="0.2">
      <c r="A91" s="21" t="s">
        <v>18</v>
      </c>
      <c r="B91" s="161" t="s">
        <v>2908</v>
      </c>
      <c r="C91" s="161"/>
      <c r="E91" s="21" t="s">
        <v>18</v>
      </c>
      <c r="F91" s="161" t="s">
        <v>2907</v>
      </c>
      <c r="G91" s="161"/>
    </row>
    <row r="92" spans="1:7" x14ac:dyDescent="0.2">
      <c r="A92" s="21" t="s">
        <v>2888</v>
      </c>
      <c r="B92" s="160">
        <v>45416</v>
      </c>
      <c r="C92" s="161"/>
      <c r="E92" s="21" t="s">
        <v>2888</v>
      </c>
      <c r="F92" s="160">
        <v>45761</v>
      </c>
      <c r="G92" s="161"/>
    </row>
    <row r="93" spans="1:7" x14ac:dyDescent="0.2">
      <c r="A93" s="21" t="s">
        <v>2889</v>
      </c>
      <c r="B93" s="160">
        <v>46146</v>
      </c>
      <c r="C93" s="161"/>
      <c r="E93" s="21" t="s">
        <v>2889</v>
      </c>
      <c r="F93" s="160">
        <v>46491</v>
      </c>
      <c r="G93" s="161"/>
    </row>
    <row r="94" spans="1:7" x14ac:dyDescent="0.2">
      <c r="A94" s="21" t="s">
        <v>2890</v>
      </c>
      <c r="B94" s="162" t="s">
        <v>2891</v>
      </c>
      <c r="C94" s="162"/>
      <c r="E94" s="21" t="s">
        <v>2890</v>
      </c>
      <c r="F94" s="162" t="s">
        <v>2891</v>
      </c>
      <c r="G94" s="162"/>
    </row>
    <row r="95" spans="1:7" x14ac:dyDescent="0.2">
      <c r="A95" s="21" t="s">
        <v>2892</v>
      </c>
      <c r="B95" s="163" t="s">
        <v>2883</v>
      </c>
      <c r="C95" s="163"/>
      <c r="E95" s="21" t="s">
        <v>2892</v>
      </c>
      <c r="F95" s="163" t="s">
        <v>2883</v>
      </c>
      <c r="G95" s="163"/>
    </row>
    <row r="96" spans="1:7" x14ac:dyDescent="0.2">
      <c r="A96" s="21" t="s">
        <v>2893</v>
      </c>
      <c r="B96" s="161">
        <v>79579</v>
      </c>
      <c r="C96" s="161"/>
      <c r="E96" s="21" t="s">
        <v>2893</v>
      </c>
      <c r="F96" s="161">
        <v>39342</v>
      </c>
      <c r="G96" s="161"/>
    </row>
    <row r="97" spans="1:7" x14ac:dyDescent="0.2">
      <c r="A97" s="21" t="s">
        <v>2894</v>
      </c>
      <c r="B97" s="161">
        <v>64</v>
      </c>
      <c r="C97" s="161"/>
      <c r="E97" s="21" t="s">
        <v>2894</v>
      </c>
      <c r="F97" s="161">
        <v>82</v>
      </c>
      <c r="G97" s="161"/>
    </row>
    <row r="98" spans="1:7" x14ac:dyDescent="0.2">
      <c r="A98" s="21" t="s">
        <v>2895</v>
      </c>
      <c r="B98" s="165">
        <f>B96/B97</f>
        <v>1243.421875</v>
      </c>
      <c r="C98" s="165"/>
      <c r="E98" s="21" t="s">
        <v>2895</v>
      </c>
      <c r="F98" s="165">
        <f>F96/F97</f>
        <v>479.78048780487802</v>
      </c>
      <c r="G98" s="165"/>
    </row>
    <row r="99" spans="1:7" x14ac:dyDescent="0.2">
      <c r="A99" s="21" t="s">
        <v>2896</v>
      </c>
      <c r="B99" s="166">
        <f>B98/5000</f>
        <v>0.24868437500000001</v>
      </c>
      <c r="C99" s="166"/>
      <c r="E99" s="21" t="s">
        <v>2896</v>
      </c>
      <c r="F99" s="166">
        <f>F98/5000</f>
        <v>9.5956097560975603E-2</v>
      </c>
      <c r="G99" s="166"/>
    </row>
    <row r="100" spans="1:7" x14ac:dyDescent="0.2">
      <c r="A100" s="21" t="s">
        <v>2897</v>
      </c>
      <c r="B100" s="161" t="s">
        <v>2920</v>
      </c>
      <c r="C100" s="161"/>
      <c r="E100" s="21" t="s">
        <v>2897</v>
      </c>
      <c r="F100" s="161" t="s">
        <v>2920</v>
      </c>
      <c r="G100" s="161"/>
    </row>
    <row r="101" spans="1:7" x14ac:dyDescent="0.2">
      <c r="A101" s="159" t="s">
        <v>2899</v>
      </c>
      <c r="B101" s="57" t="s">
        <v>2911</v>
      </c>
      <c r="C101" s="58">
        <v>0.84399999999999997</v>
      </c>
      <c r="E101" s="159" t="s">
        <v>2899</v>
      </c>
      <c r="F101" s="57" t="s">
        <v>2911</v>
      </c>
      <c r="G101" s="58">
        <v>0.51200000000000001</v>
      </c>
    </row>
    <row r="102" spans="1:7" x14ac:dyDescent="0.2">
      <c r="A102" s="159"/>
      <c r="B102" s="57" t="s">
        <v>2912</v>
      </c>
      <c r="C102" s="58">
        <v>9.4E-2</v>
      </c>
      <c r="E102" s="159"/>
      <c r="F102" s="57" t="s">
        <v>2900</v>
      </c>
      <c r="G102" s="58">
        <v>0.20699999999999999</v>
      </c>
    </row>
    <row r="103" spans="1:7" x14ac:dyDescent="0.2">
      <c r="A103" s="159"/>
      <c r="B103" s="57" t="s">
        <v>2919</v>
      </c>
      <c r="C103" s="58">
        <v>1.6E-2</v>
      </c>
      <c r="E103" s="159"/>
      <c r="F103" s="57" t="s">
        <v>2912</v>
      </c>
      <c r="G103" s="58">
        <v>0.14599999999999999</v>
      </c>
    </row>
    <row r="104" spans="1:7" x14ac:dyDescent="0.2">
      <c r="A104" s="59" t="s">
        <v>2902</v>
      </c>
      <c r="B104" s="164">
        <f>SUM(C101:C103)</f>
        <v>0.95399999999999996</v>
      </c>
      <c r="C104" s="164"/>
      <c r="E104" s="59" t="s">
        <v>2902</v>
      </c>
      <c r="F104" s="164">
        <f>SUM(G101:G103)</f>
        <v>0.86499999999999999</v>
      </c>
      <c r="G104" s="164"/>
    </row>
    <row r="115" spans="2:2" x14ac:dyDescent="0.2">
      <c r="B115" s="20" t="s">
        <v>2918</v>
      </c>
    </row>
  </sheetData>
  <mergeCells count="128">
    <mergeCell ref="B100:C100"/>
    <mergeCell ref="F100:G100"/>
    <mergeCell ref="A101:A103"/>
    <mergeCell ref="E101:E103"/>
    <mergeCell ref="B104:C104"/>
    <mergeCell ref="F104:G104"/>
    <mergeCell ref="B97:C97"/>
    <mergeCell ref="F97:G97"/>
    <mergeCell ref="B98:C98"/>
    <mergeCell ref="F98:G98"/>
    <mergeCell ref="B99:C99"/>
    <mergeCell ref="F99:G99"/>
    <mergeCell ref="B94:C94"/>
    <mergeCell ref="F94:G94"/>
    <mergeCell ref="B95:C95"/>
    <mergeCell ref="F95:G95"/>
    <mergeCell ref="B96:C96"/>
    <mergeCell ref="F96:G96"/>
    <mergeCell ref="B91:C91"/>
    <mergeCell ref="F91:G91"/>
    <mergeCell ref="B92:C92"/>
    <mergeCell ref="F92:G92"/>
    <mergeCell ref="B93:C93"/>
    <mergeCell ref="F93:G93"/>
    <mergeCell ref="B84:C84"/>
    <mergeCell ref="F84:G84"/>
    <mergeCell ref="A85:A87"/>
    <mergeCell ref="E85:E87"/>
    <mergeCell ref="B88:C88"/>
    <mergeCell ref="F88:G88"/>
    <mergeCell ref="B81:C81"/>
    <mergeCell ref="F81:G81"/>
    <mergeCell ref="B82:C82"/>
    <mergeCell ref="F82:G82"/>
    <mergeCell ref="B83:C83"/>
    <mergeCell ref="F83:G83"/>
    <mergeCell ref="B79:C79"/>
    <mergeCell ref="F79:G79"/>
    <mergeCell ref="B80:C80"/>
    <mergeCell ref="F80:G80"/>
    <mergeCell ref="B75:C75"/>
    <mergeCell ref="F75:G75"/>
    <mergeCell ref="B76:C76"/>
    <mergeCell ref="F76:G76"/>
    <mergeCell ref="B77:C77"/>
    <mergeCell ref="F77:G77"/>
    <mergeCell ref="A21:A23"/>
    <mergeCell ref="B24:C24"/>
    <mergeCell ref="B16:C16"/>
    <mergeCell ref="B17:C17"/>
    <mergeCell ref="B18:C18"/>
    <mergeCell ref="B19:C19"/>
    <mergeCell ref="B20:C20"/>
    <mergeCell ref="B78:C78"/>
    <mergeCell ref="F78:G78"/>
    <mergeCell ref="B27:C27"/>
    <mergeCell ref="B28:C28"/>
    <mergeCell ref="B29:C29"/>
    <mergeCell ref="B30:C30"/>
    <mergeCell ref="B35:C35"/>
    <mergeCell ref="B56:C56"/>
    <mergeCell ref="B49:C49"/>
    <mergeCell ref="B50:C50"/>
    <mergeCell ref="B36:C36"/>
    <mergeCell ref="A69:A71"/>
    <mergeCell ref="A37:A39"/>
    <mergeCell ref="B40:C40"/>
    <mergeCell ref="B43:C43"/>
    <mergeCell ref="B51:C51"/>
    <mergeCell ref="B52:C52"/>
    <mergeCell ref="I4:J4"/>
    <mergeCell ref="I5:J5"/>
    <mergeCell ref="I6:J6"/>
    <mergeCell ref="I7:J7"/>
    <mergeCell ref="I8:J8"/>
    <mergeCell ref="K4:M4"/>
    <mergeCell ref="K5:M5"/>
    <mergeCell ref="K6:M6"/>
    <mergeCell ref="K7:M7"/>
    <mergeCell ref="K8:M8"/>
    <mergeCell ref="G4:H4"/>
    <mergeCell ref="D5:F5"/>
    <mergeCell ref="D4:F4"/>
    <mergeCell ref="D6:F6"/>
    <mergeCell ref="D7:F7"/>
    <mergeCell ref="D8:F8"/>
    <mergeCell ref="G5:H5"/>
    <mergeCell ref="G6:H6"/>
    <mergeCell ref="G7:H7"/>
    <mergeCell ref="G8:H8"/>
    <mergeCell ref="B59:C59"/>
    <mergeCell ref="B60:C60"/>
    <mergeCell ref="B61:C61"/>
    <mergeCell ref="B62:C62"/>
    <mergeCell ref="B63:C63"/>
    <mergeCell ref="B11:C11"/>
    <mergeCell ref="B12:C12"/>
    <mergeCell ref="B13:C13"/>
    <mergeCell ref="B14:C14"/>
    <mergeCell ref="B15:C15"/>
    <mergeCell ref="B31:C31"/>
    <mergeCell ref="B32:C32"/>
    <mergeCell ref="B33:C33"/>
    <mergeCell ref="B34:C34"/>
    <mergeCell ref="A53:A55"/>
    <mergeCell ref="B44:C44"/>
    <mergeCell ref="B45:C45"/>
    <mergeCell ref="B46:C46"/>
    <mergeCell ref="B47:C47"/>
    <mergeCell ref="B48:C48"/>
    <mergeCell ref="B72:C72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E69:E71"/>
    <mergeCell ref="F72:G72"/>
    <mergeCell ref="B64:C64"/>
    <mergeCell ref="B65:C65"/>
    <mergeCell ref="B66:C66"/>
    <mergeCell ref="B67:C67"/>
    <mergeCell ref="B68:C68"/>
  </mergeCells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0C3A-5DE9-474C-83A0-42EBF50BCD8B}">
  <dimension ref="A1:B40"/>
  <sheetViews>
    <sheetView topLeftCell="A7" workbookViewId="0">
      <selection activeCell="B28" sqref="B28"/>
    </sheetView>
  </sheetViews>
  <sheetFormatPr defaultRowHeight="16.5" x14ac:dyDescent="0.25"/>
  <cols>
    <col min="1" max="1" width="15.96875" bestFit="1" customWidth="1"/>
    <col min="2" max="2" width="72.5390625" customWidth="1"/>
  </cols>
  <sheetData>
    <row r="1" spans="1:2" x14ac:dyDescent="0.25">
      <c r="A1" s="28" t="s">
        <v>38</v>
      </c>
      <c r="B1" s="28" t="s">
        <v>39</v>
      </c>
    </row>
    <row r="2" spans="1:2" x14ac:dyDescent="0.25">
      <c r="A2" s="29">
        <v>45901</v>
      </c>
      <c r="B2" s="30" t="s">
        <v>2904</v>
      </c>
    </row>
    <row r="3" spans="1:2" x14ac:dyDescent="0.25">
      <c r="A3" s="62" t="s">
        <v>2905</v>
      </c>
      <c r="B3" s="30" t="s">
        <v>2922</v>
      </c>
    </row>
    <row r="4" spans="1:2" x14ac:dyDescent="0.25">
      <c r="A4" s="60" t="s">
        <v>2906</v>
      </c>
      <c r="B4" s="30" t="s">
        <v>2923</v>
      </c>
    </row>
    <row r="5" spans="1:2" x14ac:dyDescent="0.25">
      <c r="A5" s="28" t="s">
        <v>38</v>
      </c>
      <c r="B5" s="28" t="s">
        <v>39</v>
      </c>
    </row>
    <row r="6" spans="1:2" x14ac:dyDescent="0.25">
      <c r="A6" s="29">
        <v>45902</v>
      </c>
      <c r="B6" s="30" t="s">
        <v>2904</v>
      </c>
    </row>
    <row r="7" spans="1:2" x14ac:dyDescent="0.25">
      <c r="A7" s="62" t="s">
        <v>2905</v>
      </c>
      <c r="B7" s="30" t="s">
        <v>2922</v>
      </c>
    </row>
    <row r="8" spans="1:2" x14ac:dyDescent="0.25">
      <c r="A8" s="60" t="s">
        <v>2906</v>
      </c>
      <c r="B8" s="30" t="s">
        <v>2923</v>
      </c>
    </row>
    <row r="9" spans="1:2" x14ac:dyDescent="0.25">
      <c r="A9" s="28" t="s">
        <v>38</v>
      </c>
      <c r="B9" s="28" t="s">
        <v>39</v>
      </c>
    </row>
    <row r="10" spans="1:2" x14ac:dyDescent="0.25">
      <c r="A10" s="29">
        <v>45903</v>
      </c>
      <c r="B10" s="30" t="s">
        <v>2904</v>
      </c>
    </row>
    <row r="11" spans="1:2" x14ac:dyDescent="0.25">
      <c r="A11" s="62" t="s">
        <v>2905</v>
      </c>
      <c r="B11" s="30" t="s">
        <v>2922</v>
      </c>
    </row>
    <row r="12" spans="1:2" x14ac:dyDescent="0.25">
      <c r="A12" s="60" t="s">
        <v>2906</v>
      </c>
      <c r="B12" s="30" t="s">
        <v>2923</v>
      </c>
    </row>
    <row r="13" spans="1:2" x14ac:dyDescent="0.25">
      <c r="A13" s="28" t="s">
        <v>38</v>
      </c>
      <c r="B13" s="28" t="s">
        <v>39</v>
      </c>
    </row>
    <row r="14" spans="1:2" x14ac:dyDescent="0.25">
      <c r="A14" s="29">
        <v>45904</v>
      </c>
      <c r="B14" s="30" t="s">
        <v>2904</v>
      </c>
    </row>
    <row r="15" spans="1:2" x14ac:dyDescent="0.25">
      <c r="A15" s="62" t="s">
        <v>2905</v>
      </c>
      <c r="B15" s="30" t="s">
        <v>2922</v>
      </c>
    </row>
    <row r="16" spans="1:2" x14ac:dyDescent="0.25">
      <c r="A16" s="60" t="s">
        <v>2906</v>
      </c>
      <c r="B16" s="30" t="s">
        <v>2923</v>
      </c>
    </row>
    <row r="17" spans="1:2" x14ac:dyDescent="0.25">
      <c r="A17" s="28" t="s">
        <v>38</v>
      </c>
      <c r="B17" s="28" t="s">
        <v>39</v>
      </c>
    </row>
    <row r="18" spans="1:2" x14ac:dyDescent="0.25">
      <c r="A18" s="29">
        <v>45905</v>
      </c>
      <c r="B18" s="30" t="s">
        <v>2904</v>
      </c>
    </row>
    <row r="19" spans="1:2" x14ac:dyDescent="0.25">
      <c r="A19" s="62" t="s">
        <v>2905</v>
      </c>
      <c r="B19" s="30" t="s">
        <v>2922</v>
      </c>
    </row>
    <row r="20" spans="1:2" x14ac:dyDescent="0.25">
      <c r="A20" s="60" t="s">
        <v>2906</v>
      </c>
      <c r="B20" s="30" t="s">
        <v>2923</v>
      </c>
    </row>
    <row r="21" spans="1:2" x14ac:dyDescent="0.25">
      <c r="A21" s="28" t="s">
        <v>38</v>
      </c>
      <c r="B21" s="28" t="s">
        <v>39</v>
      </c>
    </row>
    <row r="22" spans="1:2" x14ac:dyDescent="0.25">
      <c r="A22" s="29">
        <v>45906</v>
      </c>
      <c r="B22" s="30" t="s">
        <v>2904</v>
      </c>
    </row>
    <row r="23" spans="1:2" x14ac:dyDescent="0.25">
      <c r="A23" s="62" t="s">
        <v>2905</v>
      </c>
      <c r="B23" s="30" t="s">
        <v>2924</v>
      </c>
    </row>
    <row r="24" spans="1:2" x14ac:dyDescent="0.25">
      <c r="A24" s="60" t="s">
        <v>2906</v>
      </c>
      <c r="B24" s="30" t="s">
        <v>2924</v>
      </c>
    </row>
    <row r="25" spans="1:2" x14ac:dyDescent="0.25">
      <c r="A25" s="28" t="s">
        <v>38</v>
      </c>
      <c r="B25" s="28" t="s">
        <v>39</v>
      </c>
    </row>
    <row r="26" spans="1:2" x14ac:dyDescent="0.25">
      <c r="A26" s="29">
        <v>45907</v>
      </c>
      <c r="B26" s="30" t="s">
        <v>2904</v>
      </c>
    </row>
    <row r="27" spans="1:2" x14ac:dyDescent="0.25">
      <c r="A27" s="62" t="s">
        <v>2905</v>
      </c>
      <c r="B27" s="30" t="s">
        <v>2924</v>
      </c>
    </row>
    <row r="28" spans="1:2" x14ac:dyDescent="0.25">
      <c r="A28" s="60" t="s">
        <v>2906</v>
      </c>
      <c r="B28" s="30" t="s">
        <v>2924</v>
      </c>
    </row>
    <row r="29" spans="1:2" x14ac:dyDescent="0.25">
      <c r="A29" s="28" t="s">
        <v>38</v>
      </c>
      <c r="B29" s="28" t="s">
        <v>39</v>
      </c>
    </row>
    <row r="30" spans="1:2" x14ac:dyDescent="0.25">
      <c r="A30" s="29">
        <v>45908</v>
      </c>
      <c r="B30" s="30" t="s">
        <v>2904</v>
      </c>
    </row>
    <row r="31" spans="1:2" x14ac:dyDescent="0.25">
      <c r="A31" s="62" t="s">
        <v>2905</v>
      </c>
      <c r="B31" s="30" t="s">
        <v>2922</v>
      </c>
    </row>
    <row r="32" spans="1:2" x14ac:dyDescent="0.25">
      <c r="A32" s="60" t="s">
        <v>2906</v>
      </c>
      <c r="B32" s="30" t="s">
        <v>2923</v>
      </c>
    </row>
    <row r="33" spans="1:2" x14ac:dyDescent="0.25">
      <c r="A33" s="28" t="s">
        <v>38</v>
      </c>
      <c r="B33" s="28" t="s">
        <v>39</v>
      </c>
    </row>
    <row r="34" spans="1:2" x14ac:dyDescent="0.25">
      <c r="A34" s="29">
        <v>45909</v>
      </c>
      <c r="B34" s="30" t="s">
        <v>2904</v>
      </c>
    </row>
    <row r="35" spans="1:2" x14ac:dyDescent="0.25">
      <c r="A35" s="62" t="s">
        <v>2905</v>
      </c>
      <c r="B35" s="30" t="s">
        <v>2922</v>
      </c>
    </row>
    <row r="36" spans="1:2" x14ac:dyDescent="0.25">
      <c r="A36" s="60" t="s">
        <v>2906</v>
      </c>
      <c r="B36" s="30" t="s">
        <v>2923</v>
      </c>
    </row>
    <row r="37" spans="1:2" x14ac:dyDescent="0.25">
      <c r="A37" s="28" t="s">
        <v>38</v>
      </c>
      <c r="B37" s="28" t="s">
        <v>39</v>
      </c>
    </row>
    <row r="38" spans="1:2" x14ac:dyDescent="0.25">
      <c r="A38" s="29">
        <v>45910</v>
      </c>
      <c r="B38" s="30" t="s">
        <v>2904</v>
      </c>
    </row>
    <row r="39" spans="1:2" x14ac:dyDescent="0.25">
      <c r="A39" s="62" t="s">
        <v>2905</v>
      </c>
      <c r="B39" s="30" t="s">
        <v>2922</v>
      </c>
    </row>
    <row r="40" spans="1:2" x14ac:dyDescent="0.25">
      <c r="A40" s="60" t="s">
        <v>2906</v>
      </c>
      <c r="B40" s="30" t="s">
        <v>2923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98BD-802E-457B-829D-6DA223340340}">
  <dimension ref="A1:M2842"/>
  <sheetViews>
    <sheetView zoomScale="75" zoomScaleNormal="75" workbookViewId="0">
      <selection activeCell="C1342" sqref="C1342"/>
    </sheetView>
  </sheetViews>
  <sheetFormatPr defaultColWidth="8.91015625" defaultRowHeight="12.75" x14ac:dyDescent="0.2"/>
  <cols>
    <col min="1" max="1" width="6.8046875" style="47" bestFit="1" customWidth="1"/>
    <col min="2" max="2" width="16.5859375" style="47" bestFit="1" customWidth="1"/>
    <col min="3" max="3" width="75.015625" style="47" bestFit="1" customWidth="1"/>
    <col min="4" max="16384" width="8.91015625" style="20"/>
  </cols>
  <sheetData>
    <row r="1" spans="1:3" x14ac:dyDescent="0.2">
      <c r="A1" s="43" t="s">
        <v>40</v>
      </c>
      <c r="B1" s="43" t="s">
        <v>41</v>
      </c>
      <c r="C1" s="43" t="s">
        <v>18</v>
      </c>
    </row>
    <row r="2" spans="1:3" x14ac:dyDescent="0.2">
      <c r="A2" s="43">
        <v>64</v>
      </c>
      <c r="B2" s="43" t="s">
        <v>42</v>
      </c>
      <c r="C2" s="43" t="s">
        <v>43</v>
      </c>
    </row>
    <row r="3" spans="1:3" x14ac:dyDescent="0.2">
      <c r="A3" s="43">
        <v>65</v>
      </c>
      <c r="B3" s="43" t="s">
        <v>42</v>
      </c>
      <c r="C3" s="43" t="s">
        <v>44</v>
      </c>
    </row>
    <row r="4" spans="1:3" x14ac:dyDescent="0.2">
      <c r="A4" s="43">
        <v>66</v>
      </c>
      <c r="B4" s="43" t="s">
        <v>42</v>
      </c>
      <c r="C4" s="43" t="s">
        <v>45</v>
      </c>
    </row>
    <row r="5" spans="1:3" x14ac:dyDescent="0.2">
      <c r="A5" s="43">
        <v>67</v>
      </c>
      <c r="B5" s="43" t="s">
        <v>42</v>
      </c>
      <c r="C5" s="43" t="s">
        <v>46</v>
      </c>
    </row>
    <row r="6" spans="1:3" x14ac:dyDescent="0.2">
      <c r="A6" s="43">
        <v>68</v>
      </c>
      <c r="B6" s="43" t="s">
        <v>42</v>
      </c>
      <c r="C6" s="43" t="s">
        <v>47</v>
      </c>
    </row>
    <row r="7" spans="1:3" x14ac:dyDescent="0.2">
      <c r="A7" s="43">
        <v>69</v>
      </c>
      <c r="B7" s="43" t="s">
        <v>42</v>
      </c>
      <c r="C7" s="43" t="s">
        <v>48</v>
      </c>
    </row>
    <row r="8" spans="1:3" x14ac:dyDescent="0.2">
      <c r="A8" s="43">
        <v>70</v>
      </c>
      <c r="B8" s="43" t="s">
        <v>42</v>
      </c>
      <c r="C8" s="43" t="s">
        <v>49</v>
      </c>
    </row>
    <row r="9" spans="1:3" x14ac:dyDescent="0.2">
      <c r="A9" s="43">
        <v>71</v>
      </c>
      <c r="B9" s="43" t="s">
        <v>42</v>
      </c>
      <c r="C9" s="43" t="s">
        <v>50</v>
      </c>
    </row>
    <row r="10" spans="1:3" x14ac:dyDescent="0.2">
      <c r="A10" s="43">
        <v>72</v>
      </c>
      <c r="B10" s="43" t="s">
        <v>42</v>
      </c>
      <c r="C10" s="43" t="s">
        <v>51</v>
      </c>
    </row>
    <row r="11" spans="1:3" x14ac:dyDescent="0.2">
      <c r="A11" s="43">
        <v>73</v>
      </c>
      <c r="B11" s="43" t="s">
        <v>42</v>
      </c>
      <c r="C11" s="43" t="s">
        <v>52</v>
      </c>
    </row>
    <row r="12" spans="1:3" x14ac:dyDescent="0.2">
      <c r="A12" s="43">
        <v>74</v>
      </c>
      <c r="B12" s="43" t="s">
        <v>42</v>
      </c>
      <c r="C12" s="43" t="s">
        <v>53</v>
      </c>
    </row>
    <row r="13" spans="1:3" x14ac:dyDescent="0.2">
      <c r="A13" s="43">
        <v>80</v>
      </c>
      <c r="B13" s="43" t="s">
        <v>42</v>
      </c>
      <c r="C13" s="43" t="s">
        <v>54</v>
      </c>
    </row>
    <row r="14" spans="1:3" x14ac:dyDescent="0.2">
      <c r="A14" s="43">
        <v>81</v>
      </c>
      <c r="B14" s="43" t="s">
        <v>42</v>
      </c>
      <c r="C14" s="43" t="s">
        <v>55</v>
      </c>
    </row>
    <row r="15" spans="1:3" x14ac:dyDescent="0.2">
      <c r="A15" s="43">
        <v>82</v>
      </c>
      <c r="B15" s="43" t="s">
        <v>42</v>
      </c>
      <c r="C15" s="43" t="s">
        <v>56</v>
      </c>
    </row>
    <row r="16" spans="1:3" x14ac:dyDescent="0.2">
      <c r="A16" s="43">
        <v>83</v>
      </c>
      <c r="B16" s="43" t="s">
        <v>42</v>
      </c>
      <c r="C16" s="43" t="s">
        <v>57</v>
      </c>
    </row>
    <row r="17" spans="1:3" x14ac:dyDescent="0.2">
      <c r="A17" s="43">
        <v>84</v>
      </c>
      <c r="B17" s="43" t="s">
        <v>42</v>
      </c>
      <c r="C17" s="43" t="s">
        <v>58</v>
      </c>
    </row>
    <row r="18" spans="1:3" x14ac:dyDescent="0.2">
      <c r="A18" s="43">
        <v>85</v>
      </c>
      <c r="B18" s="43" t="s">
        <v>42</v>
      </c>
      <c r="C18" s="43" t="s">
        <v>59</v>
      </c>
    </row>
    <row r="19" spans="1:3" x14ac:dyDescent="0.2">
      <c r="A19" s="43">
        <v>86</v>
      </c>
      <c r="B19" s="43" t="s">
        <v>42</v>
      </c>
      <c r="C19" s="43" t="s">
        <v>60</v>
      </c>
    </row>
    <row r="20" spans="1:3" x14ac:dyDescent="0.2">
      <c r="A20" s="43">
        <v>87</v>
      </c>
      <c r="B20" s="43" t="s">
        <v>42</v>
      </c>
      <c r="C20" s="43" t="s">
        <v>61</v>
      </c>
    </row>
    <row r="21" spans="1:3" x14ac:dyDescent="0.2">
      <c r="A21" s="43">
        <v>88</v>
      </c>
      <c r="B21" s="43" t="s">
        <v>42</v>
      </c>
      <c r="C21" s="43" t="s">
        <v>62</v>
      </c>
    </row>
    <row r="22" spans="1:3" x14ac:dyDescent="0.2">
      <c r="A22" s="43">
        <v>89</v>
      </c>
      <c r="B22" s="43" t="s">
        <v>42</v>
      </c>
      <c r="C22" s="43" t="s">
        <v>63</v>
      </c>
    </row>
    <row r="23" spans="1:3" x14ac:dyDescent="0.2">
      <c r="A23" s="43">
        <v>90</v>
      </c>
      <c r="B23" s="43" t="s">
        <v>42</v>
      </c>
      <c r="C23" s="43" t="s">
        <v>64</v>
      </c>
    </row>
    <row r="24" spans="1:3" x14ac:dyDescent="0.2">
      <c r="A24" s="43">
        <v>96</v>
      </c>
      <c r="B24" s="43" t="s">
        <v>42</v>
      </c>
      <c r="C24" s="43" t="s">
        <v>65</v>
      </c>
    </row>
    <row r="25" spans="1:3" x14ac:dyDescent="0.2">
      <c r="A25" s="43">
        <v>97</v>
      </c>
      <c r="B25" s="43" t="s">
        <v>42</v>
      </c>
      <c r="C25" s="43" t="s">
        <v>66</v>
      </c>
    </row>
    <row r="26" spans="1:3" x14ac:dyDescent="0.2">
      <c r="A26" s="43">
        <v>98</v>
      </c>
      <c r="B26" s="43" t="s">
        <v>42</v>
      </c>
      <c r="C26" s="43" t="s">
        <v>67</v>
      </c>
    </row>
    <row r="27" spans="1:3" x14ac:dyDescent="0.2">
      <c r="A27" s="43">
        <v>99</v>
      </c>
      <c r="B27" s="43" t="s">
        <v>42</v>
      </c>
      <c r="C27" s="43" t="s">
        <v>68</v>
      </c>
    </row>
    <row r="28" spans="1:3" x14ac:dyDescent="0.2">
      <c r="A28" s="43">
        <v>100</v>
      </c>
      <c r="B28" s="43" t="s">
        <v>42</v>
      </c>
      <c r="C28" s="43" t="s">
        <v>69</v>
      </c>
    </row>
    <row r="29" spans="1:3" x14ac:dyDescent="0.2">
      <c r="A29" s="43">
        <v>101</v>
      </c>
      <c r="B29" s="43" t="s">
        <v>42</v>
      </c>
      <c r="C29" s="43" t="s">
        <v>70</v>
      </c>
    </row>
    <row r="30" spans="1:3" x14ac:dyDescent="0.2">
      <c r="A30" s="43">
        <v>102</v>
      </c>
      <c r="B30" s="43" t="s">
        <v>42</v>
      </c>
      <c r="C30" s="43" t="s">
        <v>71</v>
      </c>
    </row>
    <row r="31" spans="1:3" x14ac:dyDescent="0.2">
      <c r="A31" s="43">
        <v>103</v>
      </c>
      <c r="B31" s="43" t="s">
        <v>42</v>
      </c>
      <c r="C31" s="43" t="s">
        <v>72</v>
      </c>
    </row>
    <row r="32" spans="1:3" x14ac:dyDescent="0.2">
      <c r="A32" s="43">
        <v>104</v>
      </c>
      <c r="B32" s="43" t="s">
        <v>42</v>
      </c>
      <c r="C32" s="43" t="s">
        <v>73</v>
      </c>
    </row>
    <row r="33" spans="1:3" x14ac:dyDescent="0.2">
      <c r="A33" s="43">
        <v>105</v>
      </c>
      <c r="B33" s="43" t="s">
        <v>42</v>
      </c>
      <c r="C33" s="43" t="s">
        <v>74</v>
      </c>
    </row>
    <row r="34" spans="1:3" x14ac:dyDescent="0.2">
      <c r="A34" s="43">
        <v>106</v>
      </c>
      <c r="B34" s="43" t="s">
        <v>42</v>
      </c>
      <c r="C34" s="43" t="s">
        <v>75</v>
      </c>
    </row>
    <row r="35" spans="1:3" x14ac:dyDescent="0.2">
      <c r="A35" s="43">
        <v>112</v>
      </c>
      <c r="B35" s="43" t="s">
        <v>42</v>
      </c>
      <c r="C35" s="43" t="s">
        <v>76</v>
      </c>
    </row>
    <row r="36" spans="1:3" x14ac:dyDescent="0.2">
      <c r="A36" s="43">
        <v>113</v>
      </c>
      <c r="B36" s="43" t="s">
        <v>42</v>
      </c>
      <c r="C36" s="43" t="s">
        <v>77</v>
      </c>
    </row>
    <row r="37" spans="1:3" x14ac:dyDescent="0.2">
      <c r="A37" s="43">
        <v>114</v>
      </c>
      <c r="B37" s="43" t="s">
        <v>42</v>
      </c>
      <c r="C37" s="43" t="s">
        <v>78</v>
      </c>
    </row>
    <row r="38" spans="1:3" x14ac:dyDescent="0.2">
      <c r="A38" s="43">
        <v>115</v>
      </c>
      <c r="B38" s="43" t="s">
        <v>42</v>
      </c>
      <c r="C38" s="43" t="s">
        <v>79</v>
      </c>
    </row>
    <row r="39" spans="1:3" x14ac:dyDescent="0.2">
      <c r="A39" s="43">
        <v>116</v>
      </c>
      <c r="B39" s="43" t="s">
        <v>42</v>
      </c>
      <c r="C39" s="43" t="s">
        <v>80</v>
      </c>
    </row>
    <row r="40" spans="1:3" x14ac:dyDescent="0.2">
      <c r="A40" s="43">
        <v>117</v>
      </c>
      <c r="B40" s="43" t="s">
        <v>42</v>
      </c>
      <c r="C40" s="43" t="s">
        <v>81</v>
      </c>
    </row>
    <row r="41" spans="1:3" x14ac:dyDescent="0.2">
      <c r="A41" s="43">
        <v>118</v>
      </c>
      <c r="B41" s="43" t="s">
        <v>42</v>
      </c>
      <c r="C41" s="43" t="s">
        <v>82</v>
      </c>
    </row>
    <row r="42" spans="1:3" x14ac:dyDescent="0.2">
      <c r="A42" s="43">
        <v>119</v>
      </c>
      <c r="B42" s="43" t="s">
        <v>42</v>
      </c>
      <c r="C42" s="43" t="s">
        <v>83</v>
      </c>
    </row>
    <row r="43" spans="1:3" x14ac:dyDescent="0.2">
      <c r="A43" s="43">
        <v>120</v>
      </c>
      <c r="B43" s="43" t="s">
        <v>42</v>
      </c>
      <c r="C43" s="43" t="s">
        <v>84</v>
      </c>
    </row>
    <row r="44" spans="1:3" x14ac:dyDescent="0.2">
      <c r="A44" s="43">
        <v>121</v>
      </c>
      <c r="B44" s="43" t="s">
        <v>42</v>
      </c>
      <c r="C44" s="43" t="s">
        <v>85</v>
      </c>
    </row>
    <row r="45" spans="1:3" x14ac:dyDescent="0.2">
      <c r="A45" s="43">
        <v>122</v>
      </c>
      <c r="B45" s="43" t="s">
        <v>42</v>
      </c>
      <c r="C45" s="43" t="s">
        <v>86</v>
      </c>
    </row>
    <row r="46" spans="1:3" x14ac:dyDescent="0.2">
      <c r="A46" s="43">
        <v>128</v>
      </c>
      <c r="B46" s="43" t="s">
        <v>42</v>
      </c>
      <c r="C46" s="43" t="s">
        <v>87</v>
      </c>
    </row>
    <row r="47" spans="1:3" x14ac:dyDescent="0.2">
      <c r="A47" s="43">
        <v>129</v>
      </c>
      <c r="B47" s="43" t="s">
        <v>42</v>
      </c>
      <c r="C47" s="43" t="s">
        <v>88</v>
      </c>
    </row>
    <row r="48" spans="1:3" x14ac:dyDescent="0.2">
      <c r="A48" s="43">
        <v>130</v>
      </c>
      <c r="B48" s="43" t="s">
        <v>42</v>
      </c>
      <c r="C48" s="43" t="s">
        <v>89</v>
      </c>
    </row>
    <row r="49" spans="1:3" x14ac:dyDescent="0.2">
      <c r="A49" s="43">
        <v>131</v>
      </c>
      <c r="B49" s="43" t="s">
        <v>42</v>
      </c>
      <c r="C49" s="43" t="s">
        <v>90</v>
      </c>
    </row>
    <row r="50" spans="1:3" x14ac:dyDescent="0.2">
      <c r="A50" s="43">
        <v>132</v>
      </c>
      <c r="B50" s="43" t="s">
        <v>42</v>
      </c>
      <c r="C50" s="43" t="s">
        <v>91</v>
      </c>
    </row>
    <row r="51" spans="1:3" x14ac:dyDescent="0.2">
      <c r="A51" s="43">
        <v>133</v>
      </c>
      <c r="B51" s="43" t="s">
        <v>42</v>
      </c>
      <c r="C51" s="43" t="s">
        <v>92</v>
      </c>
    </row>
    <row r="52" spans="1:3" x14ac:dyDescent="0.2">
      <c r="A52" s="43">
        <v>134</v>
      </c>
      <c r="B52" s="43" t="s">
        <v>42</v>
      </c>
      <c r="C52" s="43" t="s">
        <v>93</v>
      </c>
    </row>
    <row r="53" spans="1:3" x14ac:dyDescent="0.2">
      <c r="A53" s="43">
        <v>135</v>
      </c>
      <c r="B53" s="43" t="s">
        <v>42</v>
      </c>
      <c r="C53" s="43" t="s">
        <v>94</v>
      </c>
    </row>
    <row r="54" spans="1:3" x14ac:dyDescent="0.2">
      <c r="A54" s="43">
        <v>136</v>
      </c>
      <c r="B54" s="43" t="s">
        <v>42</v>
      </c>
      <c r="C54" s="43" t="s">
        <v>95</v>
      </c>
    </row>
    <row r="55" spans="1:3" x14ac:dyDescent="0.2">
      <c r="A55" s="43">
        <v>137</v>
      </c>
      <c r="B55" s="43" t="s">
        <v>42</v>
      </c>
      <c r="C55" s="43" t="s">
        <v>96</v>
      </c>
    </row>
    <row r="56" spans="1:3" x14ac:dyDescent="0.2">
      <c r="A56" s="43">
        <v>138</v>
      </c>
      <c r="B56" s="43" t="s">
        <v>42</v>
      </c>
      <c r="C56" s="43" t="s">
        <v>97</v>
      </c>
    </row>
    <row r="57" spans="1:3" x14ac:dyDescent="0.2">
      <c r="A57" s="43">
        <v>144</v>
      </c>
      <c r="B57" s="43" t="s">
        <v>42</v>
      </c>
      <c r="C57" s="43" t="s">
        <v>98</v>
      </c>
    </row>
    <row r="58" spans="1:3" x14ac:dyDescent="0.2">
      <c r="A58" s="43">
        <v>145</v>
      </c>
      <c r="B58" s="43" t="s">
        <v>42</v>
      </c>
      <c r="C58" s="43" t="s">
        <v>99</v>
      </c>
    </row>
    <row r="59" spans="1:3" x14ac:dyDescent="0.2">
      <c r="A59" s="43">
        <v>146</v>
      </c>
      <c r="B59" s="43" t="s">
        <v>42</v>
      </c>
      <c r="C59" s="43" t="s">
        <v>100</v>
      </c>
    </row>
    <row r="60" spans="1:3" x14ac:dyDescent="0.2">
      <c r="A60" s="43">
        <v>147</v>
      </c>
      <c r="B60" s="43" t="s">
        <v>42</v>
      </c>
      <c r="C60" s="43" t="s">
        <v>101</v>
      </c>
    </row>
    <row r="61" spans="1:3" x14ac:dyDescent="0.2">
      <c r="A61" s="43">
        <v>148</v>
      </c>
      <c r="B61" s="43" t="s">
        <v>42</v>
      </c>
      <c r="C61" s="43" t="s">
        <v>102</v>
      </c>
    </row>
    <row r="62" spans="1:3" x14ac:dyDescent="0.2">
      <c r="A62" s="43">
        <v>149</v>
      </c>
      <c r="B62" s="43" t="s">
        <v>42</v>
      </c>
      <c r="C62" s="43" t="s">
        <v>103</v>
      </c>
    </row>
    <row r="63" spans="1:3" x14ac:dyDescent="0.2">
      <c r="A63" s="43">
        <v>150</v>
      </c>
      <c r="B63" s="43" t="s">
        <v>42</v>
      </c>
      <c r="C63" s="43" t="s">
        <v>104</v>
      </c>
    </row>
    <row r="64" spans="1:3" x14ac:dyDescent="0.2">
      <c r="A64" s="43">
        <v>151</v>
      </c>
      <c r="B64" s="43" t="s">
        <v>42</v>
      </c>
      <c r="C64" s="43" t="s">
        <v>105</v>
      </c>
    </row>
    <row r="65" spans="1:3" x14ac:dyDescent="0.2">
      <c r="A65" s="43">
        <v>152</v>
      </c>
      <c r="B65" s="43" t="s">
        <v>42</v>
      </c>
      <c r="C65" s="43" t="s">
        <v>106</v>
      </c>
    </row>
    <row r="66" spans="1:3" x14ac:dyDescent="0.2">
      <c r="A66" s="43">
        <v>153</v>
      </c>
      <c r="B66" s="43" t="s">
        <v>42</v>
      </c>
      <c r="C66" s="43" t="s">
        <v>107</v>
      </c>
    </row>
    <row r="67" spans="1:3" x14ac:dyDescent="0.2">
      <c r="A67" s="43">
        <v>154</v>
      </c>
      <c r="B67" s="43" t="s">
        <v>42</v>
      </c>
      <c r="C67" s="43" t="s">
        <v>108</v>
      </c>
    </row>
    <row r="68" spans="1:3" x14ac:dyDescent="0.2">
      <c r="A68" s="43">
        <v>1064</v>
      </c>
      <c r="B68" s="43" t="s">
        <v>42</v>
      </c>
      <c r="C68" s="43" t="s">
        <v>109</v>
      </c>
    </row>
    <row r="69" spans="1:3" x14ac:dyDescent="0.2">
      <c r="A69" s="43">
        <v>1065</v>
      </c>
      <c r="B69" s="43" t="s">
        <v>42</v>
      </c>
      <c r="C69" s="43" t="s">
        <v>110</v>
      </c>
    </row>
    <row r="70" spans="1:3" x14ac:dyDescent="0.2">
      <c r="A70" s="43">
        <v>1066</v>
      </c>
      <c r="B70" s="43" t="s">
        <v>42</v>
      </c>
      <c r="C70" s="43" t="s">
        <v>111</v>
      </c>
    </row>
    <row r="71" spans="1:3" x14ac:dyDescent="0.2">
      <c r="A71" s="43">
        <v>1067</v>
      </c>
      <c r="B71" s="43" t="s">
        <v>42</v>
      </c>
      <c r="C71" s="43" t="s">
        <v>112</v>
      </c>
    </row>
    <row r="72" spans="1:3" x14ac:dyDescent="0.2">
      <c r="A72" s="43">
        <v>1068</v>
      </c>
      <c r="B72" s="43" t="s">
        <v>42</v>
      </c>
      <c r="C72" s="43" t="s">
        <v>113</v>
      </c>
    </row>
    <row r="73" spans="1:3" x14ac:dyDescent="0.2">
      <c r="A73" s="43">
        <v>1069</v>
      </c>
      <c r="B73" s="43" t="s">
        <v>42</v>
      </c>
      <c r="C73" s="43" t="s">
        <v>114</v>
      </c>
    </row>
    <row r="74" spans="1:3" x14ac:dyDescent="0.2">
      <c r="A74" s="43">
        <v>1070</v>
      </c>
      <c r="B74" s="43" t="s">
        <v>42</v>
      </c>
      <c r="C74" s="43" t="s">
        <v>115</v>
      </c>
    </row>
    <row r="75" spans="1:3" x14ac:dyDescent="0.2">
      <c r="A75" s="43">
        <v>1071</v>
      </c>
      <c r="B75" s="43" t="s">
        <v>42</v>
      </c>
      <c r="C75" s="43" t="s">
        <v>116</v>
      </c>
    </row>
    <row r="76" spans="1:3" x14ac:dyDescent="0.2">
      <c r="A76" s="43">
        <v>1072</v>
      </c>
      <c r="B76" s="43" t="s">
        <v>42</v>
      </c>
      <c r="C76" s="43" t="s">
        <v>117</v>
      </c>
    </row>
    <row r="77" spans="1:3" x14ac:dyDescent="0.2">
      <c r="A77" s="43">
        <v>1073</v>
      </c>
      <c r="B77" s="43" t="s">
        <v>42</v>
      </c>
      <c r="C77" s="43" t="s">
        <v>118</v>
      </c>
    </row>
    <row r="78" spans="1:3" x14ac:dyDescent="0.2">
      <c r="A78" s="43">
        <v>1074</v>
      </c>
      <c r="B78" s="43" t="s">
        <v>42</v>
      </c>
      <c r="C78" s="43" t="s">
        <v>119</v>
      </c>
    </row>
    <row r="79" spans="1:3" x14ac:dyDescent="0.2">
      <c r="A79" s="43">
        <v>1080</v>
      </c>
      <c r="B79" s="43" t="s">
        <v>42</v>
      </c>
      <c r="C79" s="43" t="s">
        <v>120</v>
      </c>
    </row>
    <row r="80" spans="1:3" x14ac:dyDescent="0.2">
      <c r="A80" s="43">
        <v>1081</v>
      </c>
      <c r="B80" s="43" t="s">
        <v>42</v>
      </c>
      <c r="C80" s="43" t="s">
        <v>121</v>
      </c>
    </row>
    <row r="81" spans="1:3" x14ac:dyDescent="0.2">
      <c r="A81" s="43">
        <v>1082</v>
      </c>
      <c r="B81" s="43" t="s">
        <v>42</v>
      </c>
      <c r="C81" s="43" t="s">
        <v>122</v>
      </c>
    </row>
    <row r="82" spans="1:3" x14ac:dyDescent="0.2">
      <c r="A82" s="43">
        <v>1083</v>
      </c>
      <c r="B82" s="43" t="s">
        <v>42</v>
      </c>
      <c r="C82" s="43" t="s">
        <v>123</v>
      </c>
    </row>
    <row r="83" spans="1:3" x14ac:dyDescent="0.2">
      <c r="A83" s="43">
        <v>1084</v>
      </c>
      <c r="B83" s="43" t="s">
        <v>42</v>
      </c>
      <c r="C83" s="43" t="s">
        <v>124</v>
      </c>
    </row>
    <row r="84" spans="1:3" x14ac:dyDescent="0.2">
      <c r="A84" s="43">
        <v>1085</v>
      </c>
      <c r="B84" s="43" t="s">
        <v>42</v>
      </c>
      <c r="C84" s="43" t="s">
        <v>125</v>
      </c>
    </row>
    <row r="85" spans="1:3" x14ac:dyDescent="0.2">
      <c r="A85" s="43">
        <v>1086</v>
      </c>
      <c r="B85" s="43" t="s">
        <v>42</v>
      </c>
      <c r="C85" s="43" t="s">
        <v>126</v>
      </c>
    </row>
    <row r="86" spans="1:3" x14ac:dyDescent="0.2">
      <c r="A86" s="43">
        <v>1087</v>
      </c>
      <c r="B86" s="43" t="s">
        <v>42</v>
      </c>
      <c r="C86" s="43" t="s">
        <v>127</v>
      </c>
    </row>
    <row r="87" spans="1:3" x14ac:dyDescent="0.2">
      <c r="A87" s="43">
        <v>1088</v>
      </c>
      <c r="B87" s="43" t="s">
        <v>42</v>
      </c>
      <c r="C87" s="43" t="s">
        <v>128</v>
      </c>
    </row>
    <row r="88" spans="1:3" x14ac:dyDescent="0.2">
      <c r="A88" s="43">
        <v>1089</v>
      </c>
      <c r="B88" s="43" t="s">
        <v>42</v>
      </c>
      <c r="C88" s="43" t="s">
        <v>129</v>
      </c>
    </row>
    <row r="89" spans="1:3" x14ac:dyDescent="0.2">
      <c r="A89" s="43">
        <v>1090</v>
      </c>
      <c r="B89" s="43" t="s">
        <v>42</v>
      </c>
      <c r="C89" s="43" t="s">
        <v>130</v>
      </c>
    </row>
    <row r="90" spans="1:3" x14ac:dyDescent="0.2">
      <c r="A90" s="43">
        <v>1096</v>
      </c>
      <c r="B90" s="43" t="s">
        <v>42</v>
      </c>
      <c r="C90" s="43" t="s">
        <v>131</v>
      </c>
    </row>
    <row r="91" spans="1:3" x14ac:dyDescent="0.2">
      <c r="A91" s="43">
        <v>1097</v>
      </c>
      <c r="B91" s="43" t="s">
        <v>42</v>
      </c>
      <c r="C91" s="43" t="s">
        <v>132</v>
      </c>
    </row>
    <row r="92" spans="1:3" x14ac:dyDescent="0.2">
      <c r="A92" s="43">
        <v>1098</v>
      </c>
      <c r="B92" s="43" t="s">
        <v>42</v>
      </c>
      <c r="C92" s="43" t="s">
        <v>133</v>
      </c>
    </row>
    <row r="93" spans="1:3" x14ac:dyDescent="0.2">
      <c r="A93" s="43">
        <v>1099</v>
      </c>
      <c r="B93" s="43" t="s">
        <v>42</v>
      </c>
      <c r="C93" s="43" t="s">
        <v>134</v>
      </c>
    </row>
    <row r="94" spans="1:3" x14ac:dyDescent="0.2">
      <c r="A94" s="43">
        <v>1100</v>
      </c>
      <c r="B94" s="43" t="s">
        <v>42</v>
      </c>
      <c r="C94" s="43" t="s">
        <v>135</v>
      </c>
    </row>
    <row r="95" spans="1:3" x14ac:dyDescent="0.2">
      <c r="A95" s="43">
        <v>1101</v>
      </c>
      <c r="B95" s="43" t="s">
        <v>42</v>
      </c>
      <c r="C95" s="43" t="s">
        <v>136</v>
      </c>
    </row>
    <row r="96" spans="1:3" x14ac:dyDescent="0.2">
      <c r="A96" s="43">
        <v>1102</v>
      </c>
      <c r="B96" s="43" t="s">
        <v>42</v>
      </c>
      <c r="C96" s="43" t="s">
        <v>137</v>
      </c>
    </row>
    <row r="97" spans="1:3" x14ac:dyDescent="0.2">
      <c r="A97" s="43">
        <v>1103</v>
      </c>
      <c r="B97" s="43" t="s">
        <v>42</v>
      </c>
      <c r="C97" s="43" t="s">
        <v>138</v>
      </c>
    </row>
    <row r="98" spans="1:3" x14ac:dyDescent="0.2">
      <c r="A98" s="43">
        <v>1104</v>
      </c>
      <c r="B98" s="43" t="s">
        <v>42</v>
      </c>
      <c r="C98" s="43" t="s">
        <v>139</v>
      </c>
    </row>
    <row r="99" spans="1:3" x14ac:dyDescent="0.2">
      <c r="A99" s="43">
        <v>1105</v>
      </c>
      <c r="B99" s="43" t="s">
        <v>42</v>
      </c>
      <c r="C99" s="43" t="s">
        <v>140</v>
      </c>
    </row>
    <row r="100" spans="1:3" x14ac:dyDescent="0.2">
      <c r="A100" s="43">
        <v>1106</v>
      </c>
      <c r="B100" s="43" t="s">
        <v>42</v>
      </c>
      <c r="C100" s="43" t="s">
        <v>141</v>
      </c>
    </row>
    <row r="101" spans="1:3" x14ac:dyDescent="0.2">
      <c r="A101" s="43">
        <v>1112</v>
      </c>
      <c r="B101" s="43" t="s">
        <v>42</v>
      </c>
      <c r="C101" s="43" t="s">
        <v>142</v>
      </c>
    </row>
    <row r="102" spans="1:3" x14ac:dyDescent="0.2">
      <c r="A102" s="43">
        <v>1113</v>
      </c>
      <c r="B102" s="43" t="s">
        <v>42</v>
      </c>
      <c r="C102" s="43" t="s">
        <v>143</v>
      </c>
    </row>
    <row r="103" spans="1:3" x14ac:dyDescent="0.2">
      <c r="A103" s="43">
        <v>1114</v>
      </c>
      <c r="B103" s="43" t="s">
        <v>42</v>
      </c>
      <c r="C103" s="43" t="s">
        <v>144</v>
      </c>
    </row>
    <row r="104" spans="1:3" x14ac:dyDescent="0.2">
      <c r="A104" s="43">
        <v>1115</v>
      </c>
      <c r="B104" s="43" t="s">
        <v>42</v>
      </c>
      <c r="C104" s="43" t="s">
        <v>145</v>
      </c>
    </row>
    <row r="105" spans="1:3" x14ac:dyDescent="0.2">
      <c r="A105" s="43">
        <v>1116</v>
      </c>
      <c r="B105" s="43" t="s">
        <v>42</v>
      </c>
      <c r="C105" s="43" t="s">
        <v>146</v>
      </c>
    </row>
    <row r="106" spans="1:3" x14ac:dyDescent="0.2">
      <c r="A106" s="43">
        <v>1117</v>
      </c>
      <c r="B106" s="43" t="s">
        <v>42</v>
      </c>
      <c r="C106" s="43" t="s">
        <v>147</v>
      </c>
    </row>
    <row r="107" spans="1:3" x14ac:dyDescent="0.2">
      <c r="A107" s="43">
        <v>1118</v>
      </c>
      <c r="B107" s="43" t="s">
        <v>42</v>
      </c>
      <c r="C107" s="43" t="s">
        <v>148</v>
      </c>
    </row>
    <row r="108" spans="1:3" x14ac:dyDescent="0.2">
      <c r="A108" s="43">
        <v>1119</v>
      </c>
      <c r="B108" s="43" t="s">
        <v>42</v>
      </c>
      <c r="C108" s="43" t="s">
        <v>149</v>
      </c>
    </row>
    <row r="109" spans="1:3" x14ac:dyDescent="0.2">
      <c r="A109" s="43">
        <v>1120</v>
      </c>
      <c r="B109" s="43" t="s">
        <v>42</v>
      </c>
      <c r="C109" s="43" t="s">
        <v>150</v>
      </c>
    </row>
    <row r="110" spans="1:3" x14ac:dyDescent="0.2">
      <c r="A110" s="43">
        <v>1121</v>
      </c>
      <c r="B110" s="43" t="s">
        <v>42</v>
      </c>
      <c r="C110" s="43" t="s">
        <v>151</v>
      </c>
    </row>
    <row r="111" spans="1:3" x14ac:dyDescent="0.2">
      <c r="A111" s="43">
        <v>1122</v>
      </c>
      <c r="B111" s="43" t="s">
        <v>42</v>
      </c>
      <c r="C111" s="43" t="s">
        <v>152</v>
      </c>
    </row>
    <row r="112" spans="1:3" x14ac:dyDescent="0.2">
      <c r="A112" s="43">
        <v>1128</v>
      </c>
      <c r="B112" s="43" t="s">
        <v>42</v>
      </c>
      <c r="C112" s="43" t="s">
        <v>153</v>
      </c>
    </row>
    <row r="113" spans="1:3" x14ac:dyDescent="0.2">
      <c r="A113" s="43">
        <v>1129</v>
      </c>
      <c r="B113" s="43" t="s">
        <v>42</v>
      </c>
      <c r="C113" s="43" t="s">
        <v>154</v>
      </c>
    </row>
    <row r="114" spans="1:3" x14ac:dyDescent="0.2">
      <c r="A114" s="43">
        <v>1130</v>
      </c>
      <c r="B114" s="43" t="s">
        <v>42</v>
      </c>
      <c r="C114" s="43" t="s">
        <v>155</v>
      </c>
    </row>
    <row r="115" spans="1:3" x14ac:dyDescent="0.2">
      <c r="A115" s="43">
        <v>1131</v>
      </c>
      <c r="B115" s="43" t="s">
        <v>42</v>
      </c>
      <c r="C115" s="43" t="s">
        <v>156</v>
      </c>
    </row>
    <row r="116" spans="1:3" x14ac:dyDescent="0.2">
      <c r="A116" s="43">
        <v>1132</v>
      </c>
      <c r="B116" s="43" t="s">
        <v>42</v>
      </c>
      <c r="C116" s="43" t="s">
        <v>157</v>
      </c>
    </row>
    <row r="117" spans="1:3" x14ac:dyDescent="0.2">
      <c r="A117" s="43">
        <v>1133</v>
      </c>
      <c r="B117" s="43" t="s">
        <v>42</v>
      </c>
      <c r="C117" s="43" t="s">
        <v>158</v>
      </c>
    </row>
    <row r="118" spans="1:3" x14ac:dyDescent="0.2">
      <c r="A118" s="43">
        <v>1134</v>
      </c>
      <c r="B118" s="43" t="s">
        <v>42</v>
      </c>
      <c r="C118" s="43" t="s">
        <v>159</v>
      </c>
    </row>
    <row r="119" spans="1:3" x14ac:dyDescent="0.2">
      <c r="A119" s="43">
        <v>1135</v>
      </c>
      <c r="B119" s="43" t="s">
        <v>42</v>
      </c>
      <c r="C119" s="43" t="s">
        <v>160</v>
      </c>
    </row>
    <row r="120" spans="1:3" x14ac:dyDescent="0.2">
      <c r="A120" s="43">
        <v>1136</v>
      </c>
      <c r="B120" s="43" t="s">
        <v>42</v>
      </c>
      <c r="C120" s="43" t="s">
        <v>161</v>
      </c>
    </row>
    <row r="121" spans="1:3" x14ac:dyDescent="0.2">
      <c r="A121" s="43">
        <v>1137</v>
      </c>
      <c r="B121" s="43" t="s">
        <v>42</v>
      </c>
      <c r="C121" s="43" t="s">
        <v>162</v>
      </c>
    </row>
    <row r="122" spans="1:3" x14ac:dyDescent="0.2">
      <c r="A122" s="43">
        <v>1138</v>
      </c>
      <c r="B122" s="43" t="s">
        <v>42</v>
      </c>
      <c r="C122" s="43" t="s">
        <v>163</v>
      </c>
    </row>
    <row r="123" spans="1:3" x14ac:dyDescent="0.2">
      <c r="A123" s="43">
        <v>1144</v>
      </c>
      <c r="B123" s="43" t="s">
        <v>42</v>
      </c>
      <c r="C123" s="43" t="s">
        <v>164</v>
      </c>
    </row>
    <row r="124" spans="1:3" x14ac:dyDescent="0.2">
      <c r="A124" s="43">
        <v>1145</v>
      </c>
      <c r="B124" s="43" t="s">
        <v>42</v>
      </c>
      <c r="C124" s="43" t="s">
        <v>165</v>
      </c>
    </row>
    <row r="125" spans="1:3" x14ac:dyDescent="0.2">
      <c r="A125" s="43">
        <v>1146</v>
      </c>
      <c r="B125" s="43" t="s">
        <v>42</v>
      </c>
      <c r="C125" s="43" t="s">
        <v>166</v>
      </c>
    </row>
    <row r="126" spans="1:3" x14ac:dyDescent="0.2">
      <c r="A126" s="43">
        <v>1147</v>
      </c>
      <c r="B126" s="43" t="s">
        <v>42</v>
      </c>
      <c r="C126" s="43" t="s">
        <v>167</v>
      </c>
    </row>
    <row r="127" spans="1:3" x14ac:dyDescent="0.2">
      <c r="A127" s="43">
        <v>1148</v>
      </c>
      <c r="B127" s="43" t="s">
        <v>42</v>
      </c>
      <c r="C127" s="43" t="s">
        <v>168</v>
      </c>
    </row>
    <row r="128" spans="1:3" x14ac:dyDescent="0.2">
      <c r="A128" s="43">
        <v>1149</v>
      </c>
      <c r="B128" s="43" t="s">
        <v>42</v>
      </c>
      <c r="C128" s="43" t="s">
        <v>169</v>
      </c>
    </row>
    <row r="129" spans="1:3" x14ac:dyDescent="0.2">
      <c r="A129" s="43">
        <v>1150</v>
      </c>
      <c r="B129" s="43" t="s">
        <v>42</v>
      </c>
      <c r="C129" s="43" t="s">
        <v>170</v>
      </c>
    </row>
    <row r="130" spans="1:3" x14ac:dyDescent="0.2">
      <c r="A130" s="43">
        <v>1151</v>
      </c>
      <c r="B130" s="43" t="s">
        <v>42</v>
      </c>
      <c r="C130" s="43" t="s">
        <v>171</v>
      </c>
    </row>
    <row r="131" spans="1:3" x14ac:dyDescent="0.2">
      <c r="A131" s="43">
        <v>1152</v>
      </c>
      <c r="B131" s="43" t="s">
        <v>42</v>
      </c>
      <c r="C131" s="43" t="s">
        <v>172</v>
      </c>
    </row>
    <row r="132" spans="1:3" x14ac:dyDescent="0.2">
      <c r="A132" s="43">
        <v>1153</v>
      </c>
      <c r="B132" s="43" t="s">
        <v>42</v>
      </c>
      <c r="C132" s="43" t="s">
        <v>173</v>
      </c>
    </row>
    <row r="133" spans="1:3" x14ac:dyDescent="0.2">
      <c r="A133" s="43">
        <v>1154</v>
      </c>
      <c r="B133" s="43" t="s">
        <v>42</v>
      </c>
      <c r="C133" s="43" t="s">
        <v>174</v>
      </c>
    </row>
    <row r="134" spans="1:3" x14ac:dyDescent="0.2">
      <c r="A134" s="43">
        <v>3000</v>
      </c>
      <c r="B134" s="43" t="s">
        <v>42</v>
      </c>
      <c r="C134" s="43" t="s">
        <v>175</v>
      </c>
    </row>
    <row r="135" spans="1:3" x14ac:dyDescent="0.2">
      <c r="A135" s="43">
        <v>3001</v>
      </c>
      <c r="B135" s="43" t="s">
        <v>42</v>
      </c>
      <c r="C135" s="43" t="s">
        <v>176</v>
      </c>
    </row>
    <row r="136" spans="1:3" x14ac:dyDescent="0.2">
      <c r="A136" s="43">
        <v>3002</v>
      </c>
      <c r="B136" s="43" t="s">
        <v>42</v>
      </c>
      <c r="C136" s="43" t="s">
        <v>177</v>
      </c>
    </row>
    <row r="137" spans="1:3" x14ac:dyDescent="0.2">
      <c r="A137" s="43">
        <v>3003</v>
      </c>
      <c r="B137" s="43" t="s">
        <v>42</v>
      </c>
      <c r="C137" s="43" t="s">
        <v>178</v>
      </c>
    </row>
    <row r="138" spans="1:3" x14ac:dyDescent="0.2">
      <c r="A138" s="43">
        <v>3004</v>
      </c>
      <c r="B138" s="43" t="s">
        <v>42</v>
      </c>
      <c r="C138" s="43" t="s">
        <v>179</v>
      </c>
    </row>
    <row r="139" spans="1:3" x14ac:dyDescent="0.2">
      <c r="A139" s="43">
        <v>3005</v>
      </c>
      <c r="B139" s="43" t="s">
        <v>42</v>
      </c>
      <c r="C139" s="43" t="s">
        <v>180</v>
      </c>
    </row>
    <row r="140" spans="1:3" x14ac:dyDescent="0.2">
      <c r="A140" s="43">
        <v>3006</v>
      </c>
      <c r="B140" s="43" t="s">
        <v>42</v>
      </c>
      <c r="C140" s="43" t="s">
        <v>181</v>
      </c>
    </row>
    <row r="141" spans="1:3" x14ac:dyDescent="0.2">
      <c r="A141" s="43">
        <v>3007</v>
      </c>
      <c r="B141" s="43" t="s">
        <v>42</v>
      </c>
      <c r="C141" s="43" t="s">
        <v>182</v>
      </c>
    </row>
    <row r="142" spans="1:3" x14ac:dyDescent="0.2">
      <c r="A142" s="43">
        <v>3008</v>
      </c>
      <c r="B142" s="43" t="s">
        <v>42</v>
      </c>
      <c r="C142" s="43" t="s">
        <v>183</v>
      </c>
    </row>
    <row r="143" spans="1:3" x14ac:dyDescent="0.2">
      <c r="A143" s="43">
        <v>3009</v>
      </c>
      <c r="B143" s="43" t="s">
        <v>42</v>
      </c>
      <c r="C143" s="43" t="s">
        <v>184</v>
      </c>
    </row>
    <row r="144" spans="1:3" x14ac:dyDescent="0.2">
      <c r="A144" s="43">
        <v>3010</v>
      </c>
      <c r="B144" s="43" t="s">
        <v>42</v>
      </c>
      <c r="C144" s="43" t="s">
        <v>185</v>
      </c>
    </row>
    <row r="145" spans="1:3" x14ac:dyDescent="0.2">
      <c r="A145" s="43">
        <v>3020</v>
      </c>
      <c r="B145" s="43" t="s">
        <v>42</v>
      </c>
      <c r="C145" s="43" t="s">
        <v>186</v>
      </c>
    </row>
    <row r="146" spans="1:3" x14ac:dyDescent="0.2">
      <c r="A146" s="43">
        <v>10160</v>
      </c>
      <c r="B146" s="43" t="s">
        <v>187</v>
      </c>
      <c r="C146" s="43" t="s">
        <v>188</v>
      </c>
    </row>
    <row r="147" spans="1:3" x14ac:dyDescent="0.2">
      <c r="A147" s="43">
        <v>10161</v>
      </c>
      <c r="B147" s="43" t="s">
        <v>187</v>
      </c>
      <c r="C147" s="43" t="s">
        <v>189</v>
      </c>
    </row>
    <row r="148" spans="1:3" x14ac:dyDescent="0.2">
      <c r="A148" s="43">
        <v>10162</v>
      </c>
      <c r="B148" s="43" t="s">
        <v>187</v>
      </c>
      <c r="C148" s="43" t="s">
        <v>190</v>
      </c>
    </row>
    <row r="149" spans="1:3" x14ac:dyDescent="0.2">
      <c r="A149" s="43">
        <v>10163</v>
      </c>
      <c r="B149" s="43" t="s">
        <v>187</v>
      </c>
      <c r="C149" s="43" t="s">
        <v>191</v>
      </c>
    </row>
    <row r="150" spans="1:3" x14ac:dyDescent="0.2">
      <c r="A150" s="43">
        <v>10164</v>
      </c>
      <c r="B150" s="43" t="s">
        <v>187</v>
      </c>
      <c r="C150" s="43" t="s">
        <v>192</v>
      </c>
    </row>
    <row r="151" spans="1:3" x14ac:dyDescent="0.2">
      <c r="A151" s="43">
        <v>10165</v>
      </c>
      <c r="B151" s="43" t="s">
        <v>187</v>
      </c>
      <c r="C151" s="43" t="s">
        <v>193</v>
      </c>
    </row>
    <row r="152" spans="1:3" x14ac:dyDescent="0.2">
      <c r="A152" s="43">
        <v>10166</v>
      </c>
      <c r="B152" s="43" t="s">
        <v>187</v>
      </c>
      <c r="C152" s="43" t="s">
        <v>194</v>
      </c>
    </row>
    <row r="153" spans="1:3" x14ac:dyDescent="0.2">
      <c r="A153" s="43">
        <v>10168</v>
      </c>
      <c r="B153" s="43" t="s">
        <v>187</v>
      </c>
      <c r="C153" s="43" t="s">
        <v>195</v>
      </c>
    </row>
    <row r="154" spans="1:3" x14ac:dyDescent="0.2">
      <c r="A154" s="43">
        <v>10169</v>
      </c>
      <c r="B154" s="43" t="s">
        <v>187</v>
      </c>
      <c r="C154" s="43" t="s">
        <v>196</v>
      </c>
    </row>
    <row r="155" spans="1:3" x14ac:dyDescent="0.2">
      <c r="A155" s="43">
        <v>10170</v>
      </c>
      <c r="B155" s="43" t="s">
        <v>187</v>
      </c>
      <c r="C155" s="43" t="s">
        <v>197</v>
      </c>
    </row>
    <row r="156" spans="1:3" x14ac:dyDescent="0.2">
      <c r="A156" s="43">
        <v>10171</v>
      </c>
      <c r="B156" s="43" t="s">
        <v>187</v>
      </c>
      <c r="C156" s="43" t="s">
        <v>198</v>
      </c>
    </row>
    <row r="157" spans="1:3" x14ac:dyDescent="0.2">
      <c r="A157" s="43">
        <v>10172</v>
      </c>
      <c r="B157" s="43" t="s">
        <v>187</v>
      </c>
      <c r="C157" s="43" t="s">
        <v>199</v>
      </c>
    </row>
    <row r="158" spans="1:3" x14ac:dyDescent="0.2">
      <c r="A158" s="43">
        <v>10173</v>
      </c>
      <c r="B158" s="43" t="s">
        <v>187</v>
      </c>
      <c r="C158" s="43" t="s">
        <v>200</v>
      </c>
    </row>
    <row r="159" spans="1:3" x14ac:dyDescent="0.2">
      <c r="A159" s="43">
        <v>10174</v>
      </c>
      <c r="B159" s="43" t="s">
        <v>187</v>
      </c>
      <c r="C159" s="43" t="s">
        <v>201</v>
      </c>
    </row>
    <row r="160" spans="1:3" x14ac:dyDescent="0.2">
      <c r="A160" s="43">
        <v>11160</v>
      </c>
      <c r="B160" s="43" t="s">
        <v>187</v>
      </c>
      <c r="C160" s="43" t="s">
        <v>202</v>
      </c>
    </row>
    <row r="161" spans="1:3" x14ac:dyDescent="0.2">
      <c r="A161" s="43">
        <v>11161</v>
      </c>
      <c r="B161" s="43" t="s">
        <v>187</v>
      </c>
      <c r="C161" s="43" t="s">
        <v>203</v>
      </c>
    </row>
    <row r="162" spans="1:3" x14ac:dyDescent="0.2">
      <c r="A162" s="43">
        <v>11162</v>
      </c>
      <c r="B162" s="43" t="s">
        <v>187</v>
      </c>
      <c r="C162" s="43" t="s">
        <v>204</v>
      </c>
    </row>
    <row r="163" spans="1:3" x14ac:dyDescent="0.2">
      <c r="A163" s="43">
        <v>11163</v>
      </c>
      <c r="B163" s="43" t="s">
        <v>187</v>
      </c>
      <c r="C163" s="43" t="s">
        <v>205</v>
      </c>
    </row>
    <row r="164" spans="1:3" x14ac:dyDescent="0.2">
      <c r="A164" s="43">
        <v>11164</v>
      </c>
      <c r="B164" s="43" t="s">
        <v>187</v>
      </c>
      <c r="C164" s="43" t="s">
        <v>206</v>
      </c>
    </row>
    <row r="165" spans="1:3" x14ac:dyDescent="0.2">
      <c r="A165" s="43">
        <v>11165</v>
      </c>
      <c r="B165" s="43" t="s">
        <v>187</v>
      </c>
      <c r="C165" s="43" t="s">
        <v>207</v>
      </c>
    </row>
    <row r="166" spans="1:3" x14ac:dyDescent="0.2">
      <c r="A166" s="43">
        <v>11166</v>
      </c>
      <c r="B166" s="43" t="s">
        <v>187</v>
      </c>
      <c r="C166" s="43" t="s">
        <v>208</v>
      </c>
    </row>
    <row r="167" spans="1:3" x14ac:dyDescent="0.2">
      <c r="A167" s="43">
        <v>11168</v>
      </c>
      <c r="B167" s="43" t="s">
        <v>187</v>
      </c>
      <c r="C167" s="43" t="s">
        <v>209</v>
      </c>
    </row>
    <row r="168" spans="1:3" x14ac:dyDescent="0.2">
      <c r="A168" s="43">
        <v>11169</v>
      </c>
      <c r="B168" s="43" t="s">
        <v>187</v>
      </c>
      <c r="C168" s="43" t="s">
        <v>210</v>
      </c>
    </row>
    <row r="169" spans="1:3" x14ac:dyDescent="0.2">
      <c r="A169" s="43">
        <v>11170</v>
      </c>
      <c r="B169" s="43" t="s">
        <v>187</v>
      </c>
      <c r="C169" s="43" t="s">
        <v>211</v>
      </c>
    </row>
    <row r="170" spans="1:3" x14ac:dyDescent="0.2">
      <c r="A170" s="43">
        <v>11171</v>
      </c>
      <c r="B170" s="43" t="s">
        <v>187</v>
      </c>
      <c r="C170" s="43" t="s">
        <v>212</v>
      </c>
    </row>
    <row r="171" spans="1:3" x14ac:dyDescent="0.2">
      <c r="A171" s="43">
        <v>11172</v>
      </c>
      <c r="B171" s="43" t="s">
        <v>187</v>
      </c>
      <c r="C171" s="43" t="s">
        <v>213</v>
      </c>
    </row>
    <row r="172" spans="1:3" x14ac:dyDescent="0.2">
      <c r="A172" s="43">
        <v>11173</v>
      </c>
      <c r="B172" s="43" t="s">
        <v>187</v>
      </c>
      <c r="C172" s="43" t="s">
        <v>214</v>
      </c>
    </row>
    <row r="173" spans="1:3" x14ac:dyDescent="0.2">
      <c r="A173" s="43">
        <v>11174</v>
      </c>
      <c r="B173" s="43" t="s">
        <v>187</v>
      </c>
      <c r="C173" s="43" t="s">
        <v>215</v>
      </c>
    </row>
    <row r="174" spans="1:3" x14ac:dyDescent="0.2">
      <c r="A174" s="43">
        <v>13000</v>
      </c>
      <c r="B174" s="43" t="s">
        <v>187</v>
      </c>
      <c r="C174" s="43" t="s">
        <v>216</v>
      </c>
    </row>
    <row r="175" spans="1:3" x14ac:dyDescent="0.2">
      <c r="A175" s="43">
        <v>13001</v>
      </c>
      <c r="B175" s="43" t="s">
        <v>187</v>
      </c>
      <c r="C175" s="43" t="s">
        <v>217</v>
      </c>
    </row>
    <row r="176" spans="1:3" x14ac:dyDescent="0.2">
      <c r="A176" s="43">
        <v>13100</v>
      </c>
      <c r="B176" s="43" t="s">
        <v>187</v>
      </c>
      <c r="C176" s="43" t="s">
        <v>218</v>
      </c>
    </row>
    <row r="177" spans="1:3" x14ac:dyDescent="0.2">
      <c r="A177" s="43">
        <v>13101</v>
      </c>
      <c r="B177" s="43" t="s">
        <v>187</v>
      </c>
      <c r="C177" s="43" t="s">
        <v>219</v>
      </c>
    </row>
    <row r="178" spans="1:3" x14ac:dyDescent="0.2">
      <c r="A178" s="43">
        <v>20176</v>
      </c>
      <c r="B178" s="43" t="s">
        <v>220</v>
      </c>
      <c r="C178" s="43" t="s">
        <v>221</v>
      </c>
    </row>
    <row r="179" spans="1:3" x14ac:dyDescent="0.2">
      <c r="A179" s="43">
        <v>20177</v>
      </c>
      <c r="B179" s="43" t="s">
        <v>220</v>
      </c>
      <c r="C179" s="43" t="s">
        <v>222</v>
      </c>
    </row>
    <row r="180" spans="1:3" x14ac:dyDescent="0.2">
      <c r="A180" s="43">
        <v>20178</v>
      </c>
      <c r="B180" s="43" t="s">
        <v>220</v>
      </c>
      <c r="C180" s="43" t="s">
        <v>223</v>
      </c>
    </row>
    <row r="181" spans="1:3" x14ac:dyDescent="0.2">
      <c r="A181" s="43">
        <v>20179</v>
      </c>
      <c r="B181" s="43" t="s">
        <v>220</v>
      </c>
      <c r="C181" s="43" t="s">
        <v>224</v>
      </c>
    </row>
    <row r="182" spans="1:3" x14ac:dyDescent="0.2">
      <c r="A182" s="43">
        <v>20180</v>
      </c>
      <c r="B182" s="43" t="s">
        <v>220</v>
      </c>
      <c r="C182" s="43" t="s">
        <v>225</v>
      </c>
    </row>
    <row r="183" spans="1:3" x14ac:dyDescent="0.2">
      <c r="A183" s="43">
        <v>20181</v>
      </c>
      <c r="B183" s="43" t="s">
        <v>220</v>
      </c>
      <c r="C183" s="43" t="s">
        <v>226</v>
      </c>
    </row>
    <row r="184" spans="1:3" x14ac:dyDescent="0.2">
      <c r="A184" s="43">
        <v>20182</v>
      </c>
      <c r="B184" s="43" t="s">
        <v>220</v>
      </c>
      <c r="C184" s="43" t="s">
        <v>227</v>
      </c>
    </row>
    <row r="185" spans="1:3" x14ac:dyDescent="0.2">
      <c r="A185" s="43">
        <v>20183</v>
      </c>
      <c r="B185" s="43" t="s">
        <v>220</v>
      </c>
      <c r="C185" s="43" t="s">
        <v>228</v>
      </c>
    </row>
    <row r="186" spans="1:3" x14ac:dyDescent="0.2">
      <c r="A186" s="43">
        <v>20184</v>
      </c>
      <c r="B186" s="43" t="s">
        <v>220</v>
      </c>
      <c r="C186" s="43" t="s">
        <v>229</v>
      </c>
    </row>
    <row r="187" spans="1:3" x14ac:dyDescent="0.2">
      <c r="A187" s="43">
        <v>20185</v>
      </c>
      <c r="B187" s="43" t="s">
        <v>220</v>
      </c>
      <c r="C187" s="43" t="s">
        <v>230</v>
      </c>
    </row>
    <row r="188" spans="1:3" x14ac:dyDescent="0.2">
      <c r="A188" s="43">
        <v>20186</v>
      </c>
      <c r="B188" s="43" t="s">
        <v>220</v>
      </c>
      <c r="C188" s="43" t="s">
        <v>231</v>
      </c>
    </row>
    <row r="189" spans="1:3" x14ac:dyDescent="0.2">
      <c r="A189" s="43">
        <v>20187</v>
      </c>
      <c r="B189" s="43" t="s">
        <v>220</v>
      </c>
      <c r="C189" s="43" t="s">
        <v>232</v>
      </c>
    </row>
    <row r="190" spans="1:3" x14ac:dyDescent="0.2">
      <c r="A190" s="43">
        <v>20188</v>
      </c>
      <c r="B190" s="43" t="s">
        <v>220</v>
      </c>
      <c r="C190" s="43" t="s">
        <v>233</v>
      </c>
    </row>
    <row r="191" spans="1:3" x14ac:dyDescent="0.2">
      <c r="A191" s="43">
        <v>20189</v>
      </c>
      <c r="B191" s="43" t="s">
        <v>220</v>
      </c>
      <c r="C191" s="43" t="s">
        <v>234</v>
      </c>
    </row>
    <row r="192" spans="1:3" x14ac:dyDescent="0.2">
      <c r="A192" s="43">
        <v>20190</v>
      </c>
      <c r="B192" s="43" t="s">
        <v>220</v>
      </c>
      <c r="C192" s="43" t="s">
        <v>235</v>
      </c>
    </row>
    <row r="193" spans="1:3" x14ac:dyDescent="0.2">
      <c r="A193" s="43">
        <v>20191</v>
      </c>
      <c r="B193" s="43" t="s">
        <v>220</v>
      </c>
      <c r="C193" s="43" t="s">
        <v>236</v>
      </c>
    </row>
    <row r="194" spans="1:3" x14ac:dyDescent="0.2">
      <c r="A194" s="43">
        <v>20192</v>
      </c>
      <c r="B194" s="43" t="s">
        <v>220</v>
      </c>
      <c r="C194" s="43" t="s">
        <v>237</v>
      </c>
    </row>
    <row r="195" spans="1:3" x14ac:dyDescent="0.2">
      <c r="A195" s="43">
        <v>20193</v>
      </c>
      <c r="B195" s="43" t="s">
        <v>220</v>
      </c>
      <c r="C195" s="43" t="s">
        <v>238</v>
      </c>
    </row>
    <row r="196" spans="1:3" x14ac:dyDescent="0.2">
      <c r="A196" s="43">
        <v>20194</v>
      </c>
      <c r="B196" s="43" t="s">
        <v>220</v>
      </c>
      <c r="C196" s="43" t="s">
        <v>239</v>
      </c>
    </row>
    <row r="197" spans="1:3" x14ac:dyDescent="0.2">
      <c r="A197" s="43">
        <v>20195</v>
      </c>
      <c r="B197" s="43" t="s">
        <v>220</v>
      </c>
      <c r="C197" s="43" t="s">
        <v>240</v>
      </c>
    </row>
    <row r="198" spans="1:3" x14ac:dyDescent="0.2">
      <c r="A198" s="43">
        <v>20208</v>
      </c>
      <c r="B198" s="43" t="s">
        <v>220</v>
      </c>
      <c r="C198" s="43" t="s">
        <v>241</v>
      </c>
    </row>
    <row r="199" spans="1:3" x14ac:dyDescent="0.2">
      <c r="A199" s="43">
        <v>20209</v>
      </c>
      <c r="B199" s="43" t="s">
        <v>220</v>
      </c>
      <c r="C199" s="43" t="s">
        <v>242</v>
      </c>
    </row>
    <row r="200" spans="1:3" x14ac:dyDescent="0.2">
      <c r="A200" s="43">
        <v>20210</v>
      </c>
      <c r="B200" s="43" t="s">
        <v>220</v>
      </c>
      <c r="C200" s="43" t="s">
        <v>243</v>
      </c>
    </row>
    <row r="201" spans="1:3" x14ac:dyDescent="0.2">
      <c r="A201" s="43">
        <v>20211</v>
      </c>
      <c r="B201" s="43" t="s">
        <v>220</v>
      </c>
      <c r="C201" s="43" t="s">
        <v>244</v>
      </c>
    </row>
    <row r="202" spans="1:3" x14ac:dyDescent="0.2">
      <c r="A202" s="43">
        <v>20212</v>
      </c>
      <c r="B202" s="43" t="s">
        <v>220</v>
      </c>
      <c r="C202" s="43" t="s">
        <v>245</v>
      </c>
    </row>
    <row r="203" spans="1:3" x14ac:dyDescent="0.2">
      <c r="A203" s="43">
        <v>20213</v>
      </c>
      <c r="B203" s="43" t="s">
        <v>220</v>
      </c>
      <c r="C203" s="43" t="s">
        <v>246</v>
      </c>
    </row>
    <row r="204" spans="1:3" x14ac:dyDescent="0.2">
      <c r="A204" s="43">
        <v>20214</v>
      </c>
      <c r="B204" s="43" t="s">
        <v>220</v>
      </c>
      <c r="C204" s="43" t="s">
        <v>247</v>
      </c>
    </row>
    <row r="205" spans="1:3" x14ac:dyDescent="0.2">
      <c r="A205" s="43">
        <v>20215</v>
      </c>
      <c r="B205" s="43" t="s">
        <v>220</v>
      </c>
      <c r="C205" s="43" t="s">
        <v>248</v>
      </c>
    </row>
    <row r="206" spans="1:3" x14ac:dyDescent="0.2">
      <c r="A206" s="43">
        <v>20216</v>
      </c>
      <c r="B206" s="43" t="s">
        <v>220</v>
      </c>
      <c r="C206" s="43" t="s">
        <v>249</v>
      </c>
    </row>
    <row r="207" spans="1:3" x14ac:dyDescent="0.2">
      <c r="A207" s="43">
        <v>20217</v>
      </c>
      <c r="B207" s="43" t="s">
        <v>220</v>
      </c>
      <c r="C207" s="43" t="s">
        <v>250</v>
      </c>
    </row>
    <row r="208" spans="1:3" x14ac:dyDescent="0.2">
      <c r="A208" s="43">
        <v>20218</v>
      </c>
      <c r="B208" s="43" t="s">
        <v>220</v>
      </c>
      <c r="C208" s="43" t="s">
        <v>251</v>
      </c>
    </row>
    <row r="209" spans="1:3" x14ac:dyDescent="0.2">
      <c r="A209" s="43">
        <v>20219</v>
      </c>
      <c r="B209" s="43" t="s">
        <v>220</v>
      </c>
      <c r="C209" s="43" t="s">
        <v>252</v>
      </c>
    </row>
    <row r="210" spans="1:3" x14ac:dyDescent="0.2">
      <c r="A210" s="43">
        <v>20220</v>
      </c>
      <c r="B210" s="43" t="s">
        <v>220</v>
      </c>
      <c r="C210" s="43" t="s">
        <v>253</v>
      </c>
    </row>
    <row r="211" spans="1:3" x14ac:dyDescent="0.2">
      <c r="A211" s="43">
        <v>20221</v>
      </c>
      <c r="B211" s="43" t="s">
        <v>220</v>
      </c>
      <c r="C211" s="43" t="s">
        <v>254</v>
      </c>
    </row>
    <row r="212" spans="1:3" x14ac:dyDescent="0.2">
      <c r="A212" s="43">
        <v>20222</v>
      </c>
      <c r="B212" s="43" t="s">
        <v>220</v>
      </c>
      <c r="C212" s="43" t="s">
        <v>255</v>
      </c>
    </row>
    <row r="213" spans="1:3" x14ac:dyDescent="0.2">
      <c r="A213" s="43">
        <v>21176</v>
      </c>
      <c r="B213" s="43" t="s">
        <v>220</v>
      </c>
      <c r="C213" s="43" t="s">
        <v>256</v>
      </c>
    </row>
    <row r="214" spans="1:3" x14ac:dyDescent="0.2">
      <c r="A214" s="43">
        <v>21177</v>
      </c>
      <c r="B214" s="43" t="s">
        <v>220</v>
      </c>
      <c r="C214" s="43" t="s">
        <v>257</v>
      </c>
    </row>
    <row r="215" spans="1:3" x14ac:dyDescent="0.2">
      <c r="A215" s="43">
        <v>21178</v>
      </c>
      <c r="B215" s="43" t="s">
        <v>220</v>
      </c>
      <c r="C215" s="43" t="s">
        <v>258</v>
      </c>
    </row>
    <row r="216" spans="1:3" x14ac:dyDescent="0.2">
      <c r="A216" s="43">
        <v>21179</v>
      </c>
      <c r="B216" s="43" t="s">
        <v>220</v>
      </c>
      <c r="C216" s="43" t="s">
        <v>259</v>
      </c>
    </row>
    <row r="217" spans="1:3" x14ac:dyDescent="0.2">
      <c r="A217" s="43">
        <v>21180</v>
      </c>
      <c r="B217" s="43" t="s">
        <v>220</v>
      </c>
      <c r="C217" s="43" t="s">
        <v>260</v>
      </c>
    </row>
    <row r="218" spans="1:3" x14ac:dyDescent="0.2">
      <c r="A218" s="43">
        <v>21181</v>
      </c>
      <c r="B218" s="43" t="s">
        <v>220</v>
      </c>
      <c r="C218" s="43" t="s">
        <v>261</v>
      </c>
    </row>
    <row r="219" spans="1:3" x14ac:dyDescent="0.2">
      <c r="A219" s="43">
        <v>21182</v>
      </c>
      <c r="B219" s="43" t="s">
        <v>220</v>
      </c>
      <c r="C219" s="43" t="s">
        <v>262</v>
      </c>
    </row>
    <row r="220" spans="1:3" x14ac:dyDescent="0.2">
      <c r="A220" s="43">
        <v>21183</v>
      </c>
      <c r="B220" s="43" t="s">
        <v>220</v>
      </c>
      <c r="C220" s="43" t="s">
        <v>263</v>
      </c>
    </row>
    <row r="221" spans="1:3" x14ac:dyDescent="0.2">
      <c r="A221" s="43">
        <v>21184</v>
      </c>
      <c r="B221" s="43" t="s">
        <v>220</v>
      </c>
      <c r="C221" s="43" t="s">
        <v>264</v>
      </c>
    </row>
    <row r="222" spans="1:3" x14ac:dyDescent="0.2">
      <c r="A222" s="43">
        <v>21185</v>
      </c>
      <c r="B222" s="43" t="s">
        <v>220</v>
      </c>
      <c r="C222" s="43" t="s">
        <v>265</v>
      </c>
    </row>
    <row r="223" spans="1:3" x14ac:dyDescent="0.2">
      <c r="A223" s="43">
        <v>21186</v>
      </c>
      <c r="B223" s="43" t="s">
        <v>220</v>
      </c>
      <c r="C223" s="43" t="s">
        <v>266</v>
      </c>
    </row>
    <row r="224" spans="1:3" x14ac:dyDescent="0.2">
      <c r="A224" s="43">
        <v>21187</v>
      </c>
      <c r="B224" s="43" t="s">
        <v>220</v>
      </c>
      <c r="C224" s="43" t="s">
        <v>267</v>
      </c>
    </row>
    <row r="225" spans="1:3" x14ac:dyDescent="0.2">
      <c r="A225" s="43">
        <v>21188</v>
      </c>
      <c r="B225" s="43" t="s">
        <v>220</v>
      </c>
      <c r="C225" s="43" t="s">
        <v>268</v>
      </c>
    </row>
    <row r="226" spans="1:3" x14ac:dyDescent="0.2">
      <c r="A226" s="43">
        <v>21189</v>
      </c>
      <c r="B226" s="43" t="s">
        <v>220</v>
      </c>
      <c r="C226" s="43" t="s">
        <v>269</v>
      </c>
    </row>
    <row r="227" spans="1:3" x14ac:dyDescent="0.2">
      <c r="A227" s="43">
        <v>21190</v>
      </c>
      <c r="B227" s="43" t="s">
        <v>220</v>
      </c>
      <c r="C227" s="43" t="s">
        <v>270</v>
      </c>
    </row>
    <row r="228" spans="1:3" x14ac:dyDescent="0.2">
      <c r="A228" s="43">
        <v>21191</v>
      </c>
      <c r="B228" s="43" t="s">
        <v>220</v>
      </c>
      <c r="C228" s="43" t="s">
        <v>271</v>
      </c>
    </row>
    <row r="229" spans="1:3" x14ac:dyDescent="0.2">
      <c r="A229" s="43">
        <v>21192</v>
      </c>
      <c r="B229" s="43" t="s">
        <v>220</v>
      </c>
      <c r="C229" s="43" t="s">
        <v>272</v>
      </c>
    </row>
    <row r="230" spans="1:3" x14ac:dyDescent="0.2">
      <c r="A230" s="43">
        <v>21193</v>
      </c>
      <c r="B230" s="43" t="s">
        <v>220</v>
      </c>
      <c r="C230" s="43" t="s">
        <v>273</v>
      </c>
    </row>
    <row r="231" spans="1:3" x14ac:dyDescent="0.2">
      <c r="A231" s="43">
        <v>21194</v>
      </c>
      <c r="B231" s="43" t="s">
        <v>220</v>
      </c>
      <c r="C231" s="43" t="s">
        <v>274</v>
      </c>
    </row>
    <row r="232" spans="1:3" x14ac:dyDescent="0.2">
      <c r="A232" s="43">
        <v>21195</v>
      </c>
      <c r="B232" s="43" t="s">
        <v>220</v>
      </c>
      <c r="C232" s="43" t="s">
        <v>275</v>
      </c>
    </row>
    <row r="233" spans="1:3" x14ac:dyDescent="0.2">
      <c r="A233" s="43">
        <v>21208</v>
      </c>
      <c r="B233" s="43" t="s">
        <v>220</v>
      </c>
      <c r="C233" s="43" t="s">
        <v>276</v>
      </c>
    </row>
    <row r="234" spans="1:3" x14ac:dyDescent="0.2">
      <c r="A234" s="43">
        <v>21209</v>
      </c>
      <c r="B234" s="43" t="s">
        <v>220</v>
      </c>
      <c r="C234" s="43" t="s">
        <v>277</v>
      </c>
    </row>
    <row r="235" spans="1:3" x14ac:dyDescent="0.2">
      <c r="A235" s="43">
        <v>21210</v>
      </c>
      <c r="B235" s="43" t="s">
        <v>220</v>
      </c>
      <c r="C235" s="43" t="s">
        <v>278</v>
      </c>
    </row>
    <row r="236" spans="1:3" x14ac:dyDescent="0.2">
      <c r="A236" s="43">
        <v>21211</v>
      </c>
      <c r="B236" s="43" t="s">
        <v>220</v>
      </c>
      <c r="C236" s="43" t="s">
        <v>279</v>
      </c>
    </row>
    <row r="237" spans="1:3" x14ac:dyDescent="0.2">
      <c r="A237" s="43">
        <v>21212</v>
      </c>
      <c r="B237" s="43" t="s">
        <v>220</v>
      </c>
      <c r="C237" s="43" t="s">
        <v>280</v>
      </c>
    </row>
    <row r="238" spans="1:3" x14ac:dyDescent="0.2">
      <c r="A238" s="43">
        <v>21213</v>
      </c>
      <c r="B238" s="43" t="s">
        <v>220</v>
      </c>
      <c r="C238" s="43" t="s">
        <v>281</v>
      </c>
    </row>
    <row r="239" spans="1:3" x14ac:dyDescent="0.2">
      <c r="A239" s="43">
        <v>21214</v>
      </c>
      <c r="B239" s="43" t="s">
        <v>220</v>
      </c>
      <c r="C239" s="43" t="s">
        <v>282</v>
      </c>
    </row>
    <row r="240" spans="1:3" x14ac:dyDescent="0.2">
      <c r="A240" s="43">
        <v>21215</v>
      </c>
      <c r="B240" s="43" t="s">
        <v>220</v>
      </c>
      <c r="C240" s="43" t="s">
        <v>283</v>
      </c>
    </row>
    <row r="241" spans="1:3" x14ac:dyDescent="0.2">
      <c r="A241" s="43">
        <v>21216</v>
      </c>
      <c r="B241" s="43" t="s">
        <v>220</v>
      </c>
      <c r="C241" s="43" t="s">
        <v>284</v>
      </c>
    </row>
    <row r="242" spans="1:3" x14ac:dyDescent="0.2">
      <c r="A242" s="43">
        <v>21217</v>
      </c>
      <c r="B242" s="43" t="s">
        <v>220</v>
      </c>
      <c r="C242" s="43" t="s">
        <v>285</v>
      </c>
    </row>
    <row r="243" spans="1:3" x14ac:dyDescent="0.2">
      <c r="A243" s="43">
        <v>21218</v>
      </c>
      <c r="B243" s="43" t="s">
        <v>220</v>
      </c>
      <c r="C243" s="43" t="s">
        <v>286</v>
      </c>
    </row>
    <row r="244" spans="1:3" x14ac:dyDescent="0.2">
      <c r="A244" s="43">
        <v>21219</v>
      </c>
      <c r="B244" s="43" t="s">
        <v>220</v>
      </c>
      <c r="C244" s="43" t="s">
        <v>287</v>
      </c>
    </row>
    <row r="245" spans="1:3" x14ac:dyDescent="0.2">
      <c r="A245" s="43">
        <v>21220</v>
      </c>
      <c r="B245" s="43" t="s">
        <v>220</v>
      </c>
      <c r="C245" s="43" t="s">
        <v>288</v>
      </c>
    </row>
    <row r="246" spans="1:3" x14ac:dyDescent="0.2">
      <c r="A246" s="43">
        <v>21221</v>
      </c>
      <c r="B246" s="43" t="s">
        <v>220</v>
      </c>
      <c r="C246" s="43" t="s">
        <v>289</v>
      </c>
    </row>
    <row r="247" spans="1:3" x14ac:dyDescent="0.2">
      <c r="A247" s="43">
        <v>21222</v>
      </c>
      <c r="B247" s="43" t="s">
        <v>220</v>
      </c>
      <c r="C247" s="43" t="s">
        <v>290</v>
      </c>
    </row>
    <row r="248" spans="1:3" x14ac:dyDescent="0.2">
      <c r="A248" s="43">
        <v>30224</v>
      </c>
      <c r="B248" s="43" t="s">
        <v>291</v>
      </c>
      <c r="C248" s="43" t="s">
        <v>292</v>
      </c>
    </row>
    <row r="249" spans="1:3" x14ac:dyDescent="0.2">
      <c r="A249" s="43">
        <v>30225</v>
      </c>
      <c r="B249" s="43" t="s">
        <v>291</v>
      </c>
      <c r="C249" s="43" t="s">
        <v>293</v>
      </c>
    </row>
    <row r="250" spans="1:3" x14ac:dyDescent="0.2">
      <c r="A250" s="43">
        <v>30226</v>
      </c>
      <c r="B250" s="43" t="s">
        <v>291</v>
      </c>
      <c r="C250" s="43" t="s">
        <v>294</v>
      </c>
    </row>
    <row r="251" spans="1:3" x14ac:dyDescent="0.2">
      <c r="A251" s="43">
        <v>30227</v>
      </c>
      <c r="B251" s="43" t="s">
        <v>291</v>
      </c>
      <c r="C251" s="43" t="s">
        <v>295</v>
      </c>
    </row>
    <row r="252" spans="1:3" x14ac:dyDescent="0.2">
      <c r="A252" s="43">
        <v>30228</v>
      </c>
      <c r="B252" s="43" t="s">
        <v>291</v>
      </c>
      <c r="C252" s="43" t="s">
        <v>296</v>
      </c>
    </row>
    <row r="253" spans="1:3" x14ac:dyDescent="0.2">
      <c r="A253" s="43">
        <v>30229</v>
      </c>
      <c r="B253" s="43" t="s">
        <v>291</v>
      </c>
      <c r="C253" s="43" t="s">
        <v>297</v>
      </c>
    </row>
    <row r="254" spans="1:3" x14ac:dyDescent="0.2">
      <c r="A254" s="43">
        <v>30230</v>
      </c>
      <c r="B254" s="43" t="s">
        <v>291</v>
      </c>
      <c r="C254" s="43" t="s">
        <v>298</v>
      </c>
    </row>
    <row r="255" spans="1:3" x14ac:dyDescent="0.2">
      <c r="A255" s="43">
        <v>30231</v>
      </c>
      <c r="B255" s="43" t="s">
        <v>291</v>
      </c>
      <c r="C255" s="43" t="s">
        <v>299</v>
      </c>
    </row>
    <row r="256" spans="1:3" x14ac:dyDescent="0.2">
      <c r="A256" s="43">
        <v>30232</v>
      </c>
      <c r="B256" s="43" t="s">
        <v>291</v>
      </c>
      <c r="C256" s="43" t="s">
        <v>300</v>
      </c>
    </row>
    <row r="257" spans="1:3" x14ac:dyDescent="0.2">
      <c r="A257" s="43">
        <v>30233</v>
      </c>
      <c r="B257" s="43" t="s">
        <v>291</v>
      </c>
      <c r="C257" s="43" t="s">
        <v>301</v>
      </c>
    </row>
    <row r="258" spans="1:3" x14ac:dyDescent="0.2">
      <c r="A258" s="43">
        <v>30234</v>
      </c>
      <c r="B258" s="43" t="s">
        <v>291</v>
      </c>
      <c r="C258" s="43" t="s">
        <v>302</v>
      </c>
    </row>
    <row r="259" spans="1:3" x14ac:dyDescent="0.2">
      <c r="A259" s="43">
        <v>30235</v>
      </c>
      <c r="B259" s="43" t="s">
        <v>291</v>
      </c>
      <c r="C259" s="43" t="s">
        <v>303</v>
      </c>
    </row>
    <row r="260" spans="1:3" x14ac:dyDescent="0.2">
      <c r="A260" s="43">
        <v>30236</v>
      </c>
      <c r="B260" s="43" t="s">
        <v>291</v>
      </c>
      <c r="C260" s="43" t="s">
        <v>304</v>
      </c>
    </row>
    <row r="261" spans="1:3" x14ac:dyDescent="0.2">
      <c r="A261" s="43">
        <v>30237</v>
      </c>
      <c r="B261" s="43" t="s">
        <v>291</v>
      </c>
      <c r="C261" s="43" t="s">
        <v>305</v>
      </c>
    </row>
    <row r="262" spans="1:3" x14ac:dyDescent="0.2">
      <c r="A262" s="43">
        <v>30240</v>
      </c>
      <c r="B262" s="43" t="s">
        <v>291</v>
      </c>
      <c r="C262" s="43" t="s">
        <v>306</v>
      </c>
    </row>
    <row r="263" spans="1:3" x14ac:dyDescent="0.2">
      <c r="A263" s="43">
        <v>30241</v>
      </c>
      <c r="B263" s="43" t="s">
        <v>291</v>
      </c>
      <c r="C263" s="43" t="s">
        <v>307</v>
      </c>
    </row>
    <row r="264" spans="1:3" x14ac:dyDescent="0.2">
      <c r="A264" s="43">
        <v>30242</v>
      </c>
      <c r="B264" s="43" t="s">
        <v>291</v>
      </c>
      <c r="C264" s="43" t="s">
        <v>308</v>
      </c>
    </row>
    <row r="265" spans="1:3" x14ac:dyDescent="0.2">
      <c r="A265" s="43">
        <v>30246</v>
      </c>
      <c r="B265" s="43" t="s">
        <v>291</v>
      </c>
      <c r="C265" s="43" t="s">
        <v>309</v>
      </c>
    </row>
    <row r="266" spans="1:3" x14ac:dyDescent="0.2">
      <c r="A266" s="43">
        <v>30247</v>
      </c>
      <c r="B266" s="43" t="s">
        <v>291</v>
      </c>
      <c r="C266" s="43" t="s">
        <v>310</v>
      </c>
    </row>
    <row r="267" spans="1:3" x14ac:dyDescent="0.2">
      <c r="A267" s="43">
        <v>30248</v>
      </c>
      <c r="B267" s="43" t="s">
        <v>291</v>
      </c>
      <c r="C267" s="43" t="s">
        <v>311</v>
      </c>
    </row>
    <row r="268" spans="1:3" x14ac:dyDescent="0.2">
      <c r="A268" s="43">
        <v>30249</v>
      </c>
      <c r="B268" s="43" t="s">
        <v>291</v>
      </c>
      <c r="C268" s="43" t="s">
        <v>312</v>
      </c>
    </row>
    <row r="269" spans="1:3" x14ac:dyDescent="0.2">
      <c r="A269" s="43">
        <v>30250</v>
      </c>
      <c r="B269" s="43" t="s">
        <v>291</v>
      </c>
      <c r="C269" s="43" t="s">
        <v>313</v>
      </c>
    </row>
    <row r="270" spans="1:3" x14ac:dyDescent="0.2">
      <c r="A270" s="43">
        <v>30251</v>
      </c>
      <c r="B270" s="43" t="s">
        <v>291</v>
      </c>
      <c r="C270" s="43" t="s">
        <v>314</v>
      </c>
    </row>
    <row r="271" spans="1:3" x14ac:dyDescent="0.2">
      <c r="A271" s="43">
        <v>30252</v>
      </c>
      <c r="B271" s="43" t="s">
        <v>291</v>
      </c>
      <c r="C271" s="43" t="s">
        <v>315</v>
      </c>
    </row>
    <row r="272" spans="1:3" x14ac:dyDescent="0.2">
      <c r="A272" s="43">
        <v>30253</v>
      </c>
      <c r="B272" s="43" t="s">
        <v>291</v>
      </c>
      <c r="C272" s="43" t="s">
        <v>316</v>
      </c>
    </row>
    <row r="273" spans="1:3" x14ac:dyDescent="0.2">
      <c r="A273" s="43">
        <v>30256</v>
      </c>
      <c r="B273" s="43" t="s">
        <v>291</v>
      </c>
      <c r="C273" s="43" t="s">
        <v>317</v>
      </c>
    </row>
    <row r="274" spans="1:3" x14ac:dyDescent="0.2">
      <c r="A274" s="43">
        <v>30257</v>
      </c>
      <c r="B274" s="43" t="s">
        <v>291</v>
      </c>
      <c r="C274" s="43" t="s">
        <v>318</v>
      </c>
    </row>
    <row r="275" spans="1:3" x14ac:dyDescent="0.2">
      <c r="A275" s="43">
        <v>30258</v>
      </c>
      <c r="B275" s="43" t="s">
        <v>291</v>
      </c>
      <c r="C275" s="43" t="s">
        <v>319</v>
      </c>
    </row>
    <row r="276" spans="1:3" x14ac:dyDescent="0.2">
      <c r="A276" s="43">
        <v>30259</v>
      </c>
      <c r="B276" s="43" t="s">
        <v>291</v>
      </c>
      <c r="C276" s="43" t="s">
        <v>320</v>
      </c>
    </row>
    <row r="277" spans="1:3" x14ac:dyDescent="0.2">
      <c r="A277" s="43">
        <v>30260</v>
      </c>
      <c r="B277" s="43" t="s">
        <v>291</v>
      </c>
      <c r="C277" s="43" t="s">
        <v>321</v>
      </c>
    </row>
    <row r="278" spans="1:3" x14ac:dyDescent="0.2">
      <c r="A278" s="43">
        <v>30261</v>
      </c>
      <c r="B278" s="43" t="s">
        <v>291</v>
      </c>
      <c r="C278" s="43" t="s">
        <v>322</v>
      </c>
    </row>
    <row r="279" spans="1:3" x14ac:dyDescent="0.2">
      <c r="A279" s="43">
        <v>30262</v>
      </c>
      <c r="B279" s="43" t="s">
        <v>291</v>
      </c>
      <c r="C279" s="43" t="s">
        <v>323</v>
      </c>
    </row>
    <row r="280" spans="1:3" x14ac:dyDescent="0.2">
      <c r="A280" s="43">
        <v>30263</v>
      </c>
      <c r="B280" s="43" t="s">
        <v>291</v>
      </c>
      <c r="C280" s="43" t="s">
        <v>324</v>
      </c>
    </row>
    <row r="281" spans="1:3" x14ac:dyDescent="0.2">
      <c r="A281" s="43">
        <v>30264</v>
      </c>
      <c r="B281" s="43" t="s">
        <v>291</v>
      </c>
      <c r="C281" s="43" t="s">
        <v>325</v>
      </c>
    </row>
    <row r="282" spans="1:3" x14ac:dyDescent="0.2">
      <c r="A282" s="43">
        <v>30265</v>
      </c>
      <c r="B282" s="43" t="s">
        <v>291</v>
      </c>
      <c r="C282" s="43" t="s">
        <v>326</v>
      </c>
    </row>
    <row r="283" spans="1:3" x14ac:dyDescent="0.2">
      <c r="A283" s="43">
        <v>30266</v>
      </c>
      <c r="B283" s="43" t="s">
        <v>291</v>
      </c>
      <c r="C283" s="43" t="s">
        <v>327</v>
      </c>
    </row>
    <row r="284" spans="1:3" x14ac:dyDescent="0.2">
      <c r="A284" s="43">
        <v>30267</v>
      </c>
      <c r="B284" s="43" t="s">
        <v>291</v>
      </c>
      <c r="C284" s="43" t="s">
        <v>328</v>
      </c>
    </row>
    <row r="285" spans="1:3" x14ac:dyDescent="0.2">
      <c r="A285" s="43">
        <v>30268</v>
      </c>
      <c r="B285" s="43" t="s">
        <v>291</v>
      </c>
      <c r="C285" s="43" t="s">
        <v>329</v>
      </c>
    </row>
    <row r="286" spans="1:3" x14ac:dyDescent="0.2">
      <c r="A286" s="43">
        <v>30269</v>
      </c>
      <c r="B286" s="43" t="s">
        <v>291</v>
      </c>
      <c r="C286" s="43" t="s">
        <v>330</v>
      </c>
    </row>
    <row r="287" spans="1:3" x14ac:dyDescent="0.2">
      <c r="A287" s="43">
        <v>30270</v>
      </c>
      <c r="B287" s="43" t="s">
        <v>291</v>
      </c>
      <c r="C287" s="43" t="s">
        <v>331</v>
      </c>
    </row>
    <row r="288" spans="1:3" x14ac:dyDescent="0.2">
      <c r="A288" s="43">
        <v>30271</v>
      </c>
      <c r="B288" s="43" t="s">
        <v>291</v>
      </c>
      <c r="C288" s="43" t="s">
        <v>332</v>
      </c>
    </row>
    <row r="289" spans="1:3" x14ac:dyDescent="0.2">
      <c r="A289" s="43">
        <v>31224</v>
      </c>
      <c r="B289" s="43" t="s">
        <v>291</v>
      </c>
      <c r="C289" s="43" t="s">
        <v>333</v>
      </c>
    </row>
    <row r="290" spans="1:3" x14ac:dyDescent="0.2">
      <c r="A290" s="43">
        <v>31225</v>
      </c>
      <c r="B290" s="43" t="s">
        <v>291</v>
      </c>
      <c r="C290" s="43" t="s">
        <v>334</v>
      </c>
    </row>
    <row r="291" spans="1:3" x14ac:dyDescent="0.2">
      <c r="A291" s="43">
        <v>31226</v>
      </c>
      <c r="B291" s="43" t="s">
        <v>291</v>
      </c>
      <c r="C291" s="43" t="s">
        <v>335</v>
      </c>
    </row>
    <row r="292" spans="1:3" x14ac:dyDescent="0.2">
      <c r="A292" s="43">
        <v>31227</v>
      </c>
      <c r="B292" s="43" t="s">
        <v>291</v>
      </c>
      <c r="C292" s="43" t="s">
        <v>336</v>
      </c>
    </row>
    <row r="293" spans="1:3" x14ac:dyDescent="0.2">
      <c r="A293" s="43">
        <v>31228</v>
      </c>
      <c r="B293" s="43" t="s">
        <v>291</v>
      </c>
      <c r="C293" s="43" t="s">
        <v>337</v>
      </c>
    </row>
    <row r="294" spans="1:3" x14ac:dyDescent="0.2">
      <c r="A294" s="43">
        <v>31229</v>
      </c>
      <c r="B294" s="43" t="s">
        <v>291</v>
      </c>
      <c r="C294" s="43" t="s">
        <v>338</v>
      </c>
    </row>
    <row r="295" spans="1:3" x14ac:dyDescent="0.2">
      <c r="A295" s="43">
        <v>31230</v>
      </c>
      <c r="B295" s="43" t="s">
        <v>291</v>
      </c>
      <c r="C295" s="43" t="s">
        <v>339</v>
      </c>
    </row>
    <row r="296" spans="1:3" x14ac:dyDescent="0.2">
      <c r="A296" s="43">
        <v>31231</v>
      </c>
      <c r="B296" s="43" t="s">
        <v>291</v>
      </c>
      <c r="C296" s="43" t="s">
        <v>340</v>
      </c>
    </row>
    <row r="297" spans="1:3" x14ac:dyDescent="0.2">
      <c r="A297" s="43">
        <v>31232</v>
      </c>
      <c r="B297" s="43" t="s">
        <v>291</v>
      </c>
      <c r="C297" s="43" t="s">
        <v>341</v>
      </c>
    </row>
    <row r="298" spans="1:3" x14ac:dyDescent="0.2">
      <c r="A298" s="43">
        <v>31233</v>
      </c>
      <c r="B298" s="43" t="s">
        <v>291</v>
      </c>
      <c r="C298" s="43" t="s">
        <v>342</v>
      </c>
    </row>
    <row r="299" spans="1:3" x14ac:dyDescent="0.2">
      <c r="A299" s="43">
        <v>31234</v>
      </c>
      <c r="B299" s="43" t="s">
        <v>291</v>
      </c>
      <c r="C299" s="43" t="s">
        <v>343</v>
      </c>
    </row>
    <row r="300" spans="1:3" x14ac:dyDescent="0.2">
      <c r="A300" s="43">
        <v>31235</v>
      </c>
      <c r="B300" s="43" t="s">
        <v>291</v>
      </c>
      <c r="C300" s="43" t="s">
        <v>344</v>
      </c>
    </row>
    <row r="301" spans="1:3" x14ac:dyDescent="0.2">
      <c r="A301" s="43">
        <v>31236</v>
      </c>
      <c r="B301" s="43" t="s">
        <v>291</v>
      </c>
      <c r="C301" s="43" t="s">
        <v>345</v>
      </c>
    </row>
    <row r="302" spans="1:3" x14ac:dyDescent="0.2">
      <c r="A302" s="43">
        <v>31237</v>
      </c>
      <c r="B302" s="43" t="s">
        <v>291</v>
      </c>
      <c r="C302" s="43" t="s">
        <v>346</v>
      </c>
    </row>
    <row r="303" spans="1:3" x14ac:dyDescent="0.2">
      <c r="A303" s="43">
        <v>31240</v>
      </c>
      <c r="B303" s="43" t="s">
        <v>291</v>
      </c>
      <c r="C303" s="43" t="s">
        <v>347</v>
      </c>
    </row>
    <row r="304" spans="1:3" x14ac:dyDescent="0.2">
      <c r="A304" s="43">
        <v>31241</v>
      </c>
      <c r="B304" s="43" t="s">
        <v>291</v>
      </c>
      <c r="C304" s="43" t="s">
        <v>348</v>
      </c>
    </row>
    <row r="305" spans="1:3" x14ac:dyDescent="0.2">
      <c r="A305" s="43">
        <v>31242</v>
      </c>
      <c r="B305" s="43" t="s">
        <v>291</v>
      </c>
      <c r="C305" s="43" t="s">
        <v>349</v>
      </c>
    </row>
    <row r="306" spans="1:3" x14ac:dyDescent="0.2">
      <c r="A306" s="43">
        <v>31246</v>
      </c>
      <c r="B306" s="43" t="s">
        <v>291</v>
      </c>
      <c r="C306" s="43" t="s">
        <v>350</v>
      </c>
    </row>
    <row r="307" spans="1:3" x14ac:dyDescent="0.2">
      <c r="A307" s="43">
        <v>31247</v>
      </c>
      <c r="B307" s="43" t="s">
        <v>291</v>
      </c>
      <c r="C307" s="43" t="s">
        <v>351</v>
      </c>
    </row>
    <row r="308" spans="1:3" x14ac:dyDescent="0.2">
      <c r="A308" s="43">
        <v>31248</v>
      </c>
      <c r="B308" s="43" t="s">
        <v>291</v>
      </c>
      <c r="C308" s="43" t="s">
        <v>352</v>
      </c>
    </row>
    <row r="309" spans="1:3" x14ac:dyDescent="0.2">
      <c r="A309" s="43">
        <v>31249</v>
      </c>
      <c r="B309" s="43" t="s">
        <v>291</v>
      </c>
      <c r="C309" s="43" t="s">
        <v>353</v>
      </c>
    </row>
    <row r="310" spans="1:3" x14ac:dyDescent="0.2">
      <c r="A310" s="43">
        <v>31250</v>
      </c>
      <c r="B310" s="43" t="s">
        <v>291</v>
      </c>
      <c r="C310" s="43" t="s">
        <v>354</v>
      </c>
    </row>
    <row r="311" spans="1:3" x14ac:dyDescent="0.2">
      <c r="A311" s="43">
        <v>31251</v>
      </c>
      <c r="B311" s="43" t="s">
        <v>291</v>
      </c>
      <c r="C311" s="43" t="s">
        <v>355</v>
      </c>
    </row>
    <row r="312" spans="1:3" x14ac:dyDescent="0.2">
      <c r="A312" s="43">
        <v>31252</v>
      </c>
      <c r="B312" s="43" t="s">
        <v>291</v>
      </c>
      <c r="C312" s="43" t="s">
        <v>356</v>
      </c>
    </row>
    <row r="313" spans="1:3" x14ac:dyDescent="0.2">
      <c r="A313" s="43">
        <v>31253</v>
      </c>
      <c r="B313" s="43" t="s">
        <v>291</v>
      </c>
      <c r="C313" s="43" t="s">
        <v>357</v>
      </c>
    </row>
    <row r="314" spans="1:3" x14ac:dyDescent="0.2">
      <c r="A314" s="43">
        <v>31256</v>
      </c>
      <c r="B314" s="43" t="s">
        <v>291</v>
      </c>
      <c r="C314" s="43" t="s">
        <v>358</v>
      </c>
    </row>
    <row r="315" spans="1:3" x14ac:dyDescent="0.2">
      <c r="A315" s="43">
        <v>31257</v>
      </c>
      <c r="B315" s="43" t="s">
        <v>291</v>
      </c>
      <c r="C315" s="43" t="s">
        <v>359</v>
      </c>
    </row>
    <row r="316" spans="1:3" x14ac:dyDescent="0.2">
      <c r="A316" s="43">
        <v>31258</v>
      </c>
      <c r="B316" s="43" t="s">
        <v>291</v>
      </c>
      <c r="C316" s="43" t="s">
        <v>360</v>
      </c>
    </row>
    <row r="317" spans="1:3" x14ac:dyDescent="0.2">
      <c r="A317" s="43">
        <v>31259</v>
      </c>
      <c r="B317" s="43" t="s">
        <v>291</v>
      </c>
      <c r="C317" s="43" t="s">
        <v>361</v>
      </c>
    </row>
    <row r="318" spans="1:3" x14ac:dyDescent="0.2">
      <c r="A318" s="43">
        <v>31260</v>
      </c>
      <c r="B318" s="43" t="s">
        <v>291</v>
      </c>
      <c r="C318" s="43" t="s">
        <v>362</v>
      </c>
    </row>
    <row r="319" spans="1:3" x14ac:dyDescent="0.2">
      <c r="A319" s="43">
        <v>31261</v>
      </c>
      <c r="B319" s="43" t="s">
        <v>291</v>
      </c>
      <c r="C319" s="43" t="s">
        <v>363</v>
      </c>
    </row>
    <row r="320" spans="1:3" x14ac:dyDescent="0.2">
      <c r="A320" s="43">
        <v>31262</v>
      </c>
      <c r="B320" s="43" t="s">
        <v>291</v>
      </c>
      <c r="C320" s="43" t="s">
        <v>364</v>
      </c>
    </row>
    <row r="321" spans="1:3" x14ac:dyDescent="0.2">
      <c r="A321" s="43">
        <v>31263</v>
      </c>
      <c r="B321" s="43" t="s">
        <v>291</v>
      </c>
      <c r="C321" s="43" t="s">
        <v>365</v>
      </c>
    </row>
    <row r="322" spans="1:3" x14ac:dyDescent="0.2">
      <c r="A322" s="43">
        <v>31264</v>
      </c>
      <c r="B322" s="43" t="s">
        <v>291</v>
      </c>
      <c r="C322" s="43" t="s">
        <v>366</v>
      </c>
    </row>
    <row r="323" spans="1:3" x14ac:dyDescent="0.2">
      <c r="A323" s="43">
        <v>31265</v>
      </c>
      <c r="B323" s="43" t="s">
        <v>291</v>
      </c>
      <c r="C323" s="43" t="s">
        <v>367</v>
      </c>
    </row>
    <row r="324" spans="1:3" x14ac:dyDescent="0.2">
      <c r="A324" s="43">
        <v>31266</v>
      </c>
      <c r="B324" s="43" t="s">
        <v>291</v>
      </c>
      <c r="C324" s="43" t="s">
        <v>368</v>
      </c>
    </row>
    <row r="325" spans="1:3" x14ac:dyDescent="0.2">
      <c r="A325" s="43">
        <v>31267</v>
      </c>
      <c r="B325" s="43" t="s">
        <v>291</v>
      </c>
      <c r="C325" s="43" t="s">
        <v>369</v>
      </c>
    </row>
    <row r="326" spans="1:3" x14ac:dyDescent="0.2">
      <c r="A326" s="43">
        <v>31268</v>
      </c>
      <c r="B326" s="43" t="s">
        <v>291</v>
      </c>
      <c r="C326" s="43" t="s">
        <v>370</v>
      </c>
    </row>
    <row r="327" spans="1:3" x14ac:dyDescent="0.2">
      <c r="A327" s="43">
        <v>31269</v>
      </c>
      <c r="B327" s="43" t="s">
        <v>291</v>
      </c>
      <c r="C327" s="43" t="s">
        <v>371</v>
      </c>
    </row>
    <row r="328" spans="1:3" x14ac:dyDescent="0.2">
      <c r="A328" s="43">
        <v>31270</v>
      </c>
      <c r="B328" s="43" t="s">
        <v>291</v>
      </c>
      <c r="C328" s="43" t="s">
        <v>372</v>
      </c>
    </row>
    <row r="329" spans="1:3" x14ac:dyDescent="0.2">
      <c r="A329" s="43">
        <v>31271</v>
      </c>
      <c r="B329" s="43" t="s">
        <v>291</v>
      </c>
      <c r="C329" s="43" t="s">
        <v>373</v>
      </c>
    </row>
    <row r="330" spans="1:3" x14ac:dyDescent="0.2">
      <c r="A330" s="43">
        <v>40243</v>
      </c>
      <c r="B330" s="43" t="s">
        <v>374</v>
      </c>
      <c r="C330" s="43" t="s">
        <v>375</v>
      </c>
    </row>
    <row r="331" spans="1:3" x14ac:dyDescent="0.2">
      <c r="A331" s="43">
        <v>40244</v>
      </c>
      <c r="B331" s="43" t="s">
        <v>374</v>
      </c>
      <c r="C331" s="43" t="s">
        <v>376</v>
      </c>
    </row>
    <row r="332" spans="1:3" x14ac:dyDescent="0.2">
      <c r="A332" s="43">
        <v>40254</v>
      </c>
      <c r="B332" s="43" t="s">
        <v>374</v>
      </c>
      <c r="C332" s="43" t="s">
        <v>377</v>
      </c>
    </row>
    <row r="333" spans="1:3" x14ac:dyDescent="0.2">
      <c r="A333" s="43">
        <v>40255</v>
      </c>
      <c r="B333" s="43" t="s">
        <v>374</v>
      </c>
      <c r="C333" s="43" t="s">
        <v>378</v>
      </c>
    </row>
    <row r="334" spans="1:3" x14ac:dyDescent="0.2">
      <c r="A334" s="43">
        <v>40274</v>
      </c>
      <c r="B334" s="43" t="s">
        <v>374</v>
      </c>
      <c r="C334" s="43" t="s">
        <v>379</v>
      </c>
    </row>
    <row r="335" spans="1:3" x14ac:dyDescent="0.2">
      <c r="A335" s="43">
        <v>40275</v>
      </c>
      <c r="B335" s="43" t="s">
        <v>374</v>
      </c>
      <c r="C335" s="43" t="s">
        <v>380</v>
      </c>
    </row>
    <row r="336" spans="1:3" x14ac:dyDescent="0.2">
      <c r="A336" s="43">
        <v>40276</v>
      </c>
      <c r="B336" s="43" t="s">
        <v>374</v>
      </c>
      <c r="C336" s="43" t="s">
        <v>381</v>
      </c>
    </row>
    <row r="337" spans="1:3" x14ac:dyDescent="0.2">
      <c r="A337" s="43">
        <v>40277</v>
      </c>
      <c r="B337" s="43" t="s">
        <v>374</v>
      </c>
      <c r="C337" s="43" t="s">
        <v>382</v>
      </c>
    </row>
    <row r="338" spans="1:3" x14ac:dyDescent="0.2">
      <c r="A338" s="43">
        <v>40279</v>
      </c>
      <c r="B338" s="43" t="s">
        <v>374</v>
      </c>
      <c r="C338" s="43" t="s">
        <v>383</v>
      </c>
    </row>
    <row r="339" spans="1:3" x14ac:dyDescent="0.2">
      <c r="A339" s="43">
        <v>40280</v>
      </c>
      <c r="B339" s="43" t="s">
        <v>374</v>
      </c>
      <c r="C339" s="43" t="s">
        <v>384</v>
      </c>
    </row>
    <row r="340" spans="1:3" x14ac:dyDescent="0.2">
      <c r="A340" s="43">
        <v>40281</v>
      </c>
      <c r="B340" s="43" t="s">
        <v>374</v>
      </c>
      <c r="C340" s="43" t="s">
        <v>385</v>
      </c>
    </row>
    <row r="341" spans="1:3" x14ac:dyDescent="0.2">
      <c r="A341" s="43">
        <v>40282</v>
      </c>
      <c r="B341" s="43" t="s">
        <v>374</v>
      </c>
      <c r="C341" s="43" t="s">
        <v>386</v>
      </c>
    </row>
    <row r="342" spans="1:3" x14ac:dyDescent="0.2">
      <c r="A342" s="43">
        <v>41243</v>
      </c>
      <c r="B342" s="43" t="s">
        <v>374</v>
      </c>
      <c r="C342" s="43" t="s">
        <v>387</v>
      </c>
    </row>
    <row r="343" spans="1:3" x14ac:dyDescent="0.2">
      <c r="A343" s="43">
        <v>41244</v>
      </c>
      <c r="B343" s="43" t="s">
        <v>374</v>
      </c>
      <c r="C343" s="43" t="s">
        <v>388</v>
      </c>
    </row>
    <row r="344" spans="1:3" x14ac:dyDescent="0.2">
      <c r="A344" s="43">
        <v>41254</v>
      </c>
      <c r="B344" s="43" t="s">
        <v>374</v>
      </c>
      <c r="C344" s="43" t="s">
        <v>389</v>
      </c>
    </row>
    <row r="345" spans="1:3" x14ac:dyDescent="0.2">
      <c r="A345" s="43">
        <v>41255</v>
      </c>
      <c r="B345" s="43" t="s">
        <v>374</v>
      </c>
      <c r="C345" s="43" t="s">
        <v>390</v>
      </c>
    </row>
    <row r="346" spans="1:3" x14ac:dyDescent="0.2">
      <c r="A346" s="43">
        <v>41274</v>
      </c>
      <c r="B346" s="43" t="s">
        <v>374</v>
      </c>
      <c r="C346" s="43" t="s">
        <v>391</v>
      </c>
    </row>
    <row r="347" spans="1:3" x14ac:dyDescent="0.2">
      <c r="A347" s="43">
        <v>41275</v>
      </c>
      <c r="B347" s="43" t="s">
        <v>374</v>
      </c>
      <c r="C347" s="43" t="s">
        <v>392</v>
      </c>
    </row>
    <row r="348" spans="1:3" x14ac:dyDescent="0.2">
      <c r="A348" s="43">
        <v>41276</v>
      </c>
      <c r="B348" s="43" t="s">
        <v>374</v>
      </c>
      <c r="C348" s="43" t="s">
        <v>393</v>
      </c>
    </row>
    <row r="349" spans="1:3" x14ac:dyDescent="0.2">
      <c r="A349" s="43">
        <v>41277</v>
      </c>
      <c r="B349" s="43" t="s">
        <v>374</v>
      </c>
      <c r="C349" s="43" t="s">
        <v>394</v>
      </c>
    </row>
    <row r="350" spans="1:3" x14ac:dyDescent="0.2">
      <c r="A350" s="43">
        <v>41279</v>
      </c>
      <c r="B350" s="43" t="s">
        <v>374</v>
      </c>
      <c r="C350" s="43" t="s">
        <v>395</v>
      </c>
    </row>
    <row r="351" spans="1:3" x14ac:dyDescent="0.2">
      <c r="A351" s="43">
        <v>41280</v>
      </c>
      <c r="B351" s="43" t="s">
        <v>374</v>
      </c>
      <c r="C351" s="43" t="s">
        <v>396</v>
      </c>
    </row>
    <row r="352" spans="1:3" x14ac:dyDescent="0.2">
      <c r="A352" s="43">
        <v>41281</v>
      </c>
      <c r="B352" s="43" t="s">
        <v>374</v>
      </c>
      <c r="C352" s="43" t="s">
        <v>397</v>
      </c>
    </row>
    <row r="353" spans="1:3" x14ac:dyDescent="0.2">
      <c r="A353" s="43">
        <v>41282</v>
      </c>
      <c r="B353" s="43" t="s">
        <v>374</v>
      </c>
      <c r="C353" s="43" t="s">
        <v>398</v>
      </c>
    </row>
    <row r="354" spans="1:3" x14ac:dyDescent="0.2">
      <c r="A354" s="43">
        <v>43000</v>
      </c>
      <c r="B354" s="43" t="s">
        <v>374</v>
      </c>
      <c r="C354" s="43" t="s">
        <v>399</v>
      </c>
    </row>
    <row r="355" spans="1:3" x14ac:dyDescent="0.2">
      <c r="A355" s="43">
        <v>50304</v>
      </c>
      <c r="B355" s="43" t="s">
        <v>400</v>
      </c>
      <c r="C355" s="43" t="s">
        <v>401</v>
      </c>
    </row>
    <row r="356" spans="1:3" x14ac:dyDescent="0.2">
      <c r="A356" s="43">
        <v>50305</v>
      </c>
      <c r="B356" s="43" t="s">
        <v>400</v>
      </c>
      <c r="C356" s="43" t="s">
        <v>402</v>
      </c>
    </row>
    <row r="357" spans="1:3" x14ac:dyDescent="0.2">
      <c r="A357" s="43">
        <v>50306</v>
      </c>
      <c r="B357" s="43" t="s">
        <v>400</v>
      </c>
      <c r="C357" s="43" t="s">
        <v>403</v>
      </c>
    </row>
    <row r="358" spans="1:3" x14ac:dyDescent="0.2">
      <c r="A358" s="43">
        <v>50307</v>
      </c>
      <c r="B358" s="43" t="s">
        <v>400</v>
      </c>
      <c r="C358" s="43" t="s">
        <v>404</v>
      </c>
    </row>
    <row r="359" spans="1:3" x14ac:dyDescent="0.2">
      <c r="A359" s="43">
        <v>50308</v>
      </c>
      <c r="B359" s="43" t="s">
        <v>400</v>
      </c>
      <c r="C359" s="43" t="s">
        <v>405</v>
      </c>
    </row>
    <row r="360" spans="1:3" x14ac:dyDescent="0.2">
      <c r="A360" s="43">
        <v>50309</v>
      </c>
      <c r="B360" s="43" t="s">
        <v>400</v>
      </c>
      <c r="C360" s="43" t="s">
        <v>406</v>
      </c>
    </row>
    <row r="361" spans="1:3" x14ac:dyDescent="0.2">
      <c r="A361" s="43">
        <v>50310</v>
      </c>
      <c r="B361" s="43" t="s">
        <v>400</v>
      </c>
      <c r="C361" s="43" t="s">
        <v>407</v>
      </c>
    </row>
    <row r="362" spans="1:3" x14ac:dyDescent="0.2">
      <c r="A362" s="43">
        <v>50311</v>
      </c>
      <c r="B362" s="43" t="s">
        <v>400</v>
      </c>
      <c r="C362" s="43" t="s">
        <v>408</v>
      </c>
    </row>
    <row r="363" spans="1:3" x14ac:dyDescent="0.2">
      <c r="A363" s="43">
        <v>50312</v>
      </c>
      <c r="B363" s="43" t="s">
        <v>400</v>
      </c>
      <c r="C363" s="43" t="s">
        <v>409</v>
      </c>
    </row>
    <row r="364" spans="1:3" x14ac:dyDescent="0.2">
      <c r="A364" s="43">
        <v>50313</v>
      </c>
      <c r="B364" s="43" t="s">
        <v>400</v>
      </c>
      <c r="C364" s="43" t="s">
        <v>410</v>
      </c>
    </row>
    <row r="365" spans="1:3" x14ac:dyDescent="0.2">
      <c r="A365" s="43">
        <v>50314</v>
      </c>
      <c r="B365" s="43" t="s">
        <v>400</v>
      </c>
      <c r="C365" s="43" t="s">
        <v>411</v>
      </c>
    </row>
    <row r="366" spans="1:3" x14ac:dyDescent="0.2">
      <c r="A366" s="43">
        <v>50315</v>
      </c>
      <c r="B366" s="43" t="s">
        <v>400</v>
      </c>
      <c r="C366" s="43" t="s">
        <v>412</v>
      </c>
    </row>
    <row r="367" spans="1:3" x14ac:dyDescent="0.2">
      <c r="A367" s="43">
        <v>50316</v>
      </c>
      <c r="B367" s="43" t="s">
        <v>400</v>
      </c>
      <c r="C367" s="43" t="s">
        <v>413</v>
      </c>
    </row>
    <row r="368" spans="1:3" x14ac:dyDescent="0.2">
      <c r="A368" s="43">
        <v>50317</v>
      </c>
      <c r="B368" s="43" t="s">
        <v>400</v>
      </c>
      <c r="C368" s="43" t="s">
        <v>414</v>
      </c>
    </row>
    <row r="369" spans="1:3" x14ac:dyDescent="0.2">
      <c r="A369" s="43">
        <v>50320</v>
      </c>
      <c r="B369" s="43" t="s">
        <v>400</v>
      </c>
      <c r="C369" s="43" t="s">
        <v>415</v>
      </c>
    </row>
    <row r="370" spans="1:3" x14ac:dyDescent="0.2">
      <c r="A370" s="43">
        <v>50321</v>
      </c>
      <c r="B370" s="43" t="s">
        <v>400</v>
      </c>
      <c r="C370" s="43" t="s">
        <v>416</v>
      </c>
    </row>
    <row r="371" spans="1:3" x14ac:dyDescent="0.2">
      <c r="A371" s="43">
        <v>50322</v>
      </c>
      <c r="B371" s="43" t="s">
        <v>400</v>
      </c>
      <c r="C371" s="43" t="s">
        <v>417</v>
      </c>
    </row>
    <row r="372" spans="1:3" x14ac:dyDescent="0.2">
      <c r="A372" s="43">
        <v>50323</v>
      </c>
      <c r="B372" s="43" t="s">
        <v>400</v>
      </c>
      <c r="C372" s="43" t="s">
        <v>418</v>
      </c>
    </row>
    <row r="373" spans="1:3" x14ac:dyDescent="0.2">
      <c r="A373" s="43">
        <v>50324</v>
      </c>
      <c r="B373" s="43" t="s">
        <v>400</v>
      </c>
      <c r="C373" s="43" t="s">
        <v>419</v>
      </c>
    </row>
    <row r="374" spans="1:3" x14ac:dyDescent="0.2">
      <c r="A374" s="43">
        <v>50325</v>
      </c>
      <c r="B374" s="43" t="s">
        <v>400</v>
      </c>
      <c r="C374" s="43" t="s">
        <v>420</v>
      </c>
    </row>
    <row r="375" spans="1:3" x14ac:dyDescent="0.2">
      <c r="A375" s="43">
        <v>50326</v>
      </c>
      <c r="B375" s="43" t="s">
        <v>400</v>
      </c>
      <c r="C375" s="43" t="s">
        <v>421</v>
      </c>
    </row>
    <row r="376" spans="1:3" x14ac:dyDescent="0.2">
      <c r="A376" s="43">
        <v>50327</v>
      </c>
      <c r="B376" s="43" t="s">
        <v>400</v>
      </c>
      <c r="C376" s="43" t="s">
        <v>422</v>
      </c>
    </row>
    <row r="377" spans="1:3" x14ac:dyDescent="0.2">
      <c r="A377" s="43">
        <v>50328</v>
      </c>
      <c r="B377" s="43" t="s">
        <v>400</v>
      </c>
      <c r="C377" s="43" t="s">
        <v>423</v>
      </c>
    </row>
    <row r="378" spans="1:3" x14ac:dyDescent="0.2">
      <c r="A378" s="43">
        <v>50329</v>
      </c>
      <c r="B378" s="43" t="s">
        <v>400</v>
      </c>
      <c r="C378" s="43" t="s">
        <v>424</v>
      </c>
    </row>
    <row r="379" spans="1:3" x14ac:dyDescent="0.2">
      <c r="A379" s="43">
        <v>50330</v>
      </c>
      <c r="B379" s="43" t="s">
        <v>400</v>
      </c>
      <c r="C379" s="43" t="s">
        <v>425</v>
      </c>
    </row>
    <row r="380" spans="1:3" x14ac:dyDescent="0.2">
      <c r="A380" s="43">
        <v>50331</v>
      </c>
      <c r="B380" s="43" t="s">
        <v>400</v>
      </c>
      <c r="C380" s="43" t="s">
        <v>426</v>
      </c>
    </row>
    <row r="381" spans="1:3" x14ac:dyDescent="0.2">
      <c r="A381" s="43">
        <v>50332</v>
      </c>
      <c r="B381" s="43" t="s">
        <v>400</v>
      </c>
      <c r="C381" s="43" t="s">
        <v>427</v>
      </c>
    </row>
    <row r="382" spans="1:3" x14ac:dyDescent="0.2">
      <c r="A382" s="43">
        <v>50333</v>
      </c>
      <c r="B382" s="43" t="s">
        <v>400</v>
      </c>
      <c r="C382" s="43" t="s">
        <v>428</v>
      </c>
    </row>
    <row r="383" spans="1:3" x14ac:dyDescent="0.2">
      <c r="A383" s="43">
        <v>50334</v>
      </c>
      <c r="B383" s="43" t="s">
        <v>400</v>
      </c>
      <c r="C383" s="43" t="s">
        <v>429</v>
      </c>
    </row>
    <row r="384" spans="1:3" x14ac:dyDescent="0.2">
      <c r="A384" s="43">
        <v>50336</v>
      </c>
      <c r="B384" s="43" t="s">
        <v>400</v>
      </c>
      <c r="C384" s="43" t="s">
        <v>430</v>
      </c>
    </row>
    <row r="385" spans="1:3" x14ac:dyDescent="0.2">
      <c r="A385" s="43">
        <v>50337</v>
      </c>
      <c r="B385" s="43" t="s">
        <v>400</v>
      </c>
      <c r="C385" s="43" t="s">
        <v>431</v>
      </c>
    </row>
    <row r="386" spans="1:3" x14ac:dyDescent="0.2">
      <c r="A386" s="43">
        <v>50338</v>
      </c>
      <c r="B386" s="43" t="s">
        <v>400</v>
      </c>
      <c r="C386" s="43" t="s">
        <v>432</v>
      </c>
    </row>
    <row r="387" spans="1:3" x14ac:dyDescent="0.2">
      <c r="A387" s="43">
        <v>50339</v>
      </c>
      <c r="B387" s="43" t="s">
        <v>400</v>
      </c>
      <c r="C387" s="43" t="s">
        <v>433</v>
      </c>
    </row>
    <row r="388" spans="1:3" x14ac:dyDescent="0.2">
      <c r="A388" s="43">
        <v>50340</v>
      </c>
      <c r="B388" s="43" t="s">
        <v>400</v>
      </c>
      <c r="C388" s="43" t="s">
        <v>434</v>
      </c>
    </row>
    <row r="389" spans="1:3" x14ac:dyDescent="0.2">
      <c r="A389" s="43">
        <v>50341</v>
      </c>
      <c r="B389" s="43" t="s">
        <v>400</v>
      </c>
      <c r="C389" s="43" t="s">
        <v>435</v>
      </c>
    </row>
    <row r="390" spans="1:3" x14ac:dyDescent="0.2">
      <c r="A390" s="43">
        <v>50342</v>
      </c>
      <c r="B390" s="43" t="s">
        <v>400</v>
      </c>
      <c r="C390" s="43" t="s">
        <v>436</v>
      </c>
    </row>
    <row r="391" spans="1:3" x14ac:dyDescent="0.2">
      <c r="A391" s="43">
        <v>50343</v>
      </c>
      <c r="B391" s="43" t="s">
        <v>400</v>
      </c>
      <c r="C391" s="43" t="s">
        <v>437</v>
      </c>
    </row>
    <row r="392" spans="1:3" x14ac:dyDescent="0.2">
      <c r="A392" s="43">
        <v>50344</v>
      </c>
      <c r="B392" s="43" t="s">
        <v>400</v>
      </c>
      <c r="C392" s="43" t="s">
        <v>438</v>
      </c>
    </row>
    <row r="393" spans="1:3" x14ac:dyDescent="0.2">
      <c r="A393" s="43">
        <v>50345</v>
      </c>
      <c r="B393" s="43" t="s">
        <v>400</v>
      </c>
      <c r="C393" s="43" t="s">
        <v>439</v>
      </c>
    </row>
    <row r="394" spans="1:3" x14ac:dyDescent="0.2">
      <c r="A394" s="43">
        <v>50346</v>
      </c>
      <c r="B394" s="43" t="s">
        <v>400</v>
      </c>
      <c r="C394" s="43" t="s">
        <v>440</v>
      </c>
    </row>
    <row r="395" spans="1:3" x14ac:dyDescent="0.2">
      <c r="A395" s="43">
        <v>50347</v>
      </c>
      <c r="B395" s="43" t="s">
        <v>400</v>
      </c>
      <c r="C395" s="43" t="s">
        <v>441</v>
      </c>
    </row>
    <row r="396" spans="1:3" x14ac:dyDescent="0.2">
      <c r="A396" s="43">
        <v>51304</v>
      </c>
      <c r="B396" s="43" t="s">
        <v>400</v>
      </c>
      <c r="C396" s="43" t="s">
        <v>442</v>
      </c>
    </row>
    <row r="397" spans="1:3" x14ac:dyDescent="0.2">
      <c r="A397" s="43">
        <v>51305</v>
      </c>
      <c r="B397" s="43" t="s">
        <v>400</v>
      </c>
      <c r="C397" s="43" t="s">
        <v>443</v>
      </c>
    </row>
    <row r="398" spans="1:3" x14ac:dyDescent="0.2">
      <c r="A398" s="43">
        <v>51306</v>
      </c>
      <c r="B398" s="43" t="s">
        <v>400</v>
      </c>
      <c r="C398" s="43" t="s">
        <v>444</v>
      </c>
    </row>
    <row r="399" spans="1:3" x14ac:dyDescent="0.2">
      <c r="A399" s="43">
        <v>51307</v>
      </c>
      <c r="B399" s="43" t="s">
        <v>400</v>
      </c>
      <c r="C399" s="43" t="s">
        <v>445</v>
      </c>
    </row>
    <row r="400" spans="1:3" x14ac:dyDescent="0.2">
      <c r="A400" s="43">
        <v>51308</v>
      </c>
      <c r="B400" s="43" t="s">
        <v>400</v>
      </c>
      <c r="C400" s="43" t="s">
        <v>446</v>
      </c>
    </row>
    <row r="401" spans="1:3" x14ac:dyDescent="0.2">
      <c r="A401" s="43">
        <v>51309</v>
      </c>
      <c r="B401" s="43" t="s">
        <v>400</v>
      </c>
      <c r="C401" s="43" t="s">
        <v>447</v>
      </c>
    </row>
    <row r="402" spans="1:3" x14ac:dyDescent="0.2">
      <c r="A402" s="43">
        <v>51310</v>
      </c>
      <c r="B402" s="43" t="s">
        <v>400</v>
      </c>
      <c r="C402" s="43" t="s">
        <v>448</v>
      </c>
    </row>
    <row r="403" spans="1:3" x14ac:dyDescent="0.2">
      <c r="A403" s="43">
        <v>51311</v>
      </c>
      <c r="B403" s="43" t="s">
        <v>400</v>
      </c>
      <c r="C403" s="43" t="s">
        <v>449</v>
      </c>
    </row>
    <row r="404" spans="1:3" x14ac:dyDescent="0.2">
      <c r="A404" s="43">
        <v>51312</v>
      </c>
      <c r="B404" s="43" t="s">
        <v>400</v>
      </c>
      <c r="C404" s="43" t="s">
        <v>450</v>
      </c>
    </row>
    <row r="405" spans="1:3" x14ac:dyDescent="0.2">
      <c r="A405" s="43">
        <v>51313</v>
      </c>
      <c r="B405" s="43" t="s">
        <v>400</v>
      </c>
      <c r="C405" s="43" t="s">
        <v>451</v>
      </c>
    </row>
    <row r="406" spans="1:3" x14ac:dyDescent="0.2">
      <c r="A406" s="43">
        <v>51314</v>
      </c>
      <c r="B406" s="43" t="s">
        <v>400</v>
      </c>
      <c r="C406" s="43" t="s">
        <v>452</v>
      </c>
    </row>
    <row r="407" spans="1:3" x14ac:dyDescent="0.2">
      <c r="A407" s="43">
        <v>51315</v>
      </c>
      <c r="B407" s="43" t="s">
        <v>400</v>
      </c>
      <c r="C407" s="43" t="s">
        <v>453</v>
      </c>
    </row>
    <row r="408" spans="1:3" x14ac:dyDescent="0.2">
      <c r="A408" s="43">
        <v>51316</v>
      </c>
      <c r="B408" s="43" t="s">
        <v>400</v>
      </c>
      <c r="C408" s="43" t="s">
        <v>454</v>
      </c>
    </row>
    <row r="409" spans="1:3" x14ac:dyDescent="0.2">
      <c r="A409" s="43">
        <v>51317</v>
      </c>
      <c r="B409" s="43" t="s">
        <v>400</v>
      </c>
      <c r="C409" s="43" t="s">
        <v>455</v>
      </c>
    </row>
    <row r="410" spans="1:3" x14ac:dyDescent="0.2">
      <c r="A410" s="43">
        <v>51320</v>
      </c>
      <c r="B410" s="43" t="s">
        <v>400</v>
      </c>
      <c r="C410" s="43" t="s">
        <v>456</v>
      </c>
    </row>
    <row r="411" spans="1:3" x14ac:dyDescent="0.2">
      <c r="A411" s="43">
        <v>51321</v>
      </c>
      <c r="B411" s="43" t="s">
        <v>400</v>
      </c>
      <c r="C411" s="43" t="s">
        <v>457</v>
      </c>
    </row>
    <row r="412" spans="1:3" x14ac:dyDescent="0.2">
      <c r="A412" s="43">
        <v>51322</v>
      </c>
      <c r="B412" s="43" t="s">
        <v>400</v>
      </c>
      <c r="C412" s="43" t="s">
        <v>458</v>
      </c>
    </row>
    <row r="413" spans="1:3" x14ac:dyDescent="0.2">
      <c r="A413" s="43">
        <v>51323</v>
      </c>
      <c r="B413" s="43" t="s">
        <v>400</v>
      </c>
      <c r="C413" s="43" t="s">
        <v>459</v>
      </c>
    </row>
    <row r="414" spans="1:3" x14ac:dyDescent="0.2">
      <c r="A414" s="43">
        <v>51324</v>
      </c>
      <c r="B414" s="43" t="s">
        <v>400</v>
      </c>
      <c r="C414" s="43" t="s">
        <v>460</v>
      </c>
    </row>
    <row r="415" spans="1:3" x14ac:dyDescent="0.2">
      <c r="A415" s="43">
        <v>51325</v>
      </c>
      <c r="B415" s="43" t="s">
        <v>400</v>
      </c>
      <c r="C415" s="43" t="s">
        <v>461</v>
      </c>
    </row>
    <row r="416" spans="1:3" x14ac:dyDescent="0.2">
      <c r="A416" s="43">
        <v>51326</v>
      </c>
      <c r="B416" s="43" t="s">
        <v>400</v>
      </c>
      <c r="C416" s="43" t="s">
        <v>462</v>
      </c>
    </row>
    <row r="417" spans="1:3" x14ac:dyDescent="0.2">
      <c r="A417" s="43">
        <v>51327</v>
      </c>
      <c r="B417" s="43" t="s">
        <v>400</v>
      </c>
      <c r="C417" s="43" t="s">
        <v>463</v>
      </c>
    </row>
    <row r="418" spans="1:3" x14ac:dyDescent="0.2">
      <c r="A418" s="43">
        <v>51328</v>
      </c>
      <c r="B418" s="43" t="s">
        <v>400</v>
      </c>
      <c r="C418" s="43" t="s">
        <v>464</v>
      </c>
    </row>
    <row r="419" spans="1:3" x14ac:dyDescent="0.2">
      <c r="A419" s="43">
        <v>51329</v>
      </c>
      <c r="B419" s="43" t="s">
        <v>400</v>
      </c>
      <c r="C419" s="43" t="s">
        <v>465</v>
      </c>
    </row>
    <row r="420" spans="1:3" x14ac:dyDescent="0.2">
      <c r="A420" s="43">
        <v>51330</v>
      </c>
      <c r="B420" s="43" t="s">
        <v>400</v>
      </c>
      <c r="C420" s="43" t="s">
        <v>466</v>
      </c>
    </row>
    <row r="421" spans="1:3" x14ac:dyDescent="0.2">
      <c r="A421" s="43">
        <v>51331</v>
      </c>
      <c r="B421" s="43" t="s">
        <v>400</v>
      </c>
      <c r="C421" s="43" t="s">
        <v>467</v>
      </c>
    </row>
    <row r="422" spans="1:3" x14ac:dyDescent="0.2">
      <c r="A422" s="43">
        <v>51332</v>
      </c>
      <c r="B422" s="43" t="s">
        <v>400</v>
      </c>
      <c r="C422" s="43" t="s">
        <v>468</v>
      </c>
    </row>
    <row r="423" spans="1:3" x14ac:dyDescent="0.2">
      <c r="A423" s="43">
        <v>51333</v>
      </c>
      <c r="B423" s="43" t="s">
        <v>400</v>
      </c>
      <c r="C423" s="43" t="s">
        <v>469</v>
      </c>
    </row>
    <row r="424" spans="1:3" x14ac:dyDescent="0.2">
      <c r="A424" s="43">
        <v>51334</v>
      </c>
      <c r="B424" s="43" t="s">
        <v>400</v>
      </c>
      <c r="C424" s="43" t="s">
        <v>470</v>
      </c>
    </row>
    <row r="425" spans="1:3" x14ac:dyDescent="0.2">
      <c r="A425" s="43">
        <v>51336</v>
      </c>
      <c r="B425" s="43" t="s">
        <v>400</v>
      </c>
      <c r="C425" s="43" t="s">
        <v>471</v>
      </c>
    </row>
    <row r="426" spans="1:3" x14ac:dyDescent="0.2">
      <c r="A426" s="43">
        <v>51337</v>
      </c>
      <c r="B426" s="43" t="s">
        <v>400</v>
      </c>
      <c r="C426" s="43" t="s">
        <v>472</v>
      </c>
    </row>
    <row r="427" spans="1:3" x14ac:dyDescent="0.2">
      <c r="A427" s="43">
        <v>51338</v>
      </c>
      <c r="B427" s="43" t="s">
        <v>400</v>
      </c>
      <c r="C427" s="43" t="s">
        <v>473</v>
      </c>
    </row>
    <row r="428" spans="1:3" x14ac:dyDescent="0.2">
      <c r="A428" s="43">
        <v>51339</v>
      </c>
      <c r="B428" s="43" t="s">
        <v>400</v>
      </c>
      <c r="C428" s="43" t="s">
        <v>474</v>
      </c>
    </row>
    <row r="429" spans="1:3" x14ac:dyDescent="0.2">
      <c r="A429" s="43">
        <v>51340</v>
      </c>
      <c r="B429" s="43" t="s">
        <v>400</v>
      </c>
      <c r="C429" s="43" t="s">
        <v>475</v>
      </c>
    </row>
    <row r="430" spans="1:3" x14ac:dyDescent="0.2">
      <c r="A430" s="43">
        <v>51341</v>
      </c>
      <c r="B430" s="43" t="s">
        <v>400</v>
      </c>
      <c r="C430" s="43" t="s">
        <v>476</v>
      </c>
    </row>
    <row r="431" spans="1:3" x14ac:dyDescent="0.2">
      <c r="A431" s="43">
        <v>51342</v>
      </c>
      <c r="B431" s="43" t="s">
        <v>400</v>
      </c>
      <c r="C431" s="43" t="s">
        <v>477</v>
      </c>
    </row>
    <row r="432" spans="1:3" x14ac:dyDescent="0.2">
      <c r="A432" s="43">
        <v>51343</v>
      </c>
      <c r="B432" s="43" t="s">
        <v>400</v>
      </c>
      <c r="C432" s="43" t="s">
        <v>478</v>
      </c>
    </row>
    <row r="433" spans="1:3" x14ac:dyDescent="0.2">
      <c r="A433" s="43">
        <v>51344</v>
      </c>
      <c r="B433" s="43" t="s">
        <v>400</v>
      </c>
      <c r="C433" s="43" t="s">
        <v>479</v>
      </c>
    </row>
    <row r="434" spans="1:3" x14ac:dyDescent="0.2">
      <c r="A434" s="43">
        <v>51345</v>
      </c>
      <c r="B434" s="43" t="s">
        <v>400</v>
      </c>
      <c r="C434" s="43" t="s">
        <v>480</v>
      </c>
    </row>
    <row r="435" spans="1:3" x14ac:dyDescent="0.2">
      <c r="A435" s="43">
        <v>51346</v>
      </c>
      <c r="B435" s="43" t="s">
        <v>400</v>
      </c>
      <c r="C435" s="43" t="s">
        <v>481</v>
      </c>
    </row>
    <row r="436" spans="1:3" x14ac:dyDescent="0.2">
      <c r="A436" s="43">
        <v>51347</v>
      </c>
      <c r="B436" s="43" t="s">
        <v>400</v>
      </c>
      <c r="C436" s="43" t="s">
        <v>482</v>
      </c>
    </row>
    <row r="437" spans="1:3" x14ac:dyDescent="0.2">
      <c r="A437" s="43">
        <v>53000</v>
      </c>
      <c r="B437" s="43" t="s">
        <v>400</v>
      </c>
      <c r="C437" s="43" t="s">
        <v>483</v>
      </c>
    </row>
    <row r="438" spans="1:3" x14ac:dyDescent="0.2">
      <c r="A438" s="43">
        <v>53001</v>
      </c>
      <c r="B438" s="43" t="s">
        <v>400</v>
      </c>
      <c r="C438" s="43" t="s">
        <v>484</v>
      </c>
    </row>
    <row r="439" spans="1:3" x14ac:dyDescent="0.2">
      <c r="A439" s="43">
        <v>53002</v>
      </c>
      <c r="B439" s="43" t="s">
        <v>400</v>
      </c>
      <c r="C439" s="43" t="s">
        <v>485</v>
      </c>
    </row>
    <row r="440" spans="1:3" x14ac:dyDescent="0.2">
      <c r="A440" s="43">
        <v>53003</v>
      </c>
      <c r="B440" s="43" t="s">
        <v>400</v>
      </c>
      <c r="C440" s="43" t="s">
        <v>486</v>
      </c>
    </row>
    <row r="441" spans="1:3" x14ac:dyDescent="0.2">
      <c r="A441" s="43">
        <v>60368</v>
      </c>
      <c r="B441" s="43" t="s">
        <v>487</v>
      </c>
      <c r="C441" s="43" t="s">
        <v>488</v>
      </c>
    </row>
    <row r="442" spans="1:3" x14ac:dyDescent="0.2">
      <c r="A442" s="43">
        <v>60369</v>
      </c>
      <c r="B442" s="43" t="s">
        <v>487</v>
      </c>
      <c r="C442" s="43" t="s">
        <v>489</v>
      </c>
    </row>
    <row r="443" spans="1:3" x14ac:dyDescent="0.2">
      <c r="A443" s="43">
        <v>60370</v>
      </c>
      <c r="B443" s="43" t="s">
        <v>487</v>
      </c>
      <c r="C443" s="43" t="s">
        <v>490</v>
      </c>
    </row>
    <row r="444" spans="1:3" x14ac:dyDescent="0.2">
      <c r="A444" s="43">
        <v>60371</v>
      </c>
      <c r="B444" s="43" t="s">
        <v>487</v>
      </c>
      <c r="C444" s="43" t="s">
        <v>491</v>
      </c>
    </row>
    <row r="445" spans="1:3" x14ac:dyDescent="0.2">
      <c r="A445" s="43">
        <v>60372</v>
      </c>
      <c r="B445" s="43" t="s">
        <v>487</v>
      </c>
      <c r="C445" s="43" t="s">
        <v>492</v>
      </c>
    </row>
    <row r="446" spans="1:3" x14ac:dyDescent="0.2">
      <c r="A446" s="43">
        <v>60373</v>
      </c>
      <c r="B446" s="43" t="s">
        <v>487</v>
      </c>
      <c r="C446" s="43" t="s">
        <v>493</v>
      </c>
    </row>
    <row r="447" spans="1:3" x14ac:dyDescent="0.2">
      <c r="A447" s="43">
        <v>60374</v>
      </c>
      <c r="B447" s="43" t="s">
        <v>487</v>
      </c>
      <c r="C447" s="43" t="s">
        <v>494</v>
      </c>
    </row>
    <row r="448" spans="1:3" x14ac:dyDescent="0.2">
      <c r="A448" s="43">
        <v>60375</v>
      </c>
      <c r="B448" s="43" t="s">
        <v>487</v>
      </c>
      <c r="C448" s="43" t="s">
        <v>495</v>
      </c>
    </row>
    <row r="449" spans="1:3" x14ac:dyDescent="0.2">
      <c r="A449" s="43">
        <v>60376</v>
      </c>
      <c r="B449" s="43" t="s">
        <v>487</v>
      </c>
      <c r="C449" s="43" t="s">
        <v>496</v>
      </c>
    </row>
    <row r="450" spans="1:3" x14ac:dyDescent="0.2">
      <c r="A450" s="43">
        <v>60377</v>
      </c>
      <c r="B450" s="43" t="s">
        <v>487</v>
      </c>
      <c r="C450" s="43" t="s">
        <v>497</v>
      </c>
    </row>
    <row r="451" spans="1:3" x14ac:dyDescent="0.2">
      <c r="A451" s="43">
        <v>60378</v>
      </c>
      <c r="B451" s="43" t="s">
        <v>487</v>
      </c>
      <c r="C451" s="43" t="s">
        <v>498</v>
      </c>
    </row>
    <row r="452" spans="1:3" x14ac:dyDescent="0.2">
      <c r="A452" s="43">
        <v>60379</v>
      </c>
      <c r="B452" s="43" t="s">
        <v>487</v>
      </c>
      <c r="C452" s="43" t="s">
        <v>499</v>
      </c>
    </row>
    <row r="453" spans="1:3" x14ac:dyDescent="0.2">
      <c r="A453" s="43">
        <v>60380</v>
      </c>
      <c r="B453" s="43" t="s">
        <v>487</v>
      </c>
      <c r="C453" s="43" t="s">
        <v>500</v>
      </c>
    </row>
    <row r="454" spans="1:3" x14ac:dyDescent="0.2">
      <c r="A454" s="43">
        <v>60381</v>
      </c>
      <c r="B454" s="43" t="s">
        <v>487</v>
      </c>
      <c r="C454" s="43" t="s">
        <v>501</v>
      </c>
    </row>
    <row r="455" spans="1:3" x14ac:dyDescent="0.2">
      <c r="A455" s="43">
        <v>60384</v>
      </c>
      <c r="B455" s="43" t="s">
        <v>487</v>
      </c>
      <c r="C455" s="43" t="s">
        <v>502</v>
      </c>
    </row>
    <row r="456" spans="1:3" x14ac:dyDescent="0.2">
      <c r="A456" s="43">
        <v>60385</v>
      </c>
      <c r="B456" s="43" t="s">
        <v>487</v>
      </c>
      <c r="C456" s="43" t="s">
        <v>503</v>
      </c>
    </row>
    <row r="457" spans="1:3" x14ac:dyDescent="0.2">
      <c r="A457" s="43">
        <v>60386</v>
      </c>
      <c r="B457" s="43" t="s">
        <v>487</v>
      </c>
      <c r="C457" s="43" t="s">
        <v>504</v>
      </c>
    </row>
    <row r="458" spans="1:3" x14ac:dyDescent="0.2">
      <c r="A458" s="43">
        <v>60387</v>
      </c>
      <c r="B458" s="43" t="s">
        <v>487</v>
      </c>
      <c r="C458" s="43" t="s">
        <v>505</v>
      </c>
    </row>
    <row r="459" spans="1:3" x14ac:dyDescent="0.2">
      <c r="A459" s="43">
        <v>60388</v>
      </c>
      <c r="B459" s="43" t="s">
        <v>487</v>
      </c>
      <c r="C459" s="43" t="s">
        <v>506</v>
      </c>
    </row>
    <row r="460" spans="1:3" x14ac:dyDescent="0.2">
      <c r="A460" s="43">
        <v>60389</v>
      </c>
      <c r="B460" s="43" t="s">
        <v>487</v>
      </c>
      <c r="C460" s="43" t="s">
        <v>507</v>
      </c>
    </row>
    <row r="461" spans="1:3" x14ac:dyDescent="0.2">
      <c r="A461" s="43">
        <v>60390</v>
      </c>
      <c r="B461" s="43" t="s">
        <v>487</v>
      </c>
      <c r="C461" s="43" t="s">
        <v>508</v>
      </c>
    </row>
    <row r="462" spans="1:3" x14ac:dyDescent="0.2">
      <c r="A462" s="43">
        <v>60391</v>
      </c>
      <c r="B462" s="43" t="s">
        <v>487</v>
      </c>
      <c r="C462" s="43" t="s">
        <v>509</v>
      </c>
    </row>
    <row r="463" spans="1:3" x14ac:dyDescent="0.2">
      <c r="A463" s="43">
        <v>60392</v>
      </c>
      <c r="B463" s="43" t="s">
        <v>487</v>
      </c>
      <c r="C463" s="43" t="s">
        <v>510</v>
      </c>
    </row>
    <row r="464" spans="1:3" x14ac:dyDescent="0.2">
      <c r="A464" s="43">
        <v>60393</v>
      </c>
      <c r="B464" s="43" t="s">
        <v>487</v>
      </c>
      <c r="C464" s="43" t="s">
        <v>511</v>
      </c>
    </row>
    <row r="465" spans="1:3" x14ac:dyDescent="0.2">
      <c r="A465" s="43">
        <v>60394</v>
      </c>
      <c r="B465" s="43" t="s">
        <v>487</v>
      </c>
      <c r="C465" s="43" t="s">
        <v>512</v>
      </c>
    </row>
    <row r="466" spans="1:3" x14ac:dyDescent="0.2">
      <c r="A466" s="43">
        <v>60395</v>
      </c>
      <c r="B466" s="43" t="s">
        <v>487</v>
      </c>
      <c r="C466" s="43" t="s">
        <v>513</v>
      </c>
    </row>
    <row r="467" spans="1:3" x14ac:dyDescent="0.2">
      <c r="A467" s="43">
        <v>60396</v>
      </c>
      <c r="B467" s="43" t="s">
        <v>487</v>
      </c>
      <c r="C467" s="43" t="s">
        <v>514</v>
      </c>
    </row>
    <row r="468" spans="1:3" x14ac:dyDescent="0.2">
      <c r="A468" s="43">
        <v>60397</v>
      </c>
      <c r="B468" s="43" t="s">
        <v>487</v>
      </c>
      <c r="C468" s="43" t="s">
        <v>515</v>
      </c>
    </row>
    <row r="469" spans="1:3" x14ac:dyDescent="0.2">
      <c r="A469" s="43">
        <v>61368</v>
      </c>
      <c r="B469" s="43" t="s">
        <v>487</v>
      </c>
      <c r="C469" s="43" t="s">
        <v>516</v>
      </c>
    </row>
    <row r="470" spans="1:3" x14ac:dyDescent="0.2">
      <c r="A470" s="43">
        <v>61369</v>
      </c>
      <c r="B470" s="43" t="s">
        <v>487</v>
      </c>
      <c r="C470" s="43" t="s">
        <v>517</v>
      </c>
    </row>
    <row r="471" spans="1:3" x14ac:dyDescent="0.2">
      <c r="A471" s="43">
        <v>61370</v>
      </c>
      <c r="B471" s="43" t="s">
        <v>487</v>
      </c>
      <c r="C471" s="43" t="s">
        <v>518</v>
      </c>
    </row>
    <row r="472" spans="1:3" x14ac:dyDescent="0.2">
      <c r="A472" s="43">
        <v>61371</v>
      </c>
      <c r="B472" s="43" t="s">
        <v>487</v>
      </c>
      <c r="C472" s="43" t="s">
        <v>519</v>
      </c>
    </row>
    <row r="473" spans="1:3" x14ac:dyDescent="0.2">
      <c r="A473" s="43">
        <v>61372</v>
      </c>
      <c r="B473" s="43" t="s">
        <v>487</v>
      </c>
      <c r="C473" s="43" t="s">
        <v>520</v>
      </c>
    </row>
    <row r="474" spans="1:3" x14ac:dyDescent="0.2">
      <c r="A474" s="43">
        <v>61373</v>
      </c>
      <c r="B474" s="43" t="s">
        <v>487</v>
      </c>
      <c r="C474" s="43" t="s">
        <v>521</v>
      </c>
    </row>
    <row r="475" spans="1:3" x14ac:dyDescent="0.2">
      <c r="A475" s="43">
        <v>61374</v>
      </c>
      <c r="B475" s="43" t="s">
        <v>487</v>
      </c>
      <c r="C475" s="43" t="s">
        <v>522</v>
      </c>
    </row>
    <row r="476" spans="1:3" x14ac:dyDescent="0.2">
      <c r="A476" s="43">
        <v>61375</v>
      </c>
      <c r="B476" s="43" t="s">
        <v>487</v>
      </c>
      <c r="C476" s="43" t="s">
        <v>523</v>
      </c>
    </row>
    <row r="477" spans="1:3" x14ac:dyDescent="0.2">
      <c r="A477" s="43">
        <v>61376</v>
      </c>
      <c r="B477" s="43" t="s">
        <v>487</v>
      </c>
      <c r="C477" s="43" t="s">
        <v>524</v>
      </c>
    </row>
    <row r="478" spans="1:3" x14ac:dyDescent="0.2">
      <c r="A478" s="43">
        <v>61377</v>
      </c>
      <c r="B478" s="43" t="s">
        <v>487</v>
      </c>
      <c r="C478" s="43" t="s">
        <v>525</v>
      </c>
    </row>
    <row r="479" spans="1:3" x14ac:dyDescent="0.2">
      <c r="A479" s="43">
        <v>61378</v>
      </c>
      <c r="B479" s="43" t="s">
        <v>487</v>
      </c>
      <c r="C479" s="43" t="s">
        <v>526</v>
      </c>
    </row>
    <row r="480" spans="1:3" x14ac:dyDescent="0.2">
      <c r="A480" s="43">
        <v>61379</v>
      </c>
      <c r="B480" s="43" t="s">
        <v>487</v>
      </c>
      <c r="C480" s="43" t="s">
        <v>527</v>
      </c>
    </row>
    <row r="481" spans="1:3" x14ac:dyDescent="0.2">
      <c r="A481" s="43">
        <v>61380</v>
      </c>
      <c r="B481" s="43" t="s">
        <v>487</v>
      </c>
      <c r="C481" s="43" t="s">
        <v>528</v>
      </c>
    </row>
    <row r="482" spans="1:3" x14ac:dyDescent="0.2">
      <c r="A482" s="43">
        <v>61381</v>
      </c>
      <c r="B482" s="43" t="s">
        <v>487</v>
      </c>
      <c r="C482" s="43" t="s">
        <v>529</v>
      </c>
    </row>
    <row r="483" spans="1:3" x14ac:dyDescent="0.2">
      <c r="A483" s="43">
        <v>61384</v>
      </c>
      <c r="B483" s="43" t="s">
        <v>487</v>
      </c>
      <c r="C483" s="43" t="s">
        <v>530</v>
      </c>
    </row>
    <row r="484" spans="1:3" x14ac:dyDescent="0.2">
      <c r="A484" s="43">
        <v>61385</v>
      </c>
      <c r="B484" s="43" t="s">
        <v>487</v>
      </c>
      <c r="C484" s="43" t="s">
        <v>531</v>
      </c>
    </row>
    <row r="485" spans="1:3" x14ac:dyDescent="0.2">
      <c r="A485" s="43">
        <v>61386</v>
      </c>
      <c r="B485" s="43" t="s">
        <v>487</v>
      </c>
      <c r="C485" s="43" t="s">
        <v>532</v>
      </c>
    </row>
    <row r="486" spans="1:3" x14ac:dyDescent="0.2">
      <c r="A486" s="43">
        <v>61387</v>
      </c>
      <c r="B486" s="43" t="s">
        <v>487</v>
      </c>
      <c r="C486" s="43" t="s">
        <v>533</v>
      </c>
    </row>
    <row r="487" spans="1:3" x14ac:dyDescent="0.2">
      <c r="A487" s="43">
        <v>61388</v>
      </c>
      <c r="B487" s="43" t="s">
        <v>487</v>
      </c>
      <c r="C487" s="43" t="s">
        <v>534</v>
      </c>
    </row>
    <row r="488" spans="1:3" x14ac:dyDescent="0.2">
      <c r="A488" s="43">
        <v>61389</v>
      </c>
      <c r="B488" s="43" t="s">
        <v>487</v>
      </c>
      <c r="C488" s="43" t="s">
        <v>535</v>
      </c>
    </row>
    <row r="489" spans="1:3" x14ac:dyDescent="0.2">
      <c r="A489" s="43">
        <v>61390</v>
      </c>
      <c r="B489" s="43" t="s">
        <v>487</v>
      </c>
      <c r="C489" s="43" t="s">
        <v>536</v>
      </c>
    </row>
    <row r="490" spans="1:3" x14ac:dyDescent="0.2">
      <c r="A490" s="43">
        <v>61391</v>
      </c>
      <c r="B490" s="43" t="s">
        <v>487</v>
      </c>
      <c r="C490" s="43" t="s">
        <v>537</v>
      </c>
    </row>
    <row r="491" spans="1:3" x14ac:dyDescent="0.2">
      <c r="A491" s="43">
        <v>61392</v>
      </c>
      <c r="B491" s="43" t="s">
        <v>487</v>
      </c>
      <c r="C491" s="43" t="s">
        <v>538</v>
      </c>
    </row>
    <row r="492" spans="1:3" x14ac:dyDescent="0.2">
      <c r="A492" s="43">
        <v>61393</v>
      </c>
      <c r="B492" s="43" t="s">
        <v>487</v>
      </c>
      <c r="C492" s="43" t="s">
        <v>539</v>
      </c>
    </row>
    <row r="493" spans="1:3" x14ac:dyDescent="0.2">
      <c r="A493" s="43">
        <v>61394</v>
      </c>
      <c r="B493" s="43" t="s">
        <v>487</v>
      </c>
      <c r="C493" s="43" t="s">
        <v>540</v>
      </c>
    </row>
    <row r="494" spans="1:3" x14ac:dyDescent="0.2">
      <c r="A494" s="43">
        <v>61395</v>
      </c>
      <c r="B494" s="43" t="s">
        <v>487</v>
      </c>
      <c r="C494" s="43" t="s">
        <v>541</v>
      </c>
    </row>
    <row r="495" spans="1:3" x14ac:dyDescent="0.2">
      <c r="A495" s="43">
        <v>61396</v>
      </c>
      <c r="B495" s="43" t="s">
        <v>487</v>
      </c>
      <c r="C495" s="43" t="s">
        <v>542</v>
      </c>
    </row>
    <row r="496" spans="1:3" x14ac:dyDescent="0.2">
      <c r="A496" s="43">
        <v>61397</v>
      </c>
      <c r="B496" s="43" t="s">
        <v>487</v>
      </c>
      <c r="C496" s="43" t="s">
        <v>543</v>
      </c>
    </row>
    <row r="497" spans="1:3" x14ac:dyDescent="0.2">
      <c r="A497" s="43">
        <v>63000</v>
      </c>
      <c r="B497" s="43" t="s">
        <v>487</v>
      </c>
      <c r="C497" s="43" t="s">
        <v>544</v>
      </c>
    </row>
    <row r="498" spans="1:3" x14ac:dyDescent="0.2">
      <c r="A498" s="43">
        <v>63001</v>
      </c>
      <c r="B498" s="43" t="s">
        <v>487</v>
      </c>
      <c r="C498" s="43" t="s">
        <v>545</v>
      </c>
    </row>
    <row r="499" spans="1:3" x14ac:dyDescent="0.2">
      <c r="A499" s="43">
        <v>63002</v>
      </c>
      <c r="B499" s="43" t="s">
        <v>487</v>
      </c>
      <c r="C499" s="43" t="s">
        <v>546</v>
      </c>
    </row>
    <row r="500" spans="1:3" x14ac:dyDescent="0.2">
      <c r="A500" s="43">
        <v>63003</v>
      </c>
      <c r="B500" s="43" t="s">
        <v>487</v>
      </c>
      <c r="C500" s="43" t="s">
        <v>547</v>
      </c>
    </row>
    <row r="501" spans="1:3" x14ac:dyDescent="0.2">
      <c r="A501" s="43">
        <v>63004</v>
      </c>
      <c r="B501" s="43" t="s">
        <v>487</v>
      </c>
      <c r="C501" s="43" t="s">
        <v>548</v>
      </c>
    </row>
    <row r="502" spans="1:3" x14ac:dyDescent="0.2">
      <c r="A502" s="43">
        <v>63005</v>
      </c>
      <c r="B502" s="43" t="s">
        <v>487</v>
      </c>
      <c r="C502" s="43" t="s">
        <v>549</v>
      </c>
    </row>
    <row r="503" spans="1:3" x14ac:dyDescent="0.2">
      <c r="A503" s="43">
        <v>63006</v>
      </c>
      <c r="B503" s="43" t="s">
        <v>487</v>
      </c>
      <c r="C503" s="43" t="s">
        <v>550</v>
      </c>
    </row>
    <row r="504" spans="1:3" x14ac:dyDescent="0.2">
      <c r="A504" s="43">
        <v>63013</v>
      </c>
      <c r="B504" s="43" t="s">
        <v>487</v>
      </c>
      <c r="C504" s="43" t="s">
        <v>551</v>
      </c>
    </row>
    <row r="505" spans="1:3" x14ac:dyDescent="0.2">
      <c r="A505" s="43">
        <v>63015</v>
      </c>
      <c r="B505" s="43" t="s">
        <v>487</v>
      </c>
      <c r="C505" s="43" t="s">
        <v>552</v>
      </c>
    </row>
    <row r="506" spans="1:3" x14ac:dyDescent="0.2">
      <c r="A506" s="43">
        <v>63020</v>
      </c>
      <c r="B506" s="43" t="s">
        <v>487</v>
      </c>
      <c r="C506" s="43" t="s">
        <v>553</v>
      </c>
    </row>
    <row r="507" spans="1:3" x14ac:dyDescent="0.2">
      <c r="A507" s="43">
        <v>63022</v>
      </c>
      <c r="B507" s="43" t="s">
        <v>487</v>
      </c>
      <c r="C507" s="43" t="s">
        <v>554</v>
      </c>
    </row>
    <row r="508" spans="1:3" x14ac:dyDescent="0.2">
      <c r="A508" s="43">
        <v>70400</v>
      </c>
      <c r="B508" s="43" t="s">
        <v>555</v>
      </c>
      <c r="C508" s="43" t="s">
        <v>556</v>
      </c>
    </row>
    <row r="509" spans="1:3" x14ac:dyDescent="0.2">
      <c r="A509" s="43">
        <v>70401</v>
      </c>
      <c r="B509" s="43" t="s">
        <v>555</v>
      </c>
      <c r="C509" s="43" t="s">
        <v>557</v>
      </c>
    </row>
    <row r="510" spans="1:3" x14ac:dyDescent="0.2">
      <c r="A510" s="43">
        <v>70402</v>
      </c>
      <c r="B510" s="43" t="s">
        <v>555</v>
      </c>
      <c r="C510" s="43" t="s">
        <v>558</v>
      </c>
    </row>
    <row r="511" spans="1:3" x14ac:dyDescent="0.2">
      <c r="A511" s="43">
        <v>70403</v>
      </c>
      <c r="B511" s="43" t="s">
        <v>555</v>
      </c>
      <c r="C511" s="43" t="s">
        <v>559</v>
      </c>
    </row>
    <row r="512" spans="1:3" x14ac:dyDescent="0.2">
      <c r="A512" s="43">
        <v>70404</v>
      </c>
      <c r="B512" s="43" t="s">
        <v>555</v>
      </c>
      <c r="C512" s="43" t="s">
        <v>560</v>
      </c>
    </row>
    <row r="513" spans="1:3" x14ac:dyDescent="0.2">
      <c r="A513" s="43">
        <v>70405</v>
      </c>
      <c r="B513" s="43" t="s">
        <v>555</v>
      </c>
      <c r="C513" s="43" t="s">
        <v>561</v>
      </c>
    </row>
    <row r="514" spans="1:3" x14ac:dyDescent="0.2">
      <c r="A514" s="43">
        <v>70406</v>
      </c>
      <c r="B514" s="43" t="s">
        <v>555</v>
      </c>
      <c r="C514" s="43" t="s">
        <v>562</v>
      </c>
    </row>
    <row r="515" spans="1:3" x14ac:dyDescent="0.2">
      <c r="A515" s="43">
        <v>70407</v>
      </c>
      <c r="B515" s="43" t="s">
        <v>555</v>
      </c>
      <c r="C515" s="43" t="s">
        <v>563</v>
      </c>
    </row>
    <row r="516" spans="1:3" x14ac:dyDescent="0.2">
      <c r="A516" s="43">
        <v>70408</v>
      </c>
      <c r="B516" s="43" t="s">
        <v>555</v>
      </c>
      <c r="C516" s="43" t="s">
        <v>564</v>
      </c>
    </row>
    <row r="517" spans="1:3" x14ac:dyDescent="0.2">
      <c r="A517" s="43">
        <v>70409</v>
      </c>
      <c r="B517" s="43" t="s">
        <v>555</v>
      </c>
      <c r="C517" s="43" t="s">
        <v>565</v>
      </c>
    </row>
    <row r="518" spans="1:3" x14ac:dyDescent="0.2">
      <c r="A518" s="43">
        <v>70410</v>
      </c>
      <c r="B518" s="43" t="s">
        <v>555</v>
      </c>
      <c r="C518" s="43" t="s">
        <v>566</v>
      </c>
    </row>
    <row r="519" spans="1:3" x14ac:dyDescent="0.2">
      <c r="A519" s="43">
        <v>70411</v>
      </c>
      <c r="B519" s="43" t="s">
        <v>555</v>
      </c>
      <c r="C519" s="43" t="s">
        <v>567</v>
      </c>
    </row>
    <row r="520" spans="1:3" x14ac:dyDescent="0.2">
      <c r="A520" s="43">
        <v>70412</v>
      </c>
      <c r="B520" s="43" t="s">
        <v>555</v>
      </c>
      <c r="C520" s="43" t="s">
        <v>568</v>
      </c>
    </row>
    <row r="521" spans="1:3" x14ac:dyDescent="0.2">
      <c r="A521" s="43">
        <v>70413</v>
      </c>
      <c r="B521" s="43" t="s">
        <v>555</v>
      </c>
      <c r="C521" s="43" t="s">
        <v>569</v>
      </c>
    </row>
    <row r="522" spans="1:3" x14ac:dyDescent="0.2">
      <c r="A522" s="43">
        <v>70416</v>
      </c>
      <c r="B522" s="43" t="s">
        <v>555</v>
      </c>
      <c r="C522" s="43" t="s">
        <v>570</v>
      </c>
    </row>
    <row r="523" spans="1:3" x14ac:dyDescent="0.2">
      <c r="A523" s="43">
        <v>70417</v>
      </c>
      <c r="B523" s="43" t="s">
        <v>555</v>
      </c>
      <c r="C523" s="43" t="s">
        <v>571</v>
      </c>
    </row>
    <row r="524" spans="1:3" x14ac:dyDescent="0.2">
      <c r="A524" s="43">
        <v>70418</v>
      </c>
      <c r="B524" s="43" t="s">
        <v>555</v>
      </c>
      <c r="C524" s="43" t="s">
        <v>572</v>
      </c>
    </row>
    <row r="525" spans="1:3" x14ac:dyDescent="0.2">
      <c r="A525" s="43">
        <v>70419</v>
      </c>
      <c r="B525" s="43" t="s">
        <v>555</v>
      </c>
      <c r="C525" s="43" t="s">
        <v>573</v>
      </c>
    </row>
    <row r="526" spans="1:3" x14ac:dyDescent="0.2">
      <c r="A526" s="43">
        <v>70420</v>
      </c>
      <c r="B526" s="43" t="s">
        <v>555</v>
      </c>
      <c r="C526" s="43" t="s">
        <v>574</v>
      </c>
    </row>
    <row r="527" spans="1:3" x14ac:dyDescent="0.2">
      <c r="A527" s="43">
        <v>70421</v>
      </c>
      <c r="B527" s="43" t="s">
        <v>555</v>
      </c>
      <c r="C527" s="43" t="s">
        <v>575</v>
      </c>
    </row>
    <row r="528" spans="1:3" x14ac:dyDescent="0.2">
      <c r="A528" s="43">
        <v>70422</v>
      </c>
      <c r="B528" s="43" t="s">
        <v>555</v>
      </c>
      <c r="C528" s="43" t="s">
        <v>576</v>
      </c>
    </row>
    <row r="529" spans="1:3" x14ac:dyDescent="0.2">
      <c r="A529" s="43">
        <v>70423</v>
      </c>
      <c r="B529" s="43" t="s">
        <v>555</v>
      </c>
      <c r="C529" s="43" t="s">
        <v>577</v>
      </c>
    </row>
    <row r="530" spans="1:3" x14ac:dyDescent="0.2">
      <c r="A530" s="43">
        <v>70424</v>
      </c>
      <c r="B530" s="43" t="s">
        <v>555</v>
      </c>
      <c r="C530" s="43" t="s">
        <v>578</v>
      </c>
    </row>
    <row r="531" spans="1:3" x14ac:dyDescent="0.2">
      <c r="A531" s="43">
        <v>70425</v>
      </c>
      <c r="B531" s="43" t="s">
        <v>555</v>
      </c>
      <c r="C531" s="43" t="s">
        <v>579</v>
      </c>
    </row>
    <row r="532" spans="1:3" x14ac:dyDescent="0.2">
      <c r="A532" s="43">
        <v>70426</v>
      </c>
      <c r="B532" s="43" t="s">
        <v>555</v>
      </c>
      <c r="C532" s="43" t="s">
        <v>580</v>
      </c>
    </row>
    <row r="533" spans="1:3" x14ac:dyDescent="0.2">
      <c r="A533" s="43">
        <v>70427</v>
      </c>
      <c r="B533" s="43" t="s">
        <v>555</v>
      </c>
      <c r="C533" s="43" t="s">
        <v>581</v>
      </c>
    </row>
    <row r="534" spans="1:3" x14ac:dyDescent="0.2">
      <c r="A534" s="43">
        <v>70428</v>
      </c>
      <c r="B534" s="43" t="s">
        <v>555</v>
      </c>
      <c r="C534" s="43" t="s">
        <v>582</v>
      </c>
    </row>
    <row r="535" spans="1:3" x14ac:dyDescent="0.2">
      <c r="A535" s="43">
        <v>70429</v>
      </c>
      <c r="B535" s="43" t="s">
        <v>555</v>
      </c>
      <c r="C535" s="43" t="s">
        <v>583</v>
      </c>
    </row>
    <row r="536" spans="1:3" x14ac:dyDescent="0.2">
      <c r="A536" s="43">
        <v>71400</v>
      </c>
      <c r="B536" s="43" t="s">
        <v>555</v>
      </c>
      <c r="C536" s="43" t="s">
        <v>584</v>
      </c>
    </row>
    <row r="537" spans="1:3" x14ac:dyDescent="0.2">
      <c r="A537" s="43">
        <v>71401</v>
      </c>
      <c r="B537" s="43" t="s">
        <v>555</v>
      </c>
      <c r="C537" s="43" t="s">
        <v>585</v>
      </c>
    </row>
    <row r="538" spans="1:3" x14ac:dyDescent="0.2">
      <c r="A538" s="43">
        <v>71402</v>
      </c>
      <c r="B538" s="43" t="s">
        <v>555</v>
      </c>
      <c r="C538" s="43" t="s">
        <v>586</v>
      </c>
    </row>
    <row r="539" spans="1:3" x14ac:dyDescent="0.2">
      <c r="A539" s="43">
        <v>71403</v>
      </c>
      <c r="B539" s="43" t="s">
        <v>555</v>
      </c>
      <c r="C539" s="43" t="s">
        <v>587</v>
      </c>
    </row>
    <row r="540" spans="1:3" x14ac:dyDescent="0.2">
      <c r="A540" s="43">
        <v>71404</v>
      </c>
      <c r="B540" s="43" t="s">
        <v>555</v>
      </c>
      <c r="C540" s="43" t="s">
        <v>588</v>
      </c>
    </row>
    <row r="541" spans="1:3" x14ac:dyDescent="0.2">
      <c r="A541" s="43">
        <v>71405</v>
      </c>
      <c r="B541" s="43" t="s">
        <v>555</v>
      </c>
      <c r="C541" s="43" t="s">
        <v>589</v>
      </c>
    </row>
    <row r="542" spans="1:3" x14ac:dyDescent="0.2">
      <c r="A542" s="43">
        <v>71406</v>
      </c>
      <c r="B542" s="43" t="s">
        <v>555</v>
      </c>
      <c r="C542" s="43" t="s">
        <v>590</v>
      </c>
    </row>
    <row r="543" spans="1:3" x14ac:dyDescent="0.2">
      <c r="A543" s="43">
        <v>71407</v>
      </c>
      <c r="B543" s="43" t="s">
        <v>555</v>
      </c>
      <c r="C543" s="43" t="s">
        <v>591</v>
      </c>
    </row>
    <row r="544" spans="1:3" x14ac:dyDescent="0.2">
      <c r="A544" s="43">
        <v>71408</v>
      </c>
      <c r="B544" s="43" t="s">
        <v>555</v>
      </c>
      <c r="C544" s="43" t="s">
        <v>592</v>
      </c>
    </row>
    <row r="545" spans="1:3" x14ac:dyDescent="0.2">
      <c r="A545" s="43">
        <v>71409</v>
      </c>
      <c r="B545" s="43" t="s">
        <v>555</v>
      </c>
      <c r="C545" s="43" t="s">
        <v>593</v>
      </c>
    </row>
    <row r="546" spans="1:3" x14ac:dyDescent="0.2">
      <c r="A546" s="43">
        <v>71410</v>
      </c>
      <c r="B546" s="43" t="s">
        <v>555</v>
      </c>
      <c r="C546" s="43" t="s">
        <v>594</v>
      </c>
    </row>
    <row r="547" spans="1:3" x14ac:dyDescent="0.2">
      <c r="A547" s="43">
        <v>71411</v>
      </c>
      <c r="B547" s="43" t="s">
        <v>555</v>
      </c>
      <c r="C547" s="43" t="s">
        <v>595</v>
      </c>
    </row>
    <row r="548" spans="1:3" x14ac:dyDescent="0.2">
      <c r="A548" s="43">
        <v>71412</v>
      </c>
      <c r="B548" s="43" t="s">
        <v>555</v>
      </c>
      <c r="C548" s="43" t="s">
        <v>596</v>
      </c>
    </row>
    <row r="549" spans="1:3" x14ac:dyDescent="0.2">
      <c r="A549" s="43">
        <v>71413</v>
      </c>
      <c r="B549" s="43" t="s">
        <v>555</v>
      </c>
      <c r="C549" s="43" t="s">
        <v>597</v>
      </c>
    </row>
    <row r="550" spans="1:3" x14ac:dyDescent="0.2">
      <c r="A550" s="43">
        <v>71416</v>
      </c>
      <c r="B550" s="43" t="s">
        <v>555</v>
      </c>
      <c r="C550" s="43" t="s">
        <v>598</v>
      </c>
    </row>
    <row r="551" spans="1:3" x14ac:dyDescent="0.2">
      <c r="A551" s="43">
        <v>71417</v>
      </c>
      <c r="B551" s="43" t="s">
        <v>555</v>
      </c>
      <c r="C551" s="43" t="s">
        <v>599</v>
      </c>
    </row>
    <row r="552" spans="1:3" x14ac:dyDescent="0.2">
      <c r="A552" s="43">
        <v>71418</v>
      </c>
      <c r="B552" s="43" t="s">
        <v>555</v>
      </c>
      <c r="C552" s="43" t="s">
        <v>600</v>
      </c>
    </row>
    <row r="553" spans="1:3" x14ac:dyDescent="0.2">
      <c r="A553" s="43">
        <v>71419</v>
      </c>
      <c r="B553" s="43" t="s">
        <v>555</v>
      </c>
      <c r="C553" s="43" t="s">
        <v>601</v>
      </c>
    </row>
    <row r="554" spans="1:3" x14ac:dyDescent="0.2">
      <c r="A554" s="43">
        <v>71420</v>
      </c>
      <c r="B554" s="43" t="s">
        <v>555</v>
      </c>
      <c r="C554" s="43" t="s">
        <v>602</v>
      </c>
    </row>
    <row r="555" spans="1:3" x14ac:dyDescent="0.2">
      <c r="A555" s="43">
        <v>71421</v>
      </c>
      <c r="B555" s="43" t="s">
        <v>555</v>
      </c>
      <c r="C555" s="43" t="s">
        <v>603</v>
      </c>
    </row>
    <row r="556" spans="1:3" x14ac:dyDescent="0.2">
      <c r="A556" s="43">
        <v>71422</v>
      </c>
      <c r="B556" s="43" t="s">
        <v>555</v>
      </c>
      <c r="C556" s="43" t="s">
        <v>604</v>
      </c>
    </row>
    <row r="557" spans="1:3" x14ac:dyDescent="0.2">
      <c r="A557" s="43">
        <v>71423</v>
      </c>
      <c r="B557" s="43" t="s">
        <v>555</v>
      </c>
      <c r="C557" s="43" t="s">
        <v>605</v>
      </c>
    </row>
    <row r="558" spans="1:3" x14ac:dyDescent="0.2">
      <c r="A558" s="43">
        <v>71424</v>
      </c>
      <c r="B558" s="43" t="s">
        <v>555</v>
      </c>
      <c r="C558" s="43" t="s">
        <v>606</v>
      </c>
    </row>
    <row r="559" spans="1:3" x14ac:dyDescent="0.2">
      <c r="A559" s="43">
        <v>71425</v>
      </c>
      <c r="B559" s="43" t="s">
        <v>555</v>
      </c>
      <c r="C559" s="43" t="s">
        <v>607</v>
      </c>
    </row>
    <row r="560" spans="1:3" x14ac:dyDescent="0.2">
      <c r="A560" s="43">
        <v>71426</v>
      </c>
      <c r="B560" s="43" t="s">
        <v>555</v>
      </c>
      <c r="C560" s="43" t="s">
        <v>608</v>
      </c>
    </row>
    <row r="561" spans="1:3" x14ac:dyDescent="0.2">
      <c r="A561" s="43">
        <v>71427</v>
      </c>
      <c r="B561" s="43" t="s">
        <v>555</v>
      </c>
      <c r="C561" s="43" t="s">
        <v>609</v>
      </c>
    </row>
    <row r="562" spans="1:3" x14ac:dyDescent="0.2">
      <c r="A562" s="43">
        <v>71428</v>
      </c>
      <c r="B562" s="43" t="s">
        <v>555</v>
      </c>
      <c r="C562" s="43" t="s">
        <v>610</v>
      </c>
    </row>
    <row r="563" spans="1:3" x14ac:dyDescent="0.2">
      <c r="A563" s="43">
        <v>71429</v>
      </c>
      <c r="B563" s="43" t="s">
        <v>555</v>
      </c>
      <c r="C563" s="43" t="s">
        <v>611</v>
      </c>
    </row>
    <row r="564" spans="1:3" x14ac:dyDescent="0.2">
      <c r="A564" s="43">
        <v>73000</v>
      </c>
      <c r="B564" s="43" t="s">
        <v>555</v>
      </c>
      <c r="C564" s="43" t="s">
        <v>612</v>
      </c>
    </row>
    <row r="565" spans="1:3" x14ac:dyDescent="0.2">
      <c r="A565" s="43">
        <v>73001</v>
      </c>
      <c r="B565" s="43" t="s">
        <v>555</v>
      </c>
      <c r="C565" s="43" t="s">
        <v>613</v>
      </c>
    </row>
    <row r="566" spans="1:3" x14ac:dyDescent="0.2">
      <c r="A566" s="43">
        <v>73002</v>
      </c>
      <c r="B566" s="43" t="s">
        <v>555</v>
      </c>
      <c r="C566" s="43" t="s">
        <v>614</v>
      </c>
    </row>
    <row r="567" spans="1:3" x14ac:dyDescent="0.2">
      <c r="A567" s="43">
        <v>73003</v>
      </c>
      <c r="B567" s="43" t="s">
        <v>555</v>
      </c>
      <c r="C567" s="43" t="s">
        <v>615</v>
      </c>
    </row>
    <row r="568" spans="1:3" x14ac:dyDescent="0.2">
      <c r="A568" s="43">
        <v>73004</v>
      </c>
      <c r="B568" s="43" t="s">
        <v>555</v>
      </c>
      <c r="C568" s="43" t="s">
        <v>616</v>
      </c>
    </row>
    <row r="569" spans="1:3" x14ac:dyDescent="0.2">
      <c r="A569" s="43">
        <v>73005</v>
      </c>
      <c r="B569" s="43" t="s">
        <v>555</v>
      </c>
      <c r="C569" s="43" t="s">
        <v>617</v>
      </c>
    </row>
    <row r="570" spans="1:3" x14ac:dyDescent="0.2">
      <c r="A570" s="43">
        <v>80512</v>
      </c>
      <c r="B570" s="43" t="s">
        <v>618</v>
      </c>
      <c r="C570" s="43" t="s">
        <v>619</v>
      </c>
    </row>
    <row r="571" spans="1:3" x14ac:dyDescent="0.2">
      <c r="A571" s="43">
        <v>80513</v>
      </c>
      <c r="B571" s="43" t="s">
        <v>618</v>
      </c>
      <c r="C571" s="43" t="s">
        <v>620</v>
      </c>
    </row>
    <row r="572" spans="1:3" x14ac:dyDescent="0.2">
      <c r="A572" s="43">
        <v>80514</v>
      </c>
      <c r="B572" s="43" t="s">
        <v>618</v>
      </c>
      <c r="C572" s="43" t="s">
        <v>621</v>
      </c>
    </row>
    <row r="573" spans="1:3" x14ac:dyDescent="0.2">
      <c r="A573" s="43">
        <v>80515</v>
      </c>
      <c r="B573" s="43" t="s">
        <v>618</v>
      </c>
      <c r="C573" s="43" t="s">
        <v>622</v>
      </c>
    </row>
    <row r="574" spans="1:3" x14ac:dyDescent="0.2">
      <c r="A574" s="43">
        <v>80516</v>
      </c>
      <c r="B574" s="43" t="s">
        <v>618</v>
      </c>
      <c r="C574" s="43" t="s">
        <v>623</v>
      </c>
    </row>
    <row r="575" spans="1:3" x14ac:dyDescent="0.2">
      <c r="A575" s="43">
        <v>80517</v>
      </c>
      <c r="B575" s="43" t="s">
        <v>618</v>
      </c>
      <c r="C575" s="43" t="s">
        <v>624</v>
      </c>
    </row>
    <row r="576" spans="1:3" x14ac:dyDescent="0.2">
      <c r="A576" s="43">
        <v>80518</v>
      </c>
      <c r="B576" s="43" t="s">
        <v>618</v>
      </c>
      <c r="C576" s="43" t="s">
        <v>625</v>
      </c>
    </row>
    <row r="577" spans="1:3" x14ac:dyDescent="0.2">
      <c r="A577" s="43">
        <v>80519</v>
      </c>
      <c r="B577" s="43" t="s">
        <v>618</v>
      </c>
      <c r="C577" s="43" t="s">
        <v>626</v>
      </c>
    </row>
    <row r="578" spans="1:3" x14ac:dyDescent="0.2">
      <c r="A578" s="43">
        <v>80520</v>
      </c>
      <c r="B578" s="43" t="s">
        <v>618</v>
      </c>
      <c r="C578" s="43" t="s">
        <v>627</v>
      </c>
    </row>
    <row r="579" spans="1:3" x14ac:dyDescent="0.2">
      <c r="A579" s="43">
        <v>80521</v>
      </c>
      <c r="B579" s="43" t="s">
        <v>618</v>
      </c>
      <c r="C579" s="43" t="s">
        <v>628</v>
      </c>
    </row>
    <row r="580" spans="1:3" x14ac:dyDescent="0.2">
      <c r="A580" s="43">
        <v>80522</v>
      </c>
      <c r="B580" s="43" t="s">
        <v>618</v>
      </c>
      <c r="C580" s="43" t="s">
        <v>629</v>
      </c>
    </row>
    <row r="581" spans="1:3" x14ac:dyDescent="0.2">
      <c r="A581" s="43">
        <v>80523</v>
      </c>
      <c r="B581" s="43" t="s">
        <v>618</v>
      </c>
      <c r="C581" s="43" t="s">
        <v>630</v>
      </c>
    </row>
    <row r="582" spans="1:3" x14ac:dyDescent="0.2">
      <c r="A582" s="43">
        <v>80524</v>
      </c>
      <c r="B582" s="43" t="s">
        <v>618</v>
      </c>
      <c r="C582" s="43" t="s">
        <v>631</v>
      </c>
    </row>
    <row r="583" spans="1:3" x14ac:dyDescent="0.2">
      <c r="A583" s="43">
        <v>80525</v>
      </c>
      <c r="B583" s="43" t="s">
        <v>618</v>
      </c>
      <c r="C583" s="43" t="s">
        <v>632</v>
      </c>
    </row>
    <row r="584" spans="1:3" x14ac:dyDescent="0.2">
      <c r="A584" s="43">
        <v>80526</v>
      </c>
      <c r="B584" s="43" t="s">
        <v>618</v>
      </c>
      <c r="C584" s="43" t="s">
        <v>633</v>
      </c>
    </row>
    <row r="585" spans="1:3" x14ac:dyDescent="0.2">
      <c r="A585" s="43">
        <v>80527</v>
      </c>
      <c r="B585" s="43" t="s">
        <v>618</v>
      </c>
      <c r="C585" s="43" t="s">
        <v>634</v>
      </c>
    </row>
    <row r="586" spans="1:3" x14ac:dyDescent="0.2">
      <c r="A586" s="43">
        <v>80528</v>
      </c>
      <c r="B586" s="43" t="s">
        <v>618</v>
      </c>
      <c r="C586" s="43" t="s">
        <v>635</v>
      </c>
    </row>
    <row r="587" spans="1:3" x14ac:dyDescent="0.2">
      <c r="A587" s="43">
        <v>80529</v>
      </c>
      <c r="B587" s="43" t="s">
        <v>618</v>
      </c>
      <c r="C587" s="43" t="s">
        <v>636</v>
      </c>
    </row>
    <row r="588" spans="1:3" x14ac:dyDescent="0.2">
      <c r="A588" s="43">
        <v>80530</v>
      </c>
      <c r="B588" s="43" t="s">
        <v>618</v>
      </c>
      <c r="C588" s="43" t="s">
        <v>637</v>
      </c>
    </row>
    <row r="589" spans="1:3" x14ac:dyDescent="0.2">
      <c r="A589" s="43">
        <v>80531</v>
      </c>
      <c r="B589" s="43" t="s">
        <v>618</v>
      </c>
      <c r="C589" s="43" t="s">
        <v>638</v>
      </c>
    </row>
    <row r="590" spans="1:3" x14ac:dyDescent="0.2">
      <c r="A590" s="43">
        <v>80532</v>
      </c>
      <c r="B590" s="43" t="s">
        <v>618</v>
      </c>
      <c r="C590" s="43" t="s">
        <v>639</v>
      </c>
    </row>
    <row r="591" spans="1:3" x14ac:dyDescent="0.2">
      <c r="A591" s="43">
        <v>80533</v>
      </c>
      <c r="B591" s="43" t="s">
        <v>618</v>
      </c>
      <c r="C591" s="43" t="s">
        <v>640</v>
      </c>
    </row>
    <row r="592" spans="1:3" x14ac:dyDescent="0.2">
      <c r="A592" s="43">
        <v>80534</v>
      </c>
      <c r="B592" s="43" t="s">
        <v>618</v>
      </c>
      <c r="C592" s="43" t="s">
        <v>641</v>
      </c>
    </row>
    <row r="593" spans="1:3" x14ac:dyDescent="0.2">
      <c r="A593" s="43">
        <v>80535</v>
      </c>
      <c r="B593" s="43" t="s">
        <v>618</v>
      </c>
      <c r="C593" s="43" t="s">
        <v>642</v>
      </c>
    </row>
    <row r="594" spans="1:3" x14ac:dyDescent="0.2">
      <c r="A594" s="43">
        <v>80536</v>
      </c>
      <c r="B594" s="43" t="s">
        <v>618</v>
      </c>
      <c r="C594" s="43" t="s">
        <v>643</v>
      </c>
    </row>
    <row r="595" spans="1:3" x14ac:dyDescent="0.2">
      <c r="A595" s="43">
        <v>80537</v>
      </c>
      <c r="B595" s="43" t="s">
        <v>618</v>
      </c>
      <c r="C595" s="43" t="s">
        <v>644</v>
      </c>
    </row>
    <row r="596" spans="1:3" x14ac:dyDescent="0.2">
      <c r="A596" s="43">
        <v>80538</v>
      </c>
      <c r="B596" s="43" t="s">
        <v>618</v>
      </c>
      <c r="C596" s="43" t="s">
        <v>645</v>
      </c>
    </row>
    <row r="597" spans="1:3" x14ac:dyDescent="0.2">
      <c r="A597" s="43">
        <v>80539</v>
      </c>
      <c r="B597" s="43" t="s">
        <v>618</v>
      </c>
      <c r="C597" s="43" t="s">
        <v>646</v>
      </c>
    </row>
    <row r="598" spans="1:3" x14ac:dyDescent="0.2">
      <c r="A598" s="43">
        <v>80540</v>
      </c>
      <c r="B598" s="43" t="s">
        <v>618</v>
      </c>
      <c r="C598" s="43" t="s">
        <v>647</v>
      </c>
    </row>
    <row r="599" spans="1:3" x14ac:dyDescent="0.2">
      <c r="A599" s="43">
        <v>80541</v>
      </c>
      <c r="B599" s="43" t="s">
        <v>618</v>
      </c>
      <c r="C599" s="43" t="s">
        <v>648</v>
      </c>
    </row>
    <row r="600" spans="1:3" x14ac:dyDescent="0.2">
      <c r="A600" s="43">
        <v>80542</v>
      </c>
      <c r="B600" s="43" t="s">
        <v>618</v>
      </c>
      <c r="C600" s="43" t="s">
        <v>649</v>
      </c>
    </row>
    <row r="601" spans="1:3" x14ac:dyDescent="0.2">
      <c r="A601" s="43">
        <v>80543</v>
      </c>
      <c r="B601" s="43" t="s">
        <v>618</v>
      </c>
      <c r="C601" s="43" t="s">
        <v>650</v>
      </c>
    </row>
    <row r="602" spans="1:3" x14ac:dyDescent="0.2">
      <c r="A602" s="43">
        <v>80546</v>
      </c>
      <c r="B602" s="43" t="s">
        <v>618</v>
      </c>
      <c r="C602" s="43" t="s">
        <v>651</v>
      </c>
    </row>
    <row r="603" spans="1:3" x14ac:dyDescent="0.2">
      <c r="A603" s="43">
        <v>80547</v>
      </c>
      <c r="B603" s="43" t="s">
        <v>618</v>
      </c>
      <c r="C603" s="43" t="s">
        <v>652</v>
      </c>
    </row>
    <row r="604" spans="1:3" x14ac:dyDescent="0.2">
      <c r="A604" s="43">
        <v>80548</v>
      </c>
      <c r="B604" s="43" t="s">
        <v>618</v>
      </c>
      <c r="C604" s="43" t="s">
        <v>653</v>
      </c>
    </row>
    <row r="605" spans="1:3" x14ac:dyDescent="0.2">
      <c r="A605" s="43">
        <v>80549</v>
      </c>
      <c r="B605" s="43" t="s">
        <v>618</v>
      </c>
      <c r="C605" s="43" t="s">
        <v>654</v>
      </c>
    </row>
    <row r="606" spans="1:3" x14ac:dyDescent="0.2">
      <c r="A606" s="43">
        <v>80550</v>
      </c>
      <c r="B606" s="43" t="s">
        <v>618</v>
      </c>
      <c r="C606" s="43" t="s">
        <v>655</v>
      </c>
    </row>
    <row r="607" spans="1:3" x14ac:dyDescent="0.2">
      <c r="A607" s="43">
        <v>80551</v>
      </c>
      <c r="B607" s="43" t="s">
        <v>618</v>
      </c>
      <c r="C607" s="43" t="s">
        <v>656</v>
      </c>
    </row>
    <row r="608" spans="1:3" x14ac:dyDescent="0.2">
      <c r="A608" s="43">
        <v>80552</v>
      </c>
      <c r="B608" s="43" t="s">
        <v>618</v>
      </c>
      <c r="C608" s="43" t="s">
        <v>657</v>
      </c>
    </row>
    <row r="609" spans="1:3" x14ac:dyDescent="0.2">
      <c r="A609" s="43">
        <v>80553</v>
      </c>
      <c r="B609" s="43" t="s">
        <v>618</v>
      </c>
      <c r="C609" s="43" t="s">
        <v>658</v>
      </c>
    </row>
    <row r="610" spans="1:3" x14ac:dyDescent="0.2">
      <c r="A610" s="43">
        <v>80554</v>
      </c>
      <c r="B610" s="43" t="s">
        <v>618</v>
      </c>
      <c r="C610" s="43" t="s">
        <v>659</v>
      </c>
    </row>
    <row r="611" spans="1:3" x14ac:dyDescent="0.2">
      <c r="A611" s="43">
        <v>80555</v>
      </c>
      <c r="B611" s="43" t="s">
        <v>618</v>
      </c>
      <c r="C611" s="43" t="s">
        <v>660</v>
      </c>
    </row>
    <row r="612" spans="1:3" x14ac:dyDescent="0.2">
      <c r="A612" s="43">
        <v>80556</v>
      </c>
      <c r="B612" s="43" t="s">
        <v>618</v>
      </c>
      <c r="C612" s="43" t="s">
        <v>661</v>
      </c>
    </row>
    <row r="613" spans="1:3" x14ac:dyDescent="0.2">
      <c r="A613" s="43">
        <v>80557</v>
      </c>
      <c r="B613" s="43" t="s">
        <v>618</v>
      </c>
      <c r="C613" s="43" t="s">
        <v>662</v>
      </c>
    </row>
    <row r="614" spans="1:3" x14ac:dyDescent="0.2">
      <c r="A614" s="43">
        <v>80558</v>
      </c>
      <c r="B614" s="43" t="s">
        <v>618</v>
      </c>
      <c r="C614" s="43" t="s">
        <v>663</v>
      </c>
    </row>
    <row r="615" spans="1:3" x14ac:dyDescent="0.2">
      <c r="A615" s="43">
        <v>80559</v>
      </c>
      <c r="B615" s="43" t="s">
        <v>618</v>
      </c>
      <c r="C615" s="43" t="s">
        <v>664</v>
      </c>
    </row>
    <row r="616" spans="1:3" x14ac:dyDescent="0.2">
      <c r="A616" s="43">
        <v>80560</v>
      </c>
      <c r="B616" s="43" t="s">
        <v>618</v>
      </c>
      <c r="C616" s="43" t="s">
        <v>665</v>
      </c>
    </row>
    <row r="617" spans="1:3" x14ac:dyDescent="0.2">
      <c r="A617" s="43">
        <v>80561</v>
      </c>
      <c r="B617" s="43" t="s">
        <v>618</v>
      </c>
      <c r="C617" s="43" t="s">
        <v>666</v>
      </c>
    </row>
    <row r="618" spans="1:3" x14ac:dyDescent="0.2">
      <c r="A618" s="43">
        <v>80562</v>
      </c>
      <c r="B618" s="43" t="s">
        <v>618</v>
      </c>
      <c r="C618" s="43" t="s">
        <v>667</v>
      </c>
    </row>
    <row r="619" spans="1:3" x14ac:dyDescent="0.2">
      <c r="A619" s="43">
        <v>80563</v>
      </c>
      <c r="B619" s="43" t="s">
        <v>618</v>
      </c>
      <c r="C619" s="43" t="s">
        <v>668</v>
      </c>
    </row>
    <row r="620" spans="1:3" x14ac:dyDescent="0.2">
      <c r="A620" s="43">
        <v>80567</v>
      </c>
      <c r="B620" s="43" t="s">
        <v>618</v>
      </c>
      <c r="C620" s="43" t="s">
        <v>669</v>
      </c>
    </row>
    <row r="621" spans="1:3" x14ac:dyDescent="0.2">
      <c r="A621" s="43">
        <v>80568</v>
      </c>
      <c r="B621" s="43" t="s">
        <v>618</v>
      </c>
      <c r="C621" s="43" t="s">
        <v>670</v>
      </c>
    </row>
    <row r="622" spans="1:3" x14ac:dyDescent="0.2">
      <c r="A622" s="43">
        <v>80569</v>
      </c>
      <c r="B622" s="43" t="s">
        <v>618</v>
      </c>
      <c r="C622" s="43" t="s">
        <v>671</v>
      </c>
    </row>
    <row r="623" spans="1:3" x14ac:dyDescent="0.2">
      <c r="A623" s="43">
        <v>80570</v>
      </c>
      <c r="B623" s="43" t="s">
        <v>618</v>
      </c>
      <c r="C623" s="43" t="s">
        <v>672</v>
      </c>
    </row>
    <row r="624" spans="1:3" x14ac:dyDescent="0.2">
      <c r="A624" s="43">
        <v>80571</v>
      </c>
      <c r="B624" s="43" t="s">
        <v>618</v>
      </c>
      <c r="C624" s="43" t="s">
        <v>673</v>
      </c>
    </row>
    <row r="625" spans="1:3" x14ac:dyDescent="0.2">
      <c r="A625" s="43">
        <v>80572</v>
      </c>
      <c r="B625" s="43" t="s">
        <v>618</v>
      </c>
      <c r="C625" s="43" t="s">
        <v>674</v>
      </c>
    </row>
    <row r="626" spans="1:3" x14ac:dyDescent="0.2">
      <c r="A626" s="43">
        <v>80573</v>
      </c>
      <c r="B626" s="43" t="s">
        <v>618</v>
      </c>
      <c r="C626" s="43" t="s">
        <v>675</v>
      </c>
    </row>
    <row r="627" spans="1:3" x14ac:dyDescent="0.2">
      <c r="A627" s="43">
        <v>80574</v>
      </c>
      <c r="B627" s="43" t="s">
        <v>618</v>
      </c>
      <c r="C627" s="43" t="s">
        <v>676</v>
      </c>
    </row>
    <row r="628" spans="1:3" x14ac:dyDescent="0.2">
      <c r="A628" s="43">
        <v>80575</v>
      </c>
      <c r="B628" s="43" t="s">
        <v>618</v>
      </c>
      <c r="C628" s="43" t="s">
        <v>677</v>
      </c>
    </row>
    <row r="629" spans="1:3" x14ac:dyDescent="0.2">
      <c r="A629" s="43">
        <v>80576</v>
      </c>
      <c r="B629" s="43" t="s">
        <v>618</v>
      </c>
      <c r="C629" s="43" t="s">
        <v>678</v>
      </c>
    </row>
    <row r="630" spans="1:3" x14ac:dyDescent="0.2">
      <c r="A630" s="43">
        <v>80577</v>
      </c>
      <c r="B630" s="43" t="s">
        <v>618</v>
      </c>
      <c r="C630" s="43" t="s">
        <v>679</v>
      </c>
    </row>
    <row r="631" spans="1:3" x14ac:dyDescent="0.2">
      <c r="A631" s="43">
        <v>80578</v>
      </c>
      <c r="B631" s="43" t="s">
        <v>618</v>
      </c>
      <c r="C631" s="43" t="s">
        <v>680</v>
      </c>
    </row>
    <row r="632" spans="1:3" x14ac:dyDescent="0.2">
      <c r="A632" s="43">
        <v>80579</v>
      </c>
      <c r="B632" s="43" t="s">
        <v>618</v>
      </c>
      <c r="C632" s="43" t="s">
        <v>681</v>
      </c>
    </row>
    <row r="633" spans="1:3" x14ac:dyDescent="0.2">
      <c r="A633" s="43">
        <v>80583</v>
      </c>
      <c r="B633" s="43" t="s">
        <v>618</v>
      </c>
      <c r="C633" s="43" t="s">
        <v>682</v>
      </c>
    </row>
    <row r="634" spans="1:3" x14ac:dyDescent="0.2">
      <c r="A634" s="43">
        <v>80584</v>
      </c>
      <c r="B634" s="43" t="s">
        <v>618</v>
      </c>
      <c r="C634" s="43" t="s">
        <v>683</v>
      </c>
    </row>
    <row r="635" spans="1:3" x14ac:dyDescent="0.2">
      <c r="A635" s="43">
        <v>80585</v>
      </c>
      <c r="B635" s="43" t="s">
        <v>618</v>
      </c>
      <c r="C635" s="43" t="s">
        <v>684</v>
      </c>
    </row>
    <row r="636" spans="1:3" x14ac:dyDescent="0.2">
      <c r="A636" s="43">
        <v>80586</v>
      </c>
      <c r="B636" s="43" t="s">
        <v>618</v>
      </c>
      <c r="C636" s="43" t="s">
        <v>685</v>
      </c>
    </row>
    <row r="637" spans="1:3" x14ac:dyDescent="0.2">
      <c r="A637" s="43">
        <v>80587</v>
      </c>
      <c r="B637" s="43" t="s">
        <v>618</v>
      </c>
      <c r="C637" s="43" t="s">
        <v>686</v>
      </c>
    </row>
    <row r="638" spans="1:3" x14ac:dyDescent="0.2">
      <c r="A638" s="43">
        <v>80588</v>
      </c>
      <c r="B638" s="43" t="s">
        <v>618</v>
      </c>
      <c r="C638" s="43" t="s">
        <v>687</v>
      </c>
    </row>
    <row r="639" spans="1:3" x14ac:dyDescent="0.2">
      <c r="A639" s="43">
        <v>80589</v>
      </c>
      <c r="B639" s="43" t="s">
        <v>618</v>
      </c>
      <c r="C639" s="43" t="s">
        <v>688</v>
      </c>
    </row>
    <row r="640" spans="1:3" x14ac:dyDescent="0.2">
      <c r="A640" s="43">
        <v>80590</v>
      </c>
      <c r="B640" s="43" t="s">
        <v>618</v>
      </c>
      <c r="C640" s="43" t="s">
        <v>689</v>
      </c>
    </row>
    <row r="641" spans="1:3" x14ac:dyDescent="0.2">
      <c r="A641" s="43">
        <v>80591</v>
      </c>
      <c r="B641" s="43" t="s">
        <v>618</v>
      </c>
      <c r="C641" s="43" t="s">
        <v>690</v>
      </c>
    </row>
    <row r="642" spans="1:3" x14ac:dyDescent="0.2">
      <c r="A642" s="43">
        <v>80704</v>
      </c>
      <c r="B642" s="43" t="s">
        <v>618</v>
      </c>
      <c r="C642" s="43" t="s">
        <v>691</v>
      </c>
    </row>
    <row r="643" spans="1:3" x14ac:dyDescent="0.2">
      <c r="A643" s="43">
        <v>80705</v>
      </c>
      <c r="B643" s="43" t="s">
        <v>618</v>
      </c>
      <c r="C643" s="43" t="s">
        <v>692</v>
      </c>
    </row>
    <row r="644" spans="1:3" x14ac:dyDescent="0.2">
      <c r="A644" s="43">
        <v>80706</v>
      </c>
      <c r="B644" s="43" t="s">
        <v>618</v>
      </c>
      <c r="C644" s="43" t="s">
        <v>693</v>
      </c>
    </row>
    <row r="645" spans="1:3" x14ac:dyDescent="0.2">
      <c r="A645" s="43">
        <v>80707</v>
      </c>
      <c r="B645" s="43" t="s">
        <v>618</v>
      </c>
      <c r="C645" s="43" t="s">
        <v>694</v>
      </c>
    </row>
    <row r="646" spans="1:3" x14ac:dyDescent="0.2">
      <c r="A646" s="43">
        <v>80756</v>
      </c>
      <c r="B646" s="43" t="s">
        <v>618</v>
      </c>
      <c r="C646" s="43" t="s">
        <v>695</v>
      </c>
    </row>
    <row r="647" spans="1:3" x14ac:dyDescent="0.2">
      <c r="A647" s="43">
        <v>80757</v>
      </c>
      <c r="B647" s="43" t="s">
        <v>618</v>
      </c>
      <c r="C647" s="43" t="s">
        <v>696</v>
      </c>
    </row>
    <row r="648" spans="1:3" x14ac:dyDescent="0.2">
      <c r="A648" s="43">
        <v>80758</v>
      </c>
      <c r="B648" s="43" t="s">
        <v>618</v>
      </c>
      <c r="C648" s="43" t="s">
        <v>697</v>
      </c>
    </row>
    <row r="649" spans="1:3" x14ac:dyDescent="0.2">
      <c r="A649" s="43">
        <v>81512</v>
      </c>
      <c r="B649" s="43" t="s">
        <v>618</v>
      </c>
      <c r="C649" s="43" t="s">
        <v>698</v>
      </c>
    </row>
    <row r="650" spans="1:3" x14ac:dyDescent="0.2">
      <c r="A650" s="43">
        <v>81513</v>
      </c>
      <c r="B650" s="43" t="s">
        <v>618</v>
      </c>
      <c r="C650" s="43" t="s">
        <v>699</v>
      </c>
    </row>
    <row r="651" spans="1:3" x14ac:dyDescent="0.2">
      <c r="A651" s="43">
        <v>81514</v>
      </c>
      <c r="B651" s="43" t="s">
        <v>618</v>
      </c>
      <c r="C651" s="43" t="s">
        <v>700</v>
      </c>
    </row>
    <row r="652" spans="1:3" x14ac:dyDescent="0.2">
      <c r="A652" s="43">
        <v>81515</v>
      </c>
      <c r="B652" s="43" t="s">
        <v>618</v>
      </c>
      <c r="C652" s="43" t="s">
        <v>701</v>
      </c>
    </row>
    <row r="653" spans="1:3" x14ac:dyDescent="0.2">
      <c r="A653" s="43">
        <v>81516</v>
      </c>
      <c r="B653" s="43" t="s">
        <v>618</v>
      </c>
      <c r="C653" s="43" t="s">
        <v>702</v>
      </c>
    </row>
    <row r="654" spans="1:3" x14ac:dyDescent="0.2">
      <c r="A654" s="43">
        <v>81517</v>
      </c>
      <c r="B654" s="43" t="s">
        <v>618</v>
      </c>
      <c r="C654" s="43" t="s">
        <v>703</v>
      </c>
    </row>
    <row r="655" spans="1:3" x14ac:dyDescent="0.2">
      <c r="A655" s="43">
        <v>81518</v>
      </c>
      <c r="B655" s="43" t="s">
        <v>618</v>
      </c>
      <c r="C655" s="43" t="s">
        <v>704</v>
      </c>
    </row>
    <row r="656" spans="1:3" x14ac:dyDescent="0.2">
      <c r="A656" s="43">
        <v>81519</v>
      </c>
      <c r="B656" s="43" t="s">
        <v>618</v>
      </c>
      <c r="C656" s="43" t="s">
        <v>705</v>
      </c>
    </row>
    <row r="657" spans="1:3" x14ac:dyDescent="0.2">
      <c r="A657" s="43">
        <v>81520</v>
      </c>
      <c r="B657" s="43" t="s">
        <v>618</v>
      </c>
      <c r="C657" s="43" t="s">
        <v>706</v>
      </c>
    </row>
    <row r="658" spans="1:3" x14ac:dyDescent="0.2">
      <c r="A658" s="43">
        <v>81521</v>
      </c>
      <c r="B658" s="43" t="s">
        <v>618</v>
      </c>
      <c r="C658" s="43" t="s">
        <v>707</v>
      </c>
    </row>
    <row r="659" spans="1:3" x14ac:dyDescent="0.2">
      <c r="A659" s="43">
        <v>81522</v>
      </c>
      <c r="B659" s="43" t="s">
        <v>618</v>
      </c>
      <c r="C659" s="43" t="s">
        <v>708</v>
      </c>
    </row>
    <row r="660" spans="1:3" x14ac:dyDescent="0.2">
      <c r="A660" s="43">
        <v>81523</v>
      </c>
      <c r="B660" s="43" t="s">
        <v>618</v>
      </c>
      <c r="C660" s="43" t="s">
        <v>709</v>
      </c>
    </row>
    <row r="661" spans="1:3" x14ac:dyDescent="0.2">
      <c r="A661" s="43">
        <v>81524</v>
      </c>
      <c r="B661" s="43" t="s">
        <v>618</v>
      </c>
      <c r="C661" s="43" t="s">
        <v>710</v>
      </c>
    </row>
    <row r="662" spans="1:3" x14ac:dyDescent="0.2">
      <c r="A662" s="43">
        <v>81525</v>
      </c>
      <c r="B662" s="43" t="s">
        <v>618</v>
      </c>
      <c r="C662" s="43" t="s">
        <v>711</v>
      </c>
    </row>
    <row r="663" spans="1:3" x14ac:dyDescent="0.2">
      <c r="A663" s="43">
        <v>81526</v>
      </c>
      <c r="B663" s="43" t="s">
        <v>618</v>
      </c>
      <c r="C663" s="43" t="s">
        <v>712</v>
      </c>
    </row>
    <row r="664" spans="1:3" x14ac:dyDescent="0.2">
      <c r="A664" s="43">
        <v>81527</v>
      </c>
      <c r="B664" s="43" t="s">
        <v>618</v>
      </c>
      <c r="C664" s="43" t="s">
        <v>713</v>
      </c>
    </row>
    <row r="665" spans="1:3" x14ac:dyDescent="0.2">
      <c r="A665" s="43">
        <v>81528</v>
      </c>
      <c r="B665" s="43" t="s">
        <v>618</v>
      </c>
      <c r="C665" s="43" t="s">
        <v>714</v>
      </c>
    </row>
    <row r="666" spans="1:3" x14ac:dyDescent="0.2">
      <c r="A666" s="43">
        <v>81529</v>
      </c>
      <c r="B666" s="43" t="s">
        <v>618</v>
      </c>
      <c r="C666" s="43" t="s">
        <v>715</v>
      </c>
    </row>
    <row r="667" spans="1:3" x14ac:dyDescent="0.2">
      <c r="A667" s="43">
        <v>81530</v>
      </c>
      <c r="B667" s="43" t="s">
        <v>618</v>
      </c>
      <c r="C667" s="43" t="s">
        <v>716</v>
      </c>
    </row>
    <row r="668" spans="1:3" x14ac:dyDescent="0.2">
      <c r="A668" s="43">
        <v>81531</v>
      </c>
      <c r="B668" s="43" t="s">
        <v>618</v>
      </c>
      <c r="C668" s="43" t="s">
        <v>717</v>
      </c>
    </row>
    <row r="669" spans="1:3" x14ac:dyDescent="0.2">
      <c r="A669" s="43">
        <v>81532</v>
      </c>
      <c r="B669" s="43" t="s">
        <v>618</v>
      </c>
      <c r="C669" s="43" t="s">
        <v>718</v>
      </c>
    </row>
    <row r="670" spans="1:3" x14ac:dyDescent="0.2">
      <c r="A670" s="43">
        <v>81533</v>
      </c>
      <c r="B670" s="43" t="s">
        <v>618</v>
      </c>
      <c r="C670" s="43" t="s">
        <v>719</v>
      </c>
    </row>
    <row r="671" spans="1:3" x14ac:dyDescent="0.2">
      <c r="A671" s="43">
        <v>81534</v>
      </c>
      <c r="B671" s="43" t="s">
        <v>618</v>
      </c>
      <c r="C671" s="43" t="s">
        <v>720</v>
      </c>
    </row>
    <row r="672" spans="1:3" x14ac:dyDescent="0.2">
      <c r="A672" s="43">
        <v>81535</v>
      </c>
      <c r="B672" s="43" t="s">
        <v>618</v>
      </c>
      <c r="C672" s="43" t="s">
        <v>721</v>
      </c>
    </row>
    <row r="673" spans="1:3" x14ac:dyDescent="0.2">
      <c r="A673" s="43">
        <v>81536</v>
      </c>
      <c r="B673" s="43" t="s">
        <v>618</v>
      </c>
      <c r="C673" s="43" t="s">
        <v>722</v>
      </c>
    </row>
    <row r="674" spans="1:3" x14ac:dyDescent="0.2">
      <c r="A674" s="43">
        <v>81537</v>
      </c>
      <c r="B674" s="43" t="s">
        <v>618</v>
      </c>
      <c r="C674" s="43" t="s">
        <v>723</v>
      </c>
    </row>
    <row r="675" spans="1:3" x14ac:dyDescent="0.2">
      <c r="A675" s="43">
        <v>81538</v>
      </c>
      <c r="B675" s="43" t="s">
        <v>618</v>
      </c>
      <c r="C675" s="43" t="s">
        <v>724</v>
      </c>
    </row>
    <row r="676" spans="1:3" x14ac:dyDescent="0.2">
      <c r="A676" s="43">
        <v>81539</v>
      </c>
      <c r="B676" s="43" t="s">
        <v>618</v>
      </c>
      <c r="C676" s="43" t="s">
        <v>725</v>
      </c>
    </row>
    <row r="677" spans="1:3" x14ac:dyDescent="0.2">
      <c r="A677" s="43">
        <v>81540</v>
      </c>
      <c r="B677" s="43" t="s">
        <v>618</v>
      </c>
      <c r="C677" s="43" t="s">
        <v>726</v>
      </c>
    </row>
    <row r="678" spans="1:3" x14ac:dyDescent="0.2">
      <c r="A678" s="43">
        <v>81541</v>
      </c>
      <c r="B678" s="43" t="s">
        <v>618</v>
      </c>
      <c r="C678" s="43" t="s">
        <v>727</v>
      </c>
    </row>
    <row r="679" spans="1:3" x14ac:dyDescent="0.2">
      <c r="A679" s="43">
        <v>81542</v>
      </c>
      <c r="B679" s="43" t="s">
        <v>618</v>
      </c>
      <c r="C679" s="43" t="s">
        <v>728</v>
      </c>
    </row>
    <row r="680" spans="1:3" x14ac:dyDescent="0.2">
      <c r="A680" s="43">
        <v>81543</v>
      </c>
      <c r="B680" s="43" t="s">
        <v>618</v>
      </c>
      <c r="C680" s="43" t="s">
        <v>729</v>
      </c>
    </row>
    <row r="681" spans="1:3" x14ac:dyDescent="0.2">
      <c r="A681" s="43">
        <v>81546</v>
      </c>
      <c r="B681" s="43" t="s">
        <v>618</v>
      </c>
      <c r="C681" s="43" t="s">
        <v>730</v>
      </c>
    </row>
    <row r="682" spans="1:3" x14ac:dyDescent="0.2">
      <c r="A682" s="43">
        <v>81547</v>
      </c>
      <c r="B682" s="43" t="s">
        <v>618</v>
      </c>
      <c r="C682" s="43" t="s">
        <v>731</v>
      </c>
    </row>
    <row r="683" spans="1:3" x14ac:dyDescent="0.2">
      <c r="A683" s="43">
        <v>81548</v>
      </c>
      <c r="B683" s="43" t="s">
        <v>618</v>
      </c>
      <c r="C683" s="43" t="s">
        <v>732</v>
      </c>
    </row>
    <row r="684" spans="1:3" x14ac:dyDescent="0.2">
      <c r="A684" s="43">
        <v>81549</v>
      </c>
      <c r="B684" s="43" t="s">
        <v>618</v>
      </c>
      <c r="C684" s="43" t="s">
        <v>733</v>
      </c>
    </row>
    <row r="685" spans="1:3" x14ac:dyDescent="0.2">
      <c r="A685" s="43">
        <v>81550</v>
      </c>
      <c r="B685" s="43" t="s">
        <v>618</v>
      </c>
      <c r="C685" s="43" t="s">
        <v>734</v>
      </c>
    </row>
    <row r="686" spans="1:3" x14ac:dyDescent="0.2">
      <c r="A686" s="43">
        <v>81551</v>
      </c>
      <c r="B686" s="43" t="s">
        <v>618</v>
      </c>
      <c r="C686" s="43" t="s">
        <v>735</v>
      </c>
    </row>
    <row r="687" spans="1:3" x14ac:dyDescent="0.2">
      <c r="A687" s="43">
        <v>81552</v>
      </c>
      <c r="B687" s="43" t="s">
        <v>618</v>
      </c>
      <c r="C687" s="43" t="s">
        <v>736</v>
      </c>
    </row>
    <row r="688" spans="1:3" x14ac:dyDescent="0.2">
      <c r="A688" s="43">
        <v>81553</v>
      </c>
      <c r="B688" s="43" t="s">
        <v>618</v>
      </c>
      <c r="C688" s="43" t="s">
        <v>737</v>
      </c>
    </row>
    <row r="689" spans="1:3" x14ac:dyDescent="0.2">
      <c r="A689" s="43">
        <v>81554</v>
      </c>
      <c r="B689" s="43" t="s">
        <v>618</v>
      </c>
      <c r="C689" s="43" t="s">
        <v>738</v>
      </c>
    </row>
    <row r="690" spans="1:3" x14ac:dyDescent="0.2">
      <c r="A690" s="43">
        <v>81555</v>
      </c>
      <c r="B690" s="43" t="s">
        <v>618</v>
      </c>
      <c r="C690" s="43" t="s">
        <v>739</v>
      </c>
    </row>
    <row r="691" spans="1:3" x14ac:dyDescent="0.2">
      <c r="A691" s="43">
        <v>81556</v>
      </c>
      <c r="B691" s="43" t="s">
        <v>618</v>
      </c>
      <c r="C691" s="43" t="s">
        <v>740</v>
      </c>
    </row>
    <row r="692" spans="1:3" x14ac:dyDescent="0.2">
      <c r="A692" s="43">
        <v>81557</v>
      </c>
      <c r="B692" s="43" t="s">
        <v>618</v>
      </c>
      <c r="C692" s="43" t="s">
        <v>741</v>
      </c>
    </row>
    <row r="693" spans="1:3" x14ac:dyDescent="0.2">
      <c r="A693" s="43">
        <v>81558</v>
      </c>
      <c r="B693" s="43" t="s">
        <v>618</v>
      </c>
      <c r="C693" s="43" t="s">
        <v>742</v>
      </c>
    </row>
    <row r="694" spans="1:3" x14ac:dyDescent="0.2">
      <c r="A694" s="43">
        <v>81559</v>
      </c>
      <c r="B694" s="43" t="s">
        <v>618</v>
      </c>
      <c r="C694" s="43" t="s">
        <v>743</v>
      </c>
    </row>
    <row r="695" spans="1:3" x14ac:dyDescent="0.2">
      <c r="A695" s="43">
        <v>81560</v>
      </c>
      <c r="B695" s="43" t="s">
        <v>618</v>
      </c>
      <c r="C695" s="43" t="s">
        <v>744</v>
      </c>
    </row>
    <row r="696" spans="1:3" x14ac:dyDescent="0.2">
      <c r="A696" s="43">
        <v>81561</v>
      </c>
      <c r="B696" s="43" t="s">
        <v>618</v>
      </c>
      <c r="C696" s="43" t="s">
        <v>745</v>
      </c>
    </row>
    <row r="697" spans="1:3" x14ac:dyDescent="0.2">
      <c r="A697" s="43">
        <v>81562</v>
      </c>
      <c r="B697" s="43" t="s">
        <v>618</v>
      </c>
      <c r="C697" s="43" t="s">
        <v>746</v>
      </c>
    </row>
    <row r="698" spans="1:3" x14ac:dyDescent="0.2">
      <c r="A698" s="43">
        <v>81563</v>
      </c>
      <c r="B698" s="43" t="s">
        <v>618</v>
      </c>
      <c r="C698" s="43" t="s">
        <v>747</v>
      </c>
    </row>
    <row r="699" spans="1:3" x14ac:dyDescent="0.2">
      <c r="A699" s="43">
        <v>81567</v>
      </c>
      <c r="B699" s="43" t="s">
        <v>618</v>
      </c>
      <c r="C699" s="43" t="s">
        <v>748</v>
      </c>
    </row>
    <row r="700" spans="1:3" x14ac:dyDescent="0.2">
      <c r="A700" s="43">
        <v>81568</v>
      </c>
      <c r="B700" s="43" t="s">
        <v>618</v>
      </c>
      <c r="C700" s="43" t="s">
        <v>749</v>
      </c>
    </row>
    <row r="701" spans="1:3" x14ac:dyDescent="0.2">
      <c r="A701" s="43">
        <v>81569</v>
      </c>
      <c r="B701" s="43" t="s">
        <v>618</v>
      </c>
      <c r="C701" s="43" t="s">
        <v>750</v>
      </c>
    </row>
    <row r="702" spans="1:3" x14ac:dyDescent="0.2">
      <c r="A702" s="43">
        <v>81570</v>
      </c>
      <c r="B702" s="43" t="s">
        <v>618</v>
      </c>
      <c r="C702" s="43" t="s">
        <v>751</v>
      </c>
    </row>
    <row r="703" spans="1:3" x14ac:dyDescent="0.2">
      <c r="A703" s="43">
        <v>81571</v>
      </c>
      <c r="B703" s="43" t="s">
        <v>618</v>
      </c>
      <c r="C703" s="43" t="s">
        <v>752</v>
      </c>
    </row>
    <row r="704" spans="1:3" x14ac:dyDescent="0.2">
      <c r="A704" s="43">
        <v>81572</v>
      </c>
      <c r="B704" s="43" t="s">
        <v>618</v>
      </c>
      <c r="C704" s="43" t="s">
        <v>753</v>
      </c>
    </row>
    <row r="705" spans="1:3" x14ac:dyDescent="0.2">
      <c r="A705" s="43">
        <v>81573</v>
      </c>
      <c r="B705" s="43" t="s">
        <v>618</v>
      </c>
      <c r="C705" s="43" t="s">
        <v>754</v>
      </c>
    </row>
    <row r="706" spans="1:3" x14ac:dyDescent="0.2">
      <c r="A706" s="43">
        <v>81574</v>
      </c>
      <c r="B706" s="43" t="s">
        <v>618</v>
      </c>
      <c r="C706" s="43" t="s">
        <v>755</v>
      </c>
    </row>
    <row r="707" spans="1:3" x14ac:dyDescent="0.2">
      <c r="A707" s="43">
        <v>81575</v>
      </c>
      <c r="B707" s="43" t="s">
        <v>618</v>
      </c>
      <c r="C707" s="43" t="s">
        <v>756</v>
      </c>
    </row>
    <row r="708" spans="1:3" x14ac:dyDescent="0.2">
      <c r="A708" s="43">
        <v>81576</v>
      </c>
      <c r="B708" s="43" t="s">
        <v>618</v>
      </c>
      <c r="C708" s="43" t="s">
        <v>757</v>
      </c>
    </row>
    <row r="709" spans="1:3" x14ac:dyDescent="0.2">
      <c r="A709" s="43">
        <v>81577</v>
      </c>
      <c r="B709" s="43" t="s">
        <v>618</v>
      </c>
      <c r="C709" s="43" t="s">
        <v>758</v>
      </c>
    </row>
    <row r="710" spans="1:3" x14ac:dyDescent="0.2">
      <c r="A710" s="43">
        <v>81578</v>
      </c>
      <c r="B710" s="43" t="s">
        <v>618</v>
      </c>
      <c r="C710" s="43" t="s">
        <v>759</v>
      </c>
    </row>
    <row r="711" spans="1:3" x14ac:dyDescent="0.2">
      <c r="A711" s="43">
        <v>81579</v>
      </c>
      <c r="B711" s="43" t="s">
        <v>618</v>
      </c>
      <c r="C711" s="43" t="s">
        <v>760</v>
      </c>
    </row>
    <row r="712" spans="1:3" x14ac:dyDescent="0.2">
      <c r="A712" s="43">
        <v>81583</v>
      </c>
      <c r="B712" s="43" t="s">
        <v>618</v>
      </c>
      <c r="C712" s="43" t="s">
        <v>761</v>
      </c>
    </row>
    <row r="713" spans="1:3" x14ac:dyDescent="0.2">
      <c r="A713" s="43">
        <v>81584</v>
      </c>
      <c r="B713" s="43" t="s">
        <v>618</v>
      </c>
      <c r="C713" s="43" t="s">
        <v>762</v>
      </c>
    </row>
    <row r="714" spans="1:3" x14ac:dyDescent="0.2">
      <c r="A714" s="43">
        <v>81585</v>
      </c>
      <c r="B714" s="43" t="s">
        <v>618</v>
      </c>
      <c r="C714" s="43" t="s">
        <v>763</v>
      </c>
    </row>
    <row r="715" spans="1:3" x14ac:dyDescent="0.2">
      <c r="A715" s="43">
        <v>81586</v>
      </c>
      <c r="B715" s="43" t="s">
        <v>618</v>
      </c>
      <c r="C715" s="43" t="s">
        <v>764</v>
      </c>
    </row>
    <row r="716" spans="1:3" x14ac:dyDescent="0.2">
      <c r="A716" s="43">
        <v>81587</v>
      </c>
      <c r="B716" s="43" t="s">
        <v>618</v>
      </c>
      <c r="C716" s="43" t="s">
        <v>765</v>
      </c>
    </row>
    <row r="717" spans="1:3" x14ac:dyDescent="0.2">
      <c r="A717" s="43">
        <v>81588</v>
      </c>
      <c r="B717" s="43" t="s">
        <v>618</v>
      </c>
      <c r="C717" s="43" t="s">
        <v>766</v>
      </c>
    </row>
    <row r="718" spans="1:3" x14ac:dyDescent="0.2">
      <c r="A718" s="43">
        <v>81589</v>
      </c>
      <c r="B718" s="43" t="s">
        <v>618</v>
      </c>
      <c r="C718" s="43" t="s">
        <v>767</v>
      </c>
    </row>
    <row r="719" spans="1:3" x14ac:dyDescent="0.2">
      <c r="A719" s="43">
        <v>81590</v>
      </c>
      <c r="B719" s="43" t="s">
        <v>618</v>
      </c>
      <c r="C719" s="43" t="s">
        <v>768</v>
      </c>
    </row>
    <row r="720" spans="1:3" x14ac:dyDescent="0.2">
      <c r="A720" s="43">
        <v>81591</v>
      </c>
      <c r="B720" s="43" t="s">
        <v>618</v>
      </c>
      <c r="C720" s="43" t="s">
        <v>769</v>
      </c>
    </row>
    <row r="721" spans="1:3" x14ac:dyDescent="0.2">
      <c r="A721" s="43">
        <v>81704</v>
      </c>
      <c r="B721" s="43" t="s">
        <v>618</v>
      </c>
      <c r="C721" s="43" t="s">
        <v>770</v>
      </c>
    </row>
    <row r="722" spans="1:3" x14ac:dyDescent="0.2">
      <c r="A722" s="43">
        <v>81705</v>
      </c>
      <c r="B722" s="43" t="s">
        <v>618</v>
      </c>
      <c r="C722" s="43" t="s">
        <v>771</v>
      </c>
    </row>
    <row r="723" spans="1:3" x14ac:dyDescent="0.2">
      <c r="A723" s="43">
        <v>81706</v>
      </c>
      <c r="B723" s="43" t="s">
        <v>618</v>
      </c>
      <c r="C723" s="43" t="s">
        <v>772</v>
      </c>
    </row>
    <row r="724" spans="1:3" x14ac:dyDescent="0.2">
      <c r="A724" s="43">
        <v>81707</v>
      </c>
      <c r="B724" s="43" t="s">
        <v>618</v>
      </c>
      <c r="C724" s="43" t="s">
        <v>773</v>
      </c>
    </row>
    <row r="725" spans="1:3" x14ac:dyDescent="0.2">
      <c r="A725" s="43">
        <v>81756</v>
      </c>
      <c r="B725" s="43" t="s">
        <v>618</v>
      </c>
      <c r="C725" s="43" t="s">
        <v>774</v>
      </c>
    </row>
    <row r="726" spans="1:3" x14ac:dyDescent="0.2">
      <c r="A726" s="43">
        <v>81757</v>
      </c>
      <c r="B726" s="43" t="s">
        <v>618</v>
      </c>
      <c r="C726" s="43" t="s">
        <v>775</v>
      </c>
    </row>
    <row r="727" spans="1:3" x14ac:dyDescent="0.2">
      <c r="A727" s="43">
        <v>81758</v>
      </c>
      <c r="B727" s="43" t="s">
        <v>618</v>
      </c>
      <c r="C727" s="43" t="s">
        <v>776</v>
      </c>
    </row>
    <row r="728" spans="1:3" x14ac:dyDescent="0.2">
      <c r="A728" s="43">
        <v>90648</v>
      </c>
      <c r="B728" s="43" t="s">
        <v>777</v>
      </c>
      <c r="C728" s="43" t="s">
        <v>778</v>
      </c>
    </row>
    <row r="729" spans="1:3" x14ac:dyDescent="0.2">
      <c r="A729" s="43">
        <v>90649</v>
      </c>
      <c r="B729" s="43" t="s">
        <v>777</v>
      </c>
      <c r="C729" s="43" t="s">
        <v>779</v>
      </c>
    </row>
    <row r="730" spans="1:3" x14ac:dyDescent="0.2">
      <c r="A730" s="43">
        <v>90650</v>
      </c>
      <c r="B730" s="43" t="s">
        <v>777</v>
      </c>
      <c r="C730" s="43" t="s">
        <v>780</v>
      </c>
    </row>
    <row r="731" spans="1:3" x14ac:dyDescent="0.2">
      <c r="A731" s="43">
        <v>90651</v>
      </c>
      <c r="B731" s="43" t="s">
        <v>777</v>
      </c>
      <c r="C731" s="43" t="s">
        <v>781</v>
      </c>
    </row>
    <row r="732" spans="1:3" x14ac:dyDescent="0.2">
      <c r="A732" s="43">
        <v>90664</v>
      </c>
      <c r="B732" s="43" t="s">
        <v>777</v>
      </c>
      <c r="C732" s="43" t="s">
        <v>782</v>
      </c>
    </row>
    <row r="733" spans="1:3" x14ac:dyDescent="0.2">
      <c r="A733" s="43">
        <v>90665</v>
      </c>
      <c r="B733" s="43" t="s">
        <v>777</v>
      </c>
      <c r="C733" s="43" t="s">
        <v>783</v>
      </c>
    </row>
    <row r="734" spans="1:3" x14ac:dyDescent="0.2">
      <c r="A734" s="43">
        <v>90666</v>
      </c>
      <c r="B734" s="43" t="s">
        <v>777</v>
      </c>
      <c r="C734" s="43" t="s">
        <v>784</v>
      </c>
    </row>
    <row r="735" spans="1:3" x14ac:dyDescent="0.2">
      <c r="A735" s="43">
        <v>90667</v>
      </c>
      <c r="B735" s="43" t="s">
        <v>777</v>
      </c>
      <c r="C735" s="43" t="s">
        <v>785</v>
      </c>
    </row>
    <row r="736" spans="1:3" x14ac:dyDescent="0.2">
      <c r="A736" s="43">
        <v>90672</v>
      </c>
      <c r="B736" s="43" t="s">
        <v>777</v>
      </c>
      <c r="C736" s="43" t="s">
        <v>786</v>
      </c>
    </row>
    <row r="737" spans="1:3" x14ac:dyDescent="0.2">
      <c r="A737" s="43">
        <v>90673</v>
      </c>
      <c r="B737" s="43" t="s">
        <v>777</v>
      </c>
      <c r="C737" s="43" t="s">
        <v>787</v>
      </c>
    </row>
    <row r="738" spans="1:3" x14ac:dyDescent="0.2">
      <c r="A738" s="43">
        <v>90674</v>
      </c>
      <c r="B738" s="43" t="s">
        <v>777</v>
      </c>
      <c r="C738" s="43" t="s">
        <v>788</v>
      </c>
    </row>
    <row r="739" spans="1:3" x14ac:dyDescent="0.2">
      <c r="A739" s="43">
        <v>90675</v>
      </c>
      <c r="B739" s="43" t="s">
        <v>777</v>
      </c>
      <c r="C739" s="43" t="s">
        <v>789</v>
      </c>
    </row>
    <row r="740" spans="1:3" x14ac:dyDescent="0.2">
      <c r="A740" s="43">
        <v>90676</v>
      </c>
      <c r="B740" s="43" t="s">
        <v>777</v>
      </c>
      <c r="C740" s="43" t="s">
        <v>790</v>
      </c>
    </row>
    <row r="741" spans="1:3" x14ac:dyDescent="0.2">
      <c r="A741" s="43">
        <v>90677</v>
      </c>
      <c r="B741" s="43" t="s">
        <v>777</v>
      </c>
      <c r="C741" s="43" t="s">
        <v>791</v>
      </c>
    </row>
    <row r="742" spans="1:3" x14ac:dyDescent="0.2">
      <c r="A742" s="43">
        <v>90678</v>
      </c>
      <c r="B742" s="43" t="s">
        <v>777</v>
      </c>
      <c r="C742" s="43" t="s">
        <v>792</v>
      </c>
    </row>
    <row r="743" spans="1:3" x14ac:dyDescent="0.2">
      <c r="A743" s="43">
        <v>90708</v>
      </c>
      <c r="B743" s="43" t="s">
        <v>777</v>
      </c>
      <c r="C743" s="43" t="s">
        <v>793</v>
      </c>
    </row>
    <row r="744" spans="1:3" x14ac:dyDescent="0.2">
      <c r="A744" s="43">
        <v>90709</v>
      </c>
      <c r="B744" s="43" t="s">
        <v>777</v>
      </c>
      <c r="C744" s="43" t="s">
        <v>794</v>
      </c>
    </row>
    <row r="745" spans="1:3" x14ac:dyDescent="0.2">
      <c r="A745" s="43">
        <v>90710</v>
      </c>
      <c r="B745" s="43" t="s">
        <v>777</v>
      </c>
      <c r="C745" s="43" t="s">
        <v>795</v>
      </c>
    </row>
    <row r="746" spans="1:3" x14ac:dyDescent="0.2">
      <c r="A746" s="43">
        <v>90711</v>
      </c>
      <c r="B746" s="43" t="s">
        <v>777</v>
      </c>
      <c r="C746" s="43" t="s">
        <v>796</v>
      </c>
    </row>
    <row r="747" spans="1:3" x14ac:dyDescent="0.2">
      <c r="A747" s="43">
        <v>90712</v>
      </c>
      <c r="B747" s="43" t="s">
        <v>777</v>
      </c>
      <c r="C747" s="43" t="s">
        <v>797</v>
      </c>
    </row>
    <row r="748" spans="1:3" x14ac:dyDescent="0.2">
      <c r="A748" s="43">
        <v>90713</v>
      </c>
      <c r="B748" s="43" t="s">
        <v>777</v>
      </c>
      <c r="C748" s="43" t="s">
        <v>798</v>
      </c>
    </row>
    <row r="749" spans="1:3" x14ac:dyDescent="0.2">
      <c r="A749" s="43">
        <v>90714</v>
      </c>
      <c r="B749" s="43" t="s">
        <v>777</v>
      </c>
      <c r="C749" s="43" t="s">
        <v>799</v>
      </c>
    </row>
    <row r="750" spans="1:3" x14ac:dyDescent="0.2">
      <c r="A750" s="43">
        <v>90715</v>
      </c>
      <c r="B750" s="43" t="s">
        <v>777</v>
      </c>
      <c r="C750" s="43" t="s">
        <v>800</v>
      </c>
    </row>
    <row r="751" spans="1:3" x14ac:dyDescent="0.2">
      <c r="A751" s="43">
        <v>90716</v>
      </c>
      <c r="B751" s="43" t="s">
        <v>777</v>
      </c>
      <c r="C751" s="43" t="s">
        <v>801</v>
      </c>
    </row>
    <row r="752" spans="1:3" x14ac:dyDescent="0.2">
      <c r="A752" s="43">
        <v>90717</v>
      </c>
      <c r="B752" s="43" t="s">
        <v>777</v>
      </c>
      <c r="C752" s="43" t="s">
        <v>802</v>
      </c>
    </row>
    <row r="753" spans="1:3" x14ac:dyDescent="0.2">
      <c r="A753" s="43">
        <v>90718</v>
      </c>
      <c r="B753" s="43" t="s">
        <v>777</v>
      </c>
      <c r="C753" s="43" t="s">
        <v>803</v>
      </c>
    </row>
    <row r="754" spans="1:3" x14ac:dyDescent="0.2">
      <c r="A754" s="43">
        <v>90719</v>
      </c>
      <c r="B754" s="43" t="s">
        <v>777</v>
      </c>
      <c r="C754" s="43" t="s">
        <v>804</v>
      </c>
    </row>
    <row r="755" spans="1:3" x14ac:dyDescent="0.2">
      <c r="A755" s="43">
        <v>90720</v>
      </c>
      <c r="B755" s="43" t="s">
        <v>777</v>
      </c>
      <c r="C755" s="43" t="s">
        <v>805</v>
      </c>
    </row>
    <row r="756" spans="1:3" x14ac:dyDescent="0.2">
      <c r="A756" s="43">
        <v>90721</v>
      </c>
      <c r="B756" s="43" t="s">
        <v>777</v>
      </c>
      <c r="C756" s="43" t="s">
        <v>806</v>
      </c>
    </row>
    <row r="757" spans="1:3" x14ac:dyDescent="0.2">
      <c r="A757" s="43">
        <v>90722</v>
      </c>
      <c r="B757" s="43" t="s">
        <v>777</v>
      </c>
      <c r="C757" s="43" t="s">
        <v>807</v>
      </c>
    </row>
    <row r="758" spans="1:3" x14ac:dyDescent="0.2">
      <c r="A758" s="43">
        <v>90723</v>
      </c>
      <c r="B758" s="43" t="s">
        <v>777</v>
      </c>
      <c r="C758" s="43" t="s">
        <v>808</v>
      </c>
    </row>
    <row r="759" spans="1:3" x14ac:dyDescent="0.2">
      <c r="A759" s="43">
        <v>90724</v>
      </c>
      <c r="B759" s="43" t="s">
        <v>777</v>
      </c>
      <c r="C759" s="43" t="s">
        <v>809</v>
      </c>
    </row>
    <row r="760" spans="1:3" x14ac:dyDescent="0.2">
      <c r="A760" s="43">
        <v>90725</v>
      </c>
      <c r="B760" s="43" t="s">
        <v>777</v>
      </c>
      <c r="C760" s="43" t="s">
        <v>810</v>
      </c>
    </row>
    <row r="761" spans="1:3" x14ac:dyDescent="0.2">
      <c r="A761" s="43">
        <v>90726</v>
      </c>
      <c r="B761" s="43" t="s">
        <v>777</v>
      </c>
      <c r="C761" s="43" t="s">
        <v>811</v>
      </c>
    </row>
    <row r="762" spans="1:3" x14ac:dyDescent="0.2">
      <c r="A762" s="43">
        <v>90727</v>
      </c>
      <c r="B762" s="43" t="s">
        <v>777</v>
      </c>
      <c r="C762" s="43" t="s">
        <v>812</v>
      </c>
    </row>
    <row r="763" spans="1:3" x14ac:dyDescent="0.2">
      <c r="A763" s="43">
        <v>90759</v>
      </c>
      <c r="B763" s="43" t="s">
        <v>777</v>
      </c>
      <c r="C763" s="43" t="s">
        <v>813</v>
      </c>
    </row>
    <row r="764" spans="1:3" x14ac:dyDescent="0.2">
      <c r="A764" s="43">
        <v>91648</v>
      </c>
      <c r="B764" s="43" t="s">
        <v>777</v>
      </c>
      <c r="C764" s="43" t="s">
        <v>814</v>
      </c>
    </row>
    <row r="765" spans="1:3" x14ac:dyDescent="0.2">
      <c r="A765" s="43">
        <v>91649</v>
      </c>
      <c r="B765" s="43" t="s">
        <v>777</v>
      </c>
      <c r="C765" s="43" t="s">
        <v>815</v>
      </c>
    </row>
    <row r="766" spans="1:3" x14ac:dyDescent="0.2">
      <c r="A766" s="43">
        <v>91650</v>
      </c>
      <c r="B766" s="43" t="s">
        <v>777</v>
      </c>
      <c r="C766" s="43" t="s">
        <v>816</v>
      </c>
    </row>
    <row r="767" spans="1:3" x14ac:dyDescent="0.2">
      <c r="A767" s="43">
        <v>91651</v>
      </c>
      <c r="B767" s="43" t="s">
        <v>777</v>
      </c>
      <c r="C767" s="43" t="s">
        <v>817</v>
      </c>
    </row>
    <row r="768" spans="1:3" x14ac:dyDescent="0.2">
      <c r="A768" s="43">
        <v>91664</v>
      </c>
      <c r="B768" s="43" t="s">
        <v>777</v>
      </c>
      <c r="C768" s="43" t="s">
        <v>818</v>
      </c>
    </row>
    <row r="769" spans="1:3" x14ac:dyDescent="0.2">
      <c r="A769" s="43">
        <v>91665</v>
      </c>
      <c r="B769" s="43" t="s">
        <v>777</v>
      </c>
      <c r="C769" s="43" t="s">
        <v>819</v>
      </c>
    </row>
    <row r="770" spans="1:3" x14ac:dyDescent="0.2">
      <c r="A770" s="43">
        <v>91666</v>
      </c>
      <c r="B770" s="43" t="s">
        <v>777</v>
      </c>
      <c r="C770" s="43" t="s">
        <v>820</v>
      </c>
    </row>
    <row r="771" spans="1:3" x14ac:dyDescent="0.2">
      <c r="A771" s="43">
        <v>91667</v>
      </c>
      <c r="B771" s="43" t="s">
        <v>777</v>
      </c>
      <c r="C771" s="43" t="s">
        <v>821</v>
      </c>
    </row>
    <row r="772" spans="1:3" x14ac:dyDescent="0.2">
      <c r="A772" s="43">
        <v>91672</v>
      </c>
      <c r="B772" s="43" t="s">
        <v>777</v>
      </c>
      <c r="C772" s="43" t="s">
        <v>822</v>
      </c>
    </row>
    <row r="773" spans="1:3" x14ac:dyDescent="0.2">
      <c r="A773" s="43">
        <v>91673</v>
      </c>
      <c r="B773" s="43" t="s">
        <v>777</v>
      </c>
      <c r="C773" s="43" t="s">
        <v>823</v>
      </c>
    </row>
    <row r="774" spans="1:3" x14ac:dyDescent="0.2">
      <c r="A774" s="43">
        <v>91674</v>
      </c>
      <c r="B774" s="43" t="s">
        <v>777</v>
      </c>
      <c r="C774" s="43" t="s">
        <v>824</v>
      </c>
    </row>
    <row r="775" spans="1:3" x14ac:dyDescent="0.2">
      <c r="A775" s="43">
        <v>91675</v>
      </c>
      <c r="B775" s="43" t="s">
        <v>777</v>
      </c>
      <c r="C775" s="43" t="s">
        <v>825</v>
      </c>
    </row>
    <row r="776" spans="1:3" x14ac:dyDescent="0.2">
      <c r="A776" s="43">
        <v>91676</v>
      </c>
      <c r="B776" s="43" t="s">
        <v>777</v>
      </c>
      <c r="C776" s="43" t="s">
        <v>826</v>
      </c>
    </row>
    <row r="777" spans="1:3" x14ac:dyDescent="0.2">
      <c r="A777" s="43">
        <v>91677</v>
      </c>
      <c r="B777" s="43" t="s">
        <v>777</v>
      </c>
      <c r="C777" s="43" t="s">
        <v>827</v>
      </c>
    </row>
    <row r="778" spans="1:3" x14ac:dyDescent="0.2">
      <c r="A778" s="43">
        <v>91678</v>
      </c>
      <c r="B778" s="43" t="s">
        <v>777</v>
      </c>
      <c r="C778" s="43" t="s">
        <v>828</v>
      </c>
    </row>
    <row r="779" spans="1:3" x14ac:dyDescent="0.2">
      <c r="A779" s="43">
        <v>91708</v>
      </c>
      <c r="B779" s="43" t="s">
        <v>777</v>
      </c>
      <c r="C779" s="43" t="s">
        <v>829</v>
      </c>
    </row>
    <row r="780" spans="1:3" x14ac:dyDescent="0.2">
      <c r="A780" s="43">
        <v>91709</v>
      </c>
      <c r="B780" s="43" t="s">
        <v>777</v>
      </c>
      <c r="C780" s="43" t="s">
        <v>830</v>
      </c>
    </row>
    <row r="781" spans="1:3" x14ac:dyDescent="0.2">
      <c r="A781" s="43">
        <v>91710</v>
      </c>
      <c r="B781" s="43" t="s">
        <v>777</v>
      </c>
      <c r="C781" s="43" t="s">
        <v>831</v>
      </c>
    </row>
    <row r="782" spans="1:3" x14ac:dyDescent="0.2">
      <c r="A782" s="43">
        <v>91711</v>
      </c>
      <c r="B782" s="43" t="s">
        <v>777</v>
      </c>
      <c r="C782" s="43" t="s">
        <v>832</v>
      </c>
    </row>
    <row r="783" spans="1:3" x14ac:dyDescent="0.2">
      <c r="A783" s="43">
        <v>91712</v>
      </c>
      <c r="B783" s="43" t="s">
        <v>777</v>
      </c>
      <c r="C783" s="43" t="s">
        <v>833</v>
      </c>
    </row>
    <row r="784" spans="1:3" x14ac:dyDescent="0.2">
      <c r="A784" s="43">
        <v>91713</v>
      </c>
      <c r="B784" s="43" t="s">
        <v>777</v>
      </c>
      <c r="C784" s="43" t="s">
        <v>834</v>
      </c>
    </row>
    <row r="785" spans="1:3" x14ac:dyDescent="0.2">
      <c r="A785" s="43">
        <v>91714</v>
      </c>
      <c r="B785" s="43" t="s">
        <v>777</v>
      </c>
      <c r="C785" s="43" t="s">
        <v>835</v>
      </c>
    </row>
    <row r="786" spans="1:3" x14ac:dyDescent="0.2">
      <c r="A786" s="43">
        <v>91715</v>
      </c>
      <c r="B786" s="43" t="s">
        <v>777</v>
      </c>
      <c r="C786" s="43" t="s">
        <v>836</v>
      </c>
    </row>
    <row r="787" spans="1:3" x14ac:dyDescent="0.2">
      <c r="A787" s="43">
        <v>91716</v>
      </c>
      <c r="B787" s="43" t="s">
        <v>777</v>
      </c>
      <c r="C787" s="43" t="s">
        <v>837</v>
      </c>
    </row>
    <row r="788" spans="1:3" x14ac:dyDescent="0.2">
      <c r="A788" s="43">
        <v>91717</v>
      </c>
      <c r="B788" s="43" t="s">
        <v>777</v>
      </c>
      <c r="C788" s="43" t="s">
        <v>838</v>
      </c>
    </row>
    <row r="789" spans="1:3" x14ac:dyDescent="0.2">
      <c r="A789" s="43">
        <v>91718</v>
      </c>
      <c r="B789" s="43" t="s">
        <v>777</v>
      </c>
      <c r="C789" s="43" t="s">
        <v>839</v>
      </c>
    </row>
    <row r="790" spans="1:3" x14ac:dyDescent="0.2">
      <c r="A790" s="43">
        <v>91719</v>
      </c>
      <c r="B790" s="43" t="s">
        <v>777</v>
      </c>
      <c r="C790" s="43" t="s">
        <v>840</v>
      </c>
    </row>
    <row r="791" spans="1:3" x14ac:dyDescent="0.2">
      <c r="A791" s="43">
        <v>91720</v>
      </c>
      <c r="B791" s="43" t="s">
        <v>777</v>
      </c>
      <c r="C791" s="43" t="s">
        <v>841</v>
      </c>
    </row>
    <row r="792" spans="1:3" x14ac:dyDescent="0.2">
      <c r="A792" s="43">
        <v>91721</v>
      </c>
      <c r="B792" s="43" t="s">
        <v>777</v>
      </c>
      <c r="C792" s="43" t="s">
        <v>842</v>
      </c>
    </row>
    <row r="793" spans="1:3" x14ac:dyDescent="0.2">
      <c r="A793" s="43">
        <v>91722</v>
      </c>
      <c r="B793" s="43" t="s">
        <v>777</v>
      </c>
      <c r="C793" s="43" t="s">
        <v>843</v>
      </c>
    </row>
    <row r="794" spans="1:3" x14ac:dyDescent="0.2">
      <c r="A794" s="43">
        <v>91723</v>
      </c>
      <c r="B794" s="43" t="s">
        <v>777</v>
      </c>
      <c r="C794" s="43" t="s">
        <v>844</v>
      </c>
    </row>
    <row r="795" spans="1:3" x14ac:dyDescent="0.2">
      <c r="A795" s="43">
        <v>91724</v>
      </c>
      <c r="B795" s="43" t="s">
        <v>777</v>
      </c>
      <c r="C795" s="43" t="s">
        <v>845</v>
      </c>
    </row>
    <row r="796" spans="1:3" x14ac:dyDescent="0.2">
      <c r="A796" s="43">
        <v>91725</v>
      </c>
      <c r="B796" s="43" t="s">
        <v>777</v>
      </c>
      <c r="C796" s="43" t="s">
        <v>846</v>
      </c>
    </row>
    <row r="797" spans="1:3" x14ac:dyDescent="0.2">
      <c r="A797" s="43">
        <v>91726</v>
      </c>
      <c r="B797" s="43" t="s">
        <v>777</v>
      </c>
      <c r="C797" s="43" t="s">
        <v>847</v>
      </c>
    </row>
    <row r="798" spans="1:3" x14ac:dyDescent="0.2">
      <c r="A798" s="43">
        <v>91727</v>
      </c>
      <c r="B798" s="43" t="s">
        <v>777</v>
      </c>
      <c r="C798" s="43" t="s">
        <v>848</v>
      </c>
    </row>
    <row r="799" spans="1:3" x14ac:dyDescent="0.2">
      <c r="A799" s="43">
        <v>91759</v>
      </c>
      <c r="B799" s="43" t="s">
        <v>777</v>
      </c>
      <c r="C799" s="43" t="s">
        <v>849</v>
      </c>
    </row>
    <row r="800" spans="1:3" x14ac:dyDescent="0.2">
      <c r="A800" s="43">
        <v>93000</v>
      </c>
      <c r="B800" s="43" t="s">
        <v>777</v>
      </c>
      <c r="C800" s="43" t="s">
        <v>850</v>
      </c>
    </row>
    <row r="801" spans="1:3" x14ac:dyDescent="0.2">
      <c r="A801" s="43">
        <v>93001</v>
      </c>
      <c r="B801" s="43" t="s">
        <v>777</v>
      </c>
      <c r="C801" s="43" t="s">
        <v>851</v>
      </c>
    </row>
    <row r="802" spans="1:3" x14ac:dyDescent="0.2">
      <c r="A802" s="43">
        <v>100592</v>
      </c>
      <c r="B802" s="43" t="s">
        <v>852</v>
      </c>
      <c r="C802" s="43" t="s">
        <v>853</v>
      </c>
    </row>
    <row r="803" spans="1:3" x14ac:dyDescent="0.2">
      <c r="A803" s="43">
        <v>100593</v>
      </c>
      <c r="B803" s="43" t="s">
        <v>852</v>
      </c>
      <c r="C803" s="43" t="s">
        <v>854</v>
      </c>
    </row>
    <row r="804" spans="1:3" x14ac:dyDescent="0.2">
      <c r="A804" s="43">
        <v>100594</v>
      </c>
      <c r="B804" s="43" t="s">
        <v>852</v>
      </c>
      <c r="C804" s="43" t="s">
        <v>855</v>
      </c>
    </row>
    <row r="805" spans="1:3" x14ac:dyDescent="0.2">
      <c r="A805" s="43">
        <v>100595</v>
      </c>
      <c r="B805" s="43" t="s">
        <v>852</v>
      </c>
      <c r="C805" s="43" t="s">
        <v>856</v>
      </c>
    </row>
    <row r="806" spans="1:3" x14ac:dyDescent="0.2">
      <c r="A806" s="43">
        <v>100596</v>
      </c>
      <c r="B806" s="43" t="s">
        <v>852</v>
      </c>
      <c r="C806" s="43" t="s">
        <v>857</v>
      </c>
    </row>
    <row r="807" spans="1:3" x14ac:dyDescent="0.2">
      <c r="A807" s="43">
        <v>100597</v>
      </c>
      <c r="B807" s="43" t="s">
        <v>852</v>
      </c>
      <c r="C807" s="43" t="s">
        <v>858</v>
      </c>
    </row>
    <row r="808" spans="1:3" x14ac:dyDescent="0.2">
      <c r="A808" s="43">
        <v>100598</v>
      </c>
      <c r="B808" s="43" t="s">
        <v>852</v>
      </c>
      <c r="C808" s="43" t="s">
        <v>859</v>
      </c>
    </row>
    <row r="809" spans="1:3" x14ac:dyDescent="0.2">
      <c r="A809" s="43">
        <v>100599</v>
      </c>
      <c r="B809" s="43" t="s">
        <v>852</v>
      </c>
      <c r="C809" s="43" t="s">
        <v>860</v>
      </c>
    </row>
    <row r="810" spans="1:3" x14ac:dyDescent="0.2">
      <c r="A810" s="43">
        <v>100600</v>
      </c>
      <c r="B810" s="43" t="s">
        <v>852</v>
      </c>
      <c r="C810" s="43" t="s">
        <v>861</v>
      </c>
    </row>
    <row r="811" spans="1:3" x14ac:dyDescent="0.2">
      <c r="A811" s="43">
        <v>100601</v>
      </c>
      <c r="B811" s="43" t="s">
        <v>852</v>
      </c>
      <c r="C811" s="43" t="s">
        <v>862</v>
      </c>
    </row>
    <row r="812" spans="1:3" x14ac:dyDescent="0.2">
      <c r="A812" s="43">
        <v>100602</v>
      </c>
      <c r="B812" s="43" t="s">
        <v>852</v>
      </c>
      <c r="C812" s="43" t="s">
        <v>863</v>
      </c>
    </row>
    <row r="813" spans="1:3" x14ac:dyDescent="0.2">
      <c r="A813" s="43">
        <v>100603</v>
      </c>
      <c r="B813" s="43" t="s">
        <v>852</v>
      </c>
      <c r="C813" s="43" t="s">
        <v>864</v>
      </c>
    </row>
    <row r="814" spans="1:3" x14ac:dyDescent="0.2">
      <c r="A814" s="43">
        <v>100604</v>
      </c>
      <c r="B814" s="43" t="s">
        <v>852</v>
      </c>
      <c r="C814" s="43" t="s">
        <v>865</v>
      </c>
    </row>
    <row r="815" spans="1:3" x14ac:dyDescent="0.2">
      <c r="A815" s="43">
        <v>100605</v>
      </c>
      <c r="B815" s="43" t="s">
        <v>852</v>
      </c>
      <c r="C815" s="43" t="s">
        <v>866</v>
      </c>
    </row>
    <row r="816" spans="1:3" x14ac:dyDescent="0.2">
      <c r="A816" s="43">
        <v>100606</v>
      </c>
      <c r="B816" s="43" t="s">
        <v>852</v>
      </c>
      <c r="C816" s="43" t="s">
        <v>867</v>
      </c>
    </row>
    <row r="817" spans="1:3" x14ac:dyDescent="0.2">
      <c r="A817" s="43">
        <v>100607</v>
      </c>
      <c r="B817" s="43" t="s">
        <v>852</v>
      </c>
      <c r="C817" s="43" t="s">
        <v>868</v>
      </c>
    </row>
    <row r="818" spans="1:3" x14ac:dyDescent="0.2">
      <c r="A818" s="43">
        <v>100608</v>
      </c>
      <c r="B818" s="43" t="s">
        <v>852</v>
      </c>
      <c r="C818" s="43" t="s">
        <v>869</v>
      </c>
    </row>
    <row r="819" spans="1:3" x14ac:dyDescent="0.2">
      <c r="A819" s="43">
        <v>100609</v>
      </c>
      <c r="B819" s="43" t="s">
        <v>852</v>
      </c>
      <c r="C819" s="43" t="s">
        <v>870</v>
      </c>
    </row>
    <row r="820" spans="1:3" x14ac:dyDescent="0.2">
      <c r="A820" s="43">
        <v>100610</v>
      </c>
      <c r="B820" s="43" t="s">
        <v>852</v>
      </c>
      <c r="C820" s="43" t="s">
        <v>871</v>
      </c>
    </row>
    <row r="821" spans="1:3" x14ac:dyDescent="0.2">
      <c r="A821" s="43">
        <v>100611</v>
      </c>
      <c r="B821" s="43" t="s">
        <v>852</v>
      </c>
      <c r="C821" s="43" t="s">
        <v>872</v>
      </c>
    </row>
    <row r="822" spans="1:3" x14ac:dyDescent="0.2">
      <c r="A822" s="43">
        <v>100612</v>
      </c>
      <c r="B822" s="43" t="s">
        <v>852</v>
      </c>
      <c r="C822" s="43" t="s">
        <v>873</v>
      </c>
    </row>
    <row r="823" spans="1:3" x14ac:dyDescent="0.2">
      <c r="A823" s="43">
        <v>100613</v>
      </c>
      <c r="B823" s="43" t="s">
        <v>852</v>
      </c>
      <c r="C823" s="43" t="s">
        <v>874</v>
      </c>
    </row>
    <row r="824" spans="1:3" x14ac:dyDescent="0.2">
      <c r="A824" s="43">
        <v>100614</v>
      </c>
      <c r="B824" s="43" t="s">
        <v>852</v>
      </c>
      <c r="C824" s="43" t="s">
        <v>875</v>
      </c>
    </row>
    <row r="825" spans="1:3" x14ac:dyDescent="0.2">
      <c r="A825" s="43">
        <v>100615</v>
      </c>
      <c r="B825" s="43" t="s">
        <v>852</v>
      </c>
      <c r="C825" s="43" t="s">
        <v>876</v>
      </c>
    </row>
    <row r="826" spans="1:3" x14ac:dyDescent="0.2">
      <c r="A826" s="43">
        <v>100616</v>
      </c>
      <c r="B826" s="43" t="s">
        <v>852</v>
      </c>
      <c r="C826" s="43" t="s">
        <v>877</v>
      </c>
    </row>
    <row r="827" spans="1:3" x14ac:dyDescent="0.2">
      <c r="A827" s="43">
        <v>100617</v>
      </c>
      <c r="B827" s="43" t="s">
        <v>852</v>
      </c>
      <c r="C827" s="43" t="s">
        <v>878</v>
      </c>
    </row>
    <row r="828" spans="1:3" x14ac:dyDescent="0.2">
      <c r="A828" s="43">
        <v>100618</v>
      </c>
      <c r="B828" s="43" t="s">
        <v>852</v>
      </c>
      <c r="C828" s="43" t="s">
        <v>879</v>
      </c>
    </row>
    <row r="829" spans="1:3" x14ac:dyDescent="0.2">
      <c r="A829" s="43">
        <v>100619</v>
      </c>
      <c r="B829" s="43" t="s">
        <v>852</v>
      </c>
      <c r="C829" s="43" t="s">
        <v>880</v>
      </c>
    </row>
    <row r="830" spans="1:3" x14ac:dyDescent="0.2">
      <c r="A830" s="43">
        <v>100620</v>
      </c>
      <c r="B830" s="43" t="s">
        <v>852</v>
      </c>
      <c r="C830" s="43" t="s">
        <v>881</v>
      </c>
    </row>
    <row r="831" spans="1:3" x14ac:dyDescent="0.2">
      <c r="A831" s="43">
        <v>100621</v>
      </c>
      <c r="B831" s="43" t="s">
        <v>852</v>
      </c>
      <c r="C831" s="43" t="s">
        <v>882</v>
      </c>
    </row>
    <row r="832" spans="1:3" x14ac:dyDescent="0.2">
      <c r="A832" s="43">
        <v>100622</v>
      </c>
      <c r="B832" s="43" t="s">
        <v>852</v>
      </c>
      <c r="C832" s="43" t="s">
        <v>883</v>
      </c>
    </row>
    <row r="833" spans="1:3" x14ac:dyDescent="0.2">
      <c r="A833" s="43">
        <v>100623</v>
      </c>
      <c r="B833" s="43" t="s">
        <v>852</v>
      </c>
      <c r="C833" s="43" t="s">
        <v>884</v>
      </c>
    </row>
    <row r="834" spans="1:3" x14ac:dyDescent="0.2">
      <c r="A834" s="43">
        <v>100624</v>
      </c>
      <c r="B834" s="43" t="s">
        <v>852</v>
      </c>
      <c r="C834" s="43" t="s">
        <v>885</v>
      </c>
    </row>
    <row r="835" spans="1:3" x14ac:dyDescent="0.2">
      <c r="A835" s="43">
        <v>100625</v>
      </c>
      <c r="B835" s="43" t="s">
        <v>852</v>
      </c>
      <c r="C835" s="43" t="s">
        <v>886</v>
      </c>
    </row>
    <row r="836" spans="1:3" x14ac:dyDescent="0.2">
      <c r="A836" s="43">
        <v>100626</v>
      </c>
      <c r="B836" s="43" t="s">
        <v>852</v>
      </c>
      <c r="C836" s="43" t="s">
        <v>887</v>
      </c>
    </row>
    <row r="837" spans="1:3" x14ac:dyDescent="0.2">
      <c r="A837" s="43">
        <v>100627</v>
      </c>
      <c r="B837" s="43" t="s">
        <v>852</v>
      </c>
      <c r="C837" s="43" t="s">
        <v>888</v>
      </c>
    </row>
    <row r="838" spans="1:3" x14ac:dyDescent="0.2">
      <c r="A838" s="43">
        <v>100628</v>
      </c>
      <c r="B838" s="43" t="s">
        <v>852</v>
      </c>
      <c r="C838" s="43" t="s">
        <v>889</v>
      </c>
    </row>
    <row r="839" spans="1:3" x14ac:dyDescent="0.2">
      <c r="A839" s="43">
        <v>100629</v>
      </c>
      <c r="B839" s="43" t="s">
        <v>852</v>
      </c>
      <c r="C839" s="43" t="s">
        <v>890</v>
      </c>
    </row>
    <row r="840" spans="1:3" x14ac:dyDescent="0.2">
      <c r="A840" s="43">
        <v>100630</v>
      </c>
      <c r="B840" s="43" t="s">
        <v>852</v>
      </c>
      <c r="C840" s="43" t="s">
        <v>891</v>
      </c>
    </row>
    <row r="841" spans="1:3" x14ac:dyDescent="0.2">
      <c r="A841" s="43">
        <v>100631</v>
      </c>
      <c r="B841" s="43" t="s">
        <v>852</v>
      </c>
      <c r="C841" s="43" t="s">
        <v>892</v>
      </c>
    </row>
    <row r="842" spans="1:3" x14ac:dyDescent="0.2">
      <c r="A842" s="43">
        <v>100632</v>
      </c>
      <c r="B842" s="43" t="s">
        <v>852</v>
      </c>
      <c r="C842" s="43" t="s">
        <v>893</v>
      </c>
    </row>
    <row r="843" spans="1:3" x14ac:dyDescent="0.2">
      <c r="A843" s="43">
        <v>100633</v>
      </c>
      <c r="B843" s="43" t="s">
        <v>852</v>
      </c>
      <c r="C843" s="43" t="s">
        <v>894</v>
      </c>
    </row>
    <row r="844" spans="1:3" x14ac:dyDescent="0.2">
      <c r="A844" s="43">
        <v>100634</v>
      </c>
      <c r="B844" s="43" t="s">
        <v>852</v>
      </c>
      <c r="C844" s="43" t="s">
        <v>895</v>
      </c>
    </row>
    <row r="845" spans="1:3" x14ac:dyDescent="0.2">
      <c r="A845" s="43">
        <v>100635</v>
      </c>
      <c r="B845" s="43" t="s">
        <v>852</v>
      </c>
      <c r="C845" s="43" t="s">
        <v>896</v>
      </c>
    </row>
    <row r="846" spans="1:3" x14ac:dyDescent="0.2">
      <c r="A846" s="43">
        <v>100636</v>
      </c>
      <c r="B846" s="43" t="s">
        <v>852</v>
      </c>
      <c r="C846" s="43" t="s">
        <v>897</v>
      </c>
    </row>
    <row r="847" spans="1:3" x14ac:dyDescent="0.2">
      <c r="A847" s="43">
        <v>100637</v>
      </c>
      <c r="B847" s="43" t="s">
        <v>852</v>
      </c>
      <c r="C847" s="43" t="s">
        <v>898</v>
      </c>
    </row>
    <row r="848" spans="1:3" x14ac:dyDescent="0.2">
      <c r="A848" s="43">
        <v>100638</v>
      </c>
      <c r="B848" s="43" t="s">
        <v>852</v>
      </c>
      <c r="C848" s="43" t="s">
        <v>899</v>
      </c>
    </row>
    <row r="849" spans="1:3" x14ac:dyDescent="0.2">
      <c r="A849" s="43">
        <v>100639</v>
      </c>
      <c r="B849" s="43" t="s">
        <v>852</v>
      </c>
      <c r="C849" s="43" t="s">
        <v>900</v>
      </c>
    </row>
    <row r="850" spans="1:3" x14ac:dyDescent="0.2">
      <c r="A850" s="43">
        <v>100640</v>
      </c>
      <c r="B850" s="43" t="s">
        <v>852</v>
      </c>
      <c r="C850" s="43" t="s">
        <v>901</v>
      </c>
    </row>
    <row r="851" spans="1:3" x14ac:dyDescent="0.2">
      <c r="A851" s="43">
        <v>100641</v>
      </c>
      <c r="B851" s="43" t="s">
        <v>852</v>
      </c>
      <c r="C851" s="43" t="s">
        <v>902</v>
      </c>
    </row>
    <row r="852" spans="1:3" x14ac:dyDescent="0.2">
      <c r="A852" s="43">
        <v>100642</v>
      </c>
      <c r="B852" s="43" t="s">
        <v>852</v>
      </c>
      <c r="C852" s="43" t="s">
        <v>903</v>
      </c>
    </row>
    <row r="853" spans="1:3" x14ac:dyDescent="0.2">
      <c r="A853" s="43">
        <v>100643</v>
      </c>
      <c r="B853" s="43" t="s">
        <v>852</v>
      </c>
      <c r="C853" s="43" t="s">
        <v>904</v>
      </c>
    </row>
    <row r="854" spans="1:3" x14ac:dyDescent="0.2">
      <c r="A854" s="43">
        <v>100645</v>
      </c>
      <c r="B854" s="43" t="s">
        <v>852</v>
      </c>
      <c r="C854" s="43" t="s">
        <v>905</v>
      </c>
    </row>
    <row r="855" spans="1:3" x14ac:dyDescent="0.2">
      <c r="A855" s="43">
        <v>100646</v>
      </c>
      <c r="B855" s="43" t="s">
        <v>852</v>
      </c>
      <c r="C855" s="43" t="s">
        <v>906</v>
      </c>
    </row>
    <row r="856" spans="1:3" x14ac:dyDescent="0.2">
      <c r="A856" s="43">
        <v>100647</v>
      </c>
      <c r="B856" s="43" t="s">
        <v>852</v>
      </c>
      <c r="C856" s="43" t="s">
        <v>907</v>
      </c>
    </row>
    <row r="857" spans="1:3" x14ac:dyDescent="0.2">
      <c r="A857" s="43">
        <v>100653</v>
      </c>
      <c r="B857" s="43" t="s">
        <v>852</v>
      </c>
      <c r="C857" s="43" t="s">
        <v>908</v>
      </c>
    </row>
    <row r="858" spans="1:3" x14ac:dyDescent="0.2">
      <c r="A858" s="43">
        <v>100654</v>
      </c>
      <c r="B858" s="43" t="s">
        <v>852</v>
      </c>
      <c r="C858" s="43" t="s">
        <v>909</v>
      </c>
    </row>
    <row r="859" spans="1:3" x14ac:dyDescent="0.2">
      <c r="A859" s="43">
        <v>100656</v>
      </c>
      <c r="B859" s="43" t="s">
        <v>852</v>
      </c>
      <c r="C859" s="43" t="s">
        <v>910</v>
      </c>
    </row>
    <row r="860" spans="1:3" x14ac:dyDescent="0.2">
      <c r="A860" s="43">
        <v>100657</v>
      </c>
      <c r="B860" s="43" t="s">
        <v>852</v>
      </c>
      <c r="C860" s="43" t="s">
        <v>911</v>
      </c>
    </row>
    <row r="861" spans="1:3" x14ac:dyDescent="0.2">
      <c r="A861" s="43">
        <v>100658</v>
      </c>
      <c r="B861" s="43" t="s">
        <v>852</v>
      </c>
      <c r="C861" s="43" t="s">
        <v>912</v>
      </c>
    </row>
    <row r="862" spans="1:3" x14ac:dyDescent="0.2">
      <c r="A862" s="43">
        <v>100659</v>
      </c>
      <c r="B862" s="43" t="s">
        <v>852</v>
      </c>
      <c r="C862" s="43" t="s">
        <v>913</v>
      </c>
    </row>
    <row r="863" spans="1:3" x14ac:dyDescent="0.2">
      <c r="A863" s="43">
        <v>100661</v>
      </c>
      <c r="B863" s="43" t="s">
        <v>852</v>
      </c>
      <c r="C863" s="43" t="s">
        <v>914</v>
      </c>
    </row>
    <row r="864" spans="1:3" x14ac:dyDescent="0.2">
      <c r="A864" s="43">
        <v>100662</v>
      </c>
      <c r="B864" s="43" t="s">
        <v>852</v>
      </c>
      <c r="C864" s="43" t="s">
        <v>915</v>
      </c>
    </row>
    <row r="865" spans="1:3" x14ac:dyDescent="0.2">
      <c r="A865" s="43">
        <v>100663</v>
      </c>
      <c r="B865" s="43" t="s">
        <v>852</v>
      </c>
      <c r="C865" s="43" t="s">
        <v>916</v>
      </c>
    </row>
    <row r="866" spans="1:3" x14ac:dyDescent="0.2">
      <c r="A866" s="43">
        <v>100669</v>
      </c>
      <c r="B866" s="43" t="s">
        <v>852</v>
      </c>
      <c r="C866" s="43" t="s">
        <v>917</v>
      </c>
    </row>
    <row r="867" spans="1:3" x14ac:dyDescent="0.2">
      <c r="A867" s="43">
        <v>100670</v>
      </c>
      <c r="B867" s="43" t="s">
        <v>852</v>
      </c>
      <c r="C867" s="43" t="s">
        <v>909</v>
      </c>
    </row>
    <row r="868" spans="1:3" x14ac:dyDescent="0.2">
      <c r="A868" s="43">
        <v>100736</v>
      </c>
      <c r="B868" s="43" t="s">
        <v>852</v>
      </c>
      <c r="C868" s="43" t="s">
        <v>918</v>
      </c>
    </row>
    <row r="869" spans="1:3" x14ac:dyDescent="0.2">
      <c r="A869" s="43">
        <v>100737</v>
      </c>
      <c r="B869" s="43" t="s">
        <v>852</v>
      </c>
      <c r="C869" s="43" t="s">
        <v>919</v>
      </c>
    </row>
    <row r="870" spans="1:3" x14ac:dyDescent="0.2">
      <c r="A870" s="43">
        <v>100738</v>
      </c>
      <c r="B870" s="43" t="s">
        <v>852</v>
      </c>
      <c r="C870" s="43" t="s">
        <v>920</v>
      </c>
    </row>
    <row r="871" spans="1:3" x14ac:dyDescent="0.2">
      <c r="A871" s="43">
        <v>100739</v>
      </c>
      <c r="B871" s="43" t="s">
        <v>852</v>
      </c>
      <c r="C871" s="43" t="s">
        <v>921</v>
      </c>
    </row>
    <row r="872" spans="1:3" x14ac:dyDescent="0.2">
      <c r="A872" s="43">
        <v>100740</v>
      </c>
      <c r="B872" s="43" t="s">
        <v>852</v>
      </c>
      <c r="C872" s="43" t="s">
        <v>922</v>
      </c>
    </row>
    <row r="873" spans="1:3" x14ac:dyDescent="0.2">
      <c r="A873" s="43">
        <v>100741</v>
      </c>
      <c r="B873" s="43" t="s">
        <v>852</v>
      </c>
      <c r="C873" s="43" t="s">
        <v>923</v>
      </c>
    </row>
    <row r="874" spans="1:3" x14ac:dyDescent="0.2">
      <c r="A874" s="43">
        <v>100742</v>
      </c>
      <c r="B874" s="43" t="s">
        <v>852</v>
      </c>
      <c r="C874" s="43" t="s">
        <v>924</v>
      </c>
    </row>
    <row r="875" spans="1:3" x14ac:dyDescent="0.2">
      <c r="A875" s="43">
        <v>100743</v>
      </c>
      <c r="B875" s="43" t="s">
        <v>852</v>
      </c>
      <c r="C875" s="43" t="s">
        <v>925</v>
      </c>
    </row>
    <row r="876" spans="1:3" x14ac:dyDescent="0.2">
      <c r="A876" s="43">
        <v>100744</v>
      </c>
      <c r="B876" s="43" t="s">
        <v>852</v>
      </c>
      <c r="C876" s="43" t="s">
        <v>926</v>
      </c>
    </row>
    <row r="877" spans="1:3" x14ac:dyDescent="0.2">
      <c r="A877" s="43">
        <v>100745</v>
      </c>
      <c r="B877" s="43" t="s">
        <v>852</v>
      </c>
      <c r="C877" s="43" t="s">
        <v>927</v>
      </c>
    </row>
    <row r="878" spans="1:3" x14ac:dyDescent="0.2">
      <c r="A878" s="43">
        <v>100746</v>
      </c>
      <c r="B878" s="43" t="s">
        <v>852</v>
      </c>
      <c r="C878" s="43" t="s">
        <v>928</v>
      </c>
    </row>
    <row r="879" spans="1:3" x14ac:dyDescent="0.2">
      <c r="A879" s="43">
        <v>100747</v>
      </c>
      <c r="B879" s="43" t="s">
        <v>852</v>
      </c>
      <c r="C879" s="43" t="s">
        <v>929</v>
      </c>
    </row>
    <row r="880" spans="1:3" x14ac:dyDescent="0.2">
      <c r="A880" s="43">
        <v>100760</v>
      </c>
      <c r="B880" s="43" t="s">
        <v>852</v>
      </c>
      <c r="C880" s="43" t="s">
        <v>930</v>
      </c>
    </row>
    <row r="881" spans="1:3" x14ac:dyDescent="0.2">
      <c r="A881" s="43">
        <v>100761</v>
      </c>
      <c r="B881" s="43" t="s">
        <v>852</v>
      </c>
      <c r="C881" s="43" t="s">
        <v>931</v>
      </c>
    </row>
    <row r="882" spans="1:3" x14ac:dyDescent="0.2">
      <c r="A882" s="43">
        <v>100762</v>
      </c>
      <c r="B882" s="43" t="s">
        <v>852</v>
      </c>
      <c r="C882" s="43" t="s">
        <v>932</v>
      </c>
    </row>
    <row r="883" spans="1:3" x14ac:dyDescent="0.2">
      <c r="A883" s="43">
        <v>101592</v>
      </c>
      <c r="B883" s="43" t="s">
        <v>852</v>
      </c>
      <c r="C883" s="43" t="s">
        <v>933</v>
      </c>
    </row>
    <row r="884" spans="1:3" x14ac:dyDescent="0.2">
      <c r="A884" s="43">
        <v>101593</v>
      </c>
      <c r="B884" s="43" t="s">
        <v>852</v>
      </c>
      <c r="C884" s="43" t="s">
        <v>934</v>
      </c>
    </row>
    <row r="885" spans="1:3" x14ac:dyDescent="0.2">
      <c r="A885" s="43">
        <v>101594</v>
      </c>
      <c r="B885" s="43" t="s">
        <v>852</v>
      </c>
      <c r="C885" s="43" t="s">
        <v>935</v>
      </c>
    </row>
    <row r="886" spans="1:3" x14ac:dyDescent="0.2">
      <c r="A886" s="43">
        <v>101595</v>
      </c>
      <c r="B886" s="43" t="s">
        <v>852</v>
      </c>
      <c r="C886" s="43" t="s">
        <v>936</v>
      </c>
    </row>
    <row r="887" spans="1:3" x14ac:dyDescent="0.2">
      <c r="A887" s="43">
        <v>101596</v>
      </c>
      <c r="B887" s="43" t="s">
        <v>852</v>
      </c>
      <c r="C887" s="43" t="s">
        <v>937</v>
      </c>
    </row>
    <row r="888" spans="1:3" x14ac:dyDescent="0.2">
      <c r="A888" s="43">
        <v>101597</v>
      </c>
      <c r="B888" s="43" t="s">
        <v>852</v>
      </c>
      <c r="C888" s="43" t="s">
        <v>938</v>
      </c>
    </row>
    <row r="889" spans="1:3" x14ac:dyDescent="0.2">
      <c r="A889" s="43">
        <v>101598</v>
      </c>
      <c r="B889" s="43" t="s">
        <v>852</v>
      </c>
      <c r="C889" s="43" t="s">
        <v>939</v>
      </c>
    </row>
    <row r="890" spans="1:3" x14ac:dyDescent="0.2">
      <c r="A890" s="43">
        <v>101599</v>
      </c>
      <c r="B890" s="43" t="s">
        <v>852</v>
      </c>
      <c r="C890" s="43" t="s">
        <v>940</v>
      </c>
    </row>
    <row r="891" spans="1:3" x14ac:dyDescent="0.2">
      <c r="A891" s="43">
        <v>101600</v>
      </c>
      <c r="B891" s="43" t="s">
        <v>852</v>
      </c>
      <c r="C891" s="43" t="s">
        <v>941</v>
      </c>
    </row>
    <row r="892" spans="1:3" x14ac:dyDescent="0.2">
      <c r="A892" s="43">
        <v>101601</v>
      </c>
      <c r="B892" s="43" t="s">
        <v>852</v>
      </c>
      <c r="C892" s="43" t="s">
        <v>942</v>
      </c>
    </row>
    <row r="893" spans="1:3" x14ac:dyDescent="0.2">
      <c r="A893" s="43">
        <v>101602</v>
      </c>
      <c r="B893" s="43" t="s">
        <v>852</v>
      </c>
      <c r="C893" s="43" t="s">
        <v>943</v>
      </c>
    </row>
    <row r="894" spans="1:3" x14ac:dyDescent="0.2">
      <c r="A894" s="43">
        <v>101603</v>
      </c>
      <c r="B894" s="43" t="s">
        <v>852</v>
      </c>
      <c r="C894" s="43" t="s">
        <v>944</v>
      </c>
    </row>
    <row r="895" spans="1:3" x14ac:dyDescent="0.2">
      <c r="A895" s="43">
        <v>101604</v>
      </c>
      <c r="B895" s="43" t="s">
        <v>852</v>
      </c>
      <c r="C895" s="43" t="s">
        <v>945</v>
      </c>
    </row>
    <row r="896" spans="1:3" x14ac:dyDescent="0.2">
      <c r="A896" s="43">
        <v>101605</v>
      </c>
      <c r="B896" s="43" t="s">
        <v>852</v>
      </c>
      <c r="C896" s="43" t="s">
        <v>946</v>
      </c>
    </row>
    <row r="897" spans="1:3" x14ac:dyDescent="0.2">
      <c r="A897" s="43">
        <v>101606</v>
      </c>
      <c r="B897" s="43" t="s">
        <v>852</v>
      </c>
      <c r="C897" s="43" t="s">
        <v>947</v>
      </c>
    </row>
    <row r="898" spans="1:3" x14ac:dyDescent="0.2">
      <c r="A898" s="43">
        <v>101607</v>
      </c>
      <c r="B898" s="43" t="s">
        <v>852</v>
      </c>
      <c r="C898" s="43" t="s">
        <v>948</v>
      </c>
    </row>
    <row r="899" spans="1:3" x14ac:dyDescent="0.2">
      <c r="A899" s="43">
        <v>101608</v>
      </c>
      <c r="B899" s="43" t="s">
        <v>852</v>
      </c>
      <c r="C899" s="43" t="s">
        <v>949</v>
      </c>
    </row>
    <row r="900" spans="1:3" x14ac:dyDescent="0.2">
      <c r="A900" s="43">
        <v>101609</v>
      </c>
      <c r="B900" s="43" t="s">
        <v>852</v>
      </c>
      <c r="C900" s="43" t="s">
        <v>950</v>
      </c>
    </row>
    <row r="901" spans="1:3" x14ac:dyDescent="0.2">
      <c r="A901" s="43">
        <v>101610</v>
      </c>
      <c r="B901" s="43" t="s">
        <v>852</v>
      </c>
      <c r="C901" s="43" t="s">
        <v>951</v>
      </c>
    </row>
    <row r="902" spans="1:3" x14ac:dyDescent="0.2">
      <c r="A902" s="43">
        <v>101611</v>
      </c>
      <c r="B902" s="43" t="s">
        <v>852</v>
      </c>
      <c r="C902" s="43" t="s">
        <v>952</v>
      </c>
    </row>
    <row r="903" spans="1:3" x14ac:dyDescent="0.2">
      <c r="A903" s="43">
        <v>101612</v>
      </c>
      <c r="B903" s="43" t="s">
        <v>852</v>
      </c>
      <c r="C903" s="43" t="s">
        <v>953</v>
      </c>
    </row>
    <row r="904" spans="1:3" x14ac:dyDescent="0.2">
      <c r="A904" s="43">
        <v>101613</v>
      </c>
      <c r="B904" s="43" t="s">
        <v>852</v>
      </c>
      <c r="C904" s="43" t="s">
        <v>954</v>
      </c>
    </row>
    <row r="905" spans="1:3" x14ac:dyDescent="0.2">
      <c r="A905" s="43">
        <v>101614</v>
      </c>
      <c r="B905" s="43" t="s">
        <v>852</v>
      </c>
      <c r="C905" s="43" t="s">
        <v>955</v>
      </c>
    </row>
    <row r="906" spans="1:3" x14ac:dyDescent="0.2">
      <c r="A906" s="43">
        <v>101615</v>
      </c>
      <c r="B906" s="43" t="s">
        <v>852</v>
      </c>
      <c r="C906" s="43" t="s">
        <v>956</v>
      </c>
    </row>
    <row r="907" spans="1:3" x14ac:dyDescent="0.2">
      <c r="A907" s="43">
        <v>101616</v>
      </c>
      <c r="B907" s="43" t="s">
        <v>852</v>
      </c>
      <c r="C907" s="43" t="s">
        <v>957</v>
      </c>
    </row>
    <row r="908" spans="1:3" x14ac:dyDescent="0.2">
      <c r="A908" s="43">
        <v>101617</v>
      </c>
      <c r="B908" s="43" t="s">
        <v>852</v>
      </c>
      <c r="C908" s="43" t="s">
        <v>958</v>
      </c>
    </row>
    <row r="909" spans="1:3" x14ac:dyDescent="0.2">
      <c r="A909" s="43">
        <v>101618</v>
      </c>
      <c r="B909" s="43" t="s">
        <v>852</v>
      </c>
      <c r="C909" s="43" t="s">
        <v>959</v>
      </c>
    </row>
    <row r="910" spans="1:3" x14ac:dyDescent="0.2">
      <c r="A910" s="43">
        <v>101619</v>
      </c>
      <c r="B910" s="43" t="s">
        <v>852</v>
      </c>
      <c r="C910" s="43" t="s">
        <v>960</v>
      </c>
    </row>
    <row r="911" spans="1:3" x14ac:dyDescent="0.2">
      <c r="A911" s="43">
        <v>101620</v>
      </c>
      <c r="B911" s="43" t="s">
        <v>852</v>
      </c>
      <c r="C911" s="43" t="s">
        <v>961</v>
      </c>
    </row>
    <row r="912" spans="1:3" x14ac:dyDescent="0.2">
      <c r="A912" s="43">
        <v>101621</v>
      </c>
      <c r="B912" s="43" t="s">
        <v>852</v>
      </c>
      <c r="C912" s="43" t="s">
        <v>962</v>
      </c>
    </row>
    <row r="913" spans="1:3" x14ac:dyDescent="0.2">
      <c r="A913" s="43">
        <v>101622</v>
      </c>
      <c r="B913" s="43" t="s">
        <v>852</v>
      </c>
      <c r="C913" s="43" t="s">
        <v>963</v>
      </c>
    </row>
    <row r="914" spans="1:3" x14ac:dyDescent="0.2">
      <c r="A914" s="43">
        <v>101623</v>
      </c>
      <c r="B914" s="43" t="s">
        <v>852</v>
      </c>
      <c r="C914" s="43" t="s">
        <v>964</v>
      </c>
    </row>
    <row r="915" spans="1:3" x14ac:dyDescent="0.2">
      <c r="A915" s="43">
        <v>101624</v>
      </c>
      <c r="B915" s="43" t="s">
        <v>852</v>
      </c>
      <c r="C915" s="43" t="s">
        <v>965</v>
      </c>
    </row>
    <row r="916" spans="1:3" x14ac:dyDescent="0.2">
      <c r="A916" s="43">
        <v>101625</v>
      </c>
      <c r="B916" s="43" t="s">
        <v>852</v>
      </c>
      <c r="C916" s="43" t="s">
        <v>966</v>
      </c>
    </row>
    <row r="917" spans="1:3" x14ac:dyDescent="0.2">
      <c r="A917" s="43">
        <v>101626</v>
      </c>
      <c r="B917" s="43" t="s">
        <v>852</v>
      </c>
      <c r="C917" s="43" t="s">
        <v>967</v>
      </c>
    </row>
    <row r="918" spans="1:3" x14ac:dyDescent="0.2">
      <c r="A918" s="43">
        <v>101627</v>
      </c>
      <c r="B918" s="43" t="s">
        <v>852</v>
      </c>
      <c r="C918" s="43" t="s">
        <v>968</v>
      </c>
    </row>
    <row r="919" spans="1:3" x14ac:dyDescent="0.2">
      <c r="A919" s="43">
        <v>101628</v>
      </c>
      <c r="B919" s="43" t="s">
        <v>852</v>
      </c>
      <c r="C919" s="43" t="s">
        <v>969</v>
      </c>
    </row>
    <row r="920" spans="1:3" x14ac:dyDescent="0.2">
      <c r="A920" s="43">
        <v>101629</v>
      </c>
      <c r="B920" s="43" t="s">
        <v>852</v>
      </c>
      <c r="C920" s="43" t="s">
        <v>970</v>
      </c>
    </row>
    <row r="921" spans="1:3" x14ac:dyDescent="0.2">
      <c r="A921" s="43">
        <v>101630</v>
      </c>
      <c r="B921" s="43" t="s">
        <v>852</v>
      </c>
      <c r="C921" s="43" t="s">
        <v>971</v>
      </c>
    </row>
    <row r="922" spans="1:3" x14ac:dyDescent="0.2">
      <c r="A922" s="43">
        <v>101631</v>
      </c>
      <c r="B922" s="43" t="s">
        <v>852</v>
      </c>
      <c r="C922" s="43" t="s">
        <v>972</v>
      </c>
    </row>
    <row r="923" spans="1:3" x14ac:dyDescent="0.2">
      <c r="A923" s="43">
        <v>101632</v>
      </c>
      <c r="B923" s="43" t="s">
        <v>852</v>
      </c>
      <c r="C923" s="43" t="s">
        <v>973</v>
      </c>
    </row>
    <row r="924" spans="1:3" x14ac:dyDescent="0.2">
      <c r="A924" s="43">
        <v>101633</v>
      </c>
      <c r="B924" s="43" t="s">
        <v>852</v>
      </c>
      <c r="C924" s="43" t="s">
        <v>974</v>
      </c>
    </row>
    <row r="925" spans="1:3" x14ac:dyDescent="0.2">
      <c r="A925" s="43">
        <v>101634</v>
      </c>
      <c r="B925" s="43" t="s">
        <v>852</v>
      </c>
      <c r="C925" s="43" t="s">
        <v>975</v>
      </c>
    </row>
    <row r="926" spans="1:3" x14ac:dyDescent="0.2">
      <c r="A926" s="43">
        <v>101635</v>
      </c>
      <c r="B926" s="43" t="s">
        <v>852</v>
      </c>
      <c r="C926" s="43" t="s">
        <v>976</v>
      </c>
    </row>
    <row r="927" spans="1:3" x14ac:dyDescent="0.2">
      <c r="A927" s="43">
        <v>101636</v>
      </c>
      <c r="B927" s="43" t="s">
        <v>852</v>
      </c>
      <c r="C927" s="43" t="s">
        <v>977</v>
      </c>
    </row>
    <row r="928" spans="1:3" x14ac:dyDescent="0.2">
      <c r="A928" s="43">
        <v>101637</v>
      </c>
      <c r="B928" s="43" t="s">
        <v>852</v>
      </c>
      <c r="C928" s="43" t="s">
        <v>978</v>
      </c>
    </row>
    <row r="929" spans="1:3" x14ac:dyDescent="0.2">
      <c r="A929" s="43">
        <v>101638</v>
      </c>
      <c r="B929" s="43" t="s">
        <v>852</v>
      </c>
      <c r="C929" s="43" t="s">
        <v>979</v>
      </c>
    </row>
    <row r="930" spans="1:3" x14ac:dyDescent="0.2">
      <c r="A930" s="43">
        <v>101639</v>
      </c>
      <c r="B930" s="43" t="s">
        <v>852</v>
      </c>
      <c r="C930" s="43" t="s">
        <v>980</v>
      </c>
    </row>
    <row r="931" spans="1:3" x14ac:dyDescent="0.2">
      <c r="A931" s="43">
        <v>101640</v>
      </c>
      <c r="B931" s="43" t="s">
        <v>852</v>
      </c>
      <c r="C931" s="43" t="s">
        <v>981</v>
      </c>
    </row>
    <row r="932" spans="1:3" x14ac:dyDescent="0.2">
      <c r="A932" s="43">
        <v>101641</v>
      </c>
      <c r="B932" s="43" t="s">
        <v>852</v>
      </c>
      <c r="C932" s="43" t="s">
        <v>982</v>
      </c>
    </row>
    <row r="933" spans="1:3" x14ac:dyDescent="0.2">
      <c r="A933" s="43">
        <v>101642</v>
      </c>
      <c r="B933" s="43" t="s">
        <v>852</v>
      </c>
      <c r="C933" s="43" t="s">
        <v>983</v>
      </c>
    </row>
    <row r="934" spans="1:3" x14ac:dyDescent="0.2">
      <c r="A934" s="43">
        <v>101643</v>
      </c>
      <c r="B934" s="43" t="s">
        <v>852</v>
      </c>
      <c r="C934" s="43" t="s">
        <v>984</v>
      </c>
    </row>
    <row r="935" spans="1:3" x14ac:dyDescent="0.2">
      <c r="A935" s="43">
        <v>101645</v>
      </c>
      <c r="B935" s="43" t="s">
        <v>852</v>
      </c>
      <c r="C935" s="43" t="s">
        <v>985</v>
      </c>
    </row>
    <row r="936" spans="1:3" x14ac:dyDescent="0.2">
      <c r="A936" s="43">
        <v>101646</v>
      </c>
      <c r="B936" s="43" t="s">
        <v>852</v>
      </c>
      <c r="C936" s="43" t="s">
        <v>986</v>
      </c>
    </row>
    <row r="937" spans="1:3" x14ac:dyDescent="0.2">
      <c r="A937" s="43">
        <v>101647</v>
      </c>
      <c r="B937" s="43" t="s">
        <v>852</v>
      </c>
      <c r="C937" s="43" t="s">
        <v>987</v>
      </c>
    </row>
    <row r="938" spans="1:3" x14ac:dyDescent="0.2">
      <c r="A938" s="43">
        <v>101653</v>
      </c>
      <c r="B938" s="43" t="s">
        <v>852</v>
      </c>
      <c r="C938" s="43" t="s">
        <v>988</v>
      </c>
    </row>
    <row r="939" spans="1:3" x14ac:dyDescent="0.2">
      <c r="A939" s="43">
        <v>101654</v>
      </c>
      <c r="B939" s="43" t="s">
        <v>852</v>
      </c>
      <c r="C939" s="43" t="s">
        <v>989</v>
      </c>
    </row>
    <row r="940" spans="1:3" x14ac:dyDescent="0.2">
      <c r="A940" s="43">
        <v>101656</v>
      </c>
      <c r="B940" s="43" t="s">
        <v>852</v>
      </c>
      <c r="C940" s="43" t="s">
        <v>990</v>
      </c>
    </row>
    <row r="941" spans="1:3" x14ac:dyDescent="0.2">
      <c r="A941" s="43">
        <v>101657</v>
      </c>
      <c r="B941" s="43" t="s">
        <v>852</v>
      </c>
      <c r="C941" s="43" t="s">
        <v>991</v>
      </c>
    </row>
    <row r="942" spans="1:3" x14ac:dyDescent="0.2">
      <c r="A942" s="43">
        <v>101658</v>
      </c>
      <c r="B942" s="43" t="s">
        <v>852</v>
      </c>
      <c r="C942" s="43" t="s">
        <v>992</v>
      </c>
    </row>
    <row r="943" spans="1:3" x14ac:dyDescent="0.2">
      <c r="A943" s="43">
        <v>101659</v>
      </c>
      <c r="B943" s="43" t="s">
        <v>852</v>
      </c>
      <c r="C943" s="43" t="s">
        <v>993</v>
      </c>
    </row>
    <row r="944" spans="1:3" x14ac:dyDescent="0.2">
      <c r="A944" s="43">
        <v>101661</v>
      </c>
      <c r="B944" s="43" t="s">
        <v>852</v>
      </c>
      <c r="C944" s="43" t="s">
        <v>994</v>
      </c>
    </row>
    <row r="945" spans="1:3" x14ac:dyDescent="0.2">
      <c r="A945" s="43">
        <v>101662</v>
      </c>
      <c r="B945" s="43" t="s">
        <v>852</v>
      </c>
      <c r="C945" s="43" t="s">
        <v>995</v>
      </c>
    </row>
    <row r="946" spans="1:3" x14ac:dyDescent="0.2">
      <c r="A946" s="43">
        <v>101663</v>
      </c>
      <c r="B946" s="43" t="s">
        <v>852</v>
      </c>
      <c r="C946" s="43" t="s">
        <v>996</v>
      </c>
    </row>
    <row r="947" spans="1:3" x14ac:dyDescent="0.2">
      <c r="A947" s="43">
        <v>101669</v>
      </c>
      <c r="B947" s="43" t="s">
        <v>852</v>
      </c>
      <c r="C947" s="43" t="s">
        <v>997</v>
      </c>
    </row>
    <row r="948" spans="1:3" x14ac:dyDescent="0.2">
      <c r="A948" s="43">
        <v>101670</v>
      </c>
      <c r="B948" s="43" t="s">
        <v>852</v>
      </c>
      <c r="C948" s="43" t="s">
        <v>989</v>
      </c>
    </row>
    <row r="949" spans="1:3" x14ac:dyDescent="0.2">
      <c r="A949" s="43">
        <v>101736</v>
      </c>
      <c r="B949" s="43" t="s">
        <v>852</v>
      </c>
      <c r="C949" s="43" t="s">
        <v>998</v>
      </c>
    </row>
    <row r="950" spans="1:3" x14ac:dyDescent="0.2">
      <c r="A950" s="43">
        <v>101737</v>
      </c>
      <c r="B950" s="43" t="s">
        <v>852</v>
      </c>
      <c r="C950" s="43" t="s">
        <v>999</v>
      </c>
    </row>
    <row r="951" spans="1:3" x14ac:dyDescent="0.2">
      <c r="A951" s="43">
        <v>101738</v>
      </c>
      <c r="B951" s="43" t="s">
        <v>852</v>
      </c>
      <c r="C951" s="43" t="s">
        <v>1000</v>
      </c>
    </row>
    <row r="952" spans="1:3" x14ac:dyDescent="0.2">
      <c r="A952" s="43">
        <v>101739</v>
      </c>
      <c r="B952" s="43" t="s">
        <v>852</v>
      </c>
      <c r="C952" s="43" t="s">
        <v>1001</v>
      </c>
    </row>
    <row r="953" spans="1:3" x14ac:dyDescent="0.2">
      <c r="A953" s="43">
        <v>101740</v>
      </c>
      <c r="B953" s="43" t="s">
        <v>852</v>
      </c>
      <c r="C953" s="43" t="s">
        <v>1002</v>
      </c>
    </row>
    <row r="954" spans="1:3" x14ac:dyDescent="0.2">
      <c r="A954" s="43">
        <v>101741</v>
      </c>
      <c r="B954" s="43" t="s">
        <v>852</v>
      </c>
      <c r="C954" s="43" t="s">
        <v>1003</v>
      </c>
    </row>
    <row r="955" spans="1:3" x14ac:dyDescent="0.2">
      <c r="A955" s="43">
        <v>101742</v>
      </c>
      <c r="B955" s="43" t="s">
        <v>852</v>
      </c>
      <c r="C955" s="43" t="s">
        <v>1004</v>
      </c>
    </row>
    <row r="956" spans="1:3" x14ac:dyDescent="0.2">
      <c r="A956" s="43">
        <v>101743</v>
      </c>
      <c r="B956" s="43" t="s">
        <v>852</v>
      </c>
      <c r="C956" s="43" t="s">
        <v>1005</v>
      </c>
    </row>
    <row r="957" spans="1:3" x14ac:dyDescent="0.2">
      <c r="A957" s="43">
        <v>101744</v>
      </c>
      <c r="B957" s="43" t="s">
        <v>852</v>
      </c>
      <c r="C957" s="43" t="s">
        <v>1006</v>
      </c>
    </row>
    <row r="958" spans="1:3" x14ac:dyDescent="0.2">
      <c r="A958" s="43">
        <v>101745</v>
      </c>
      <c r="B958" s="43" t="s">
        <v>852</v>
      </c>
      <c r="C958" s="43" t="s">
        <v>1007</v>
      </c>
    </row>
    <row r="959" spans="1:3" x14ac:dyDescent="0.2">
      <c r="A959" s="43">
        <v>101746</v>
      </c>
      <c r="B959" s="43" t="s">
        <v>852</v>
      </c>
      <c r="C959" s="43" t="s">
        <v>1008</v>
      </c>
    </row>
    <row r="960" spans="1:3" x14ac:dyDescent="0.2">
      <c r="A960" s="43">
        <v>101747</v>
      </c>
      <c r="B960" s="43" t="s">
        <v>852</v>
      </c>
      <c r="C960" s="43" t="s">
        <v>1009</v>
      </c>
    </row>
    <row r="961" spans="1:4" x14ac:dyDescent="0.2">
      <c r="A961" s="43">
        <v>101760</v>
      </c>
      <c r="B961" s="43" t="s">
        <v>852</v>
      </c>
      <c r="C961" s="43" t="s">
        <v>1010</v>
      </c>
    </row>
    <row r="962" spans="1:4" x14ac:dyDescent="0.2">
      <c r="A962" s="43">
        <v>101761</v>
      </c>
      <c r="B962" s="43" t="s">
        <v>852</v>
      </c>
      <c r="C962" s="43" t="s">
        <v>1011</v>
      </c>
    </row>
    <row r="963" spans="1:4" x14ac:dyDescent="0.2">
      <c r="A963" s="43">
        <v>101762</v>
      </c>
      <c r="B963" s="43" t="s">
        <v>852</v>
      </c>
      <c r="C963" s="43" t="s">
        <v>1012</v>
      </c>
    </row>
    <row r="964" spans="1:4" x14ac:dyDescent="0.2">
      <c r="A964" s="43">
        <v>103000</v>
      </c>
      <c r="B964" s="43" t="s">
        <v>852</v>
      </c>
      <c r="C964" s="43" t="s">
        <v>1013</v>
      </c>
    </row>
    <row r="965" spans="1:4" x14ac:dyDescent="0.2">
      <c r="A965" s="43">
        <v>103001</v>
      </c>
      <c r="B965" s="43" t="s">
        <v>852</v>
      </c>
      <c r="C965" s="43" t="s">
        <v>1014</v>
      </c>
    </row>
    <row r="966" spans="1:4" x14ac:dyDescent="0.2">
      <c r="A966" s="43">
        <v>103002</v>
      </c>
      <c r="B966" s="43" t="s">
        <v>852</v>
      </c>
      <c r="C966" s="43" t="s">
        <v>1015</v>
      </c>
    </row>
    <row r="967" spans="1:4" x14ac:dyDescent="0.2">
      <c r="A967" s="43">
        <v>103003</v>
      </c>
      <c r="B967" s="43" t="s">
        <v>852</v>
      </c>
      <c r="C967" s="43" t="s">
        <v>1016</v>
      </c>
      <c r="D967" s="20" t="s">
        <v>1017</v>
      </c>
    </row>
    <row r="968" spans="1:4" x14ac:dyDescent="0.2">
      <c r="A968" s="43">
        <v>112000</v>
      </c>
      <c r="B968" s="43" t="s">
        <v>1018</v>
      </c>
      <c r="C968" s="43" t="s">
        <v>1019</v>
      </c>
    </row>
    <row r="969" spans="1:4" x14ac:dyDescent="0.2">
      <c r="A969" s="43">
        <v>112001</v>
      </c>
      <c r="B969" s="43" t="s">
        <v>1018</v>
      </c>
      <c r="C969" s="43" t="s">
        <v>1020</v>
      </c>
      <c r="D969" s="20" t="s">
        <v>1017</v>
      </c>
    </row>
    <row r="970" spans="1:4" x14ac:dyDescent="0.2">
      <c r="A970" s="43">
        <v>112002</v>
      </c>
      <c r="B970" s="43" t="s">
        <v>1018</v>
      </c>
      <c r="C970" s="43" t="s">
        <v>1021</v>
      </c>
    </row>
    <row r="971" spans="1:4" x14ac:dyDescent="0.2">
      <c r="A971" s="43">
        <v>112003</v>
      </c>
      <c r="B971" s="43" t="s">
        <v>1018</v>
      </c>
      <c r="C971" s="43" t="s">
        <v>1022</v>
      </c>
    </row>
    <row r="972" spans="1:4" x14ac:dyDescent="0.2">
      <c r="A972" s="43">
        <v>112004</v>
      </c>
      <c r="B972" s="43" t="s">
        <v>1018</v>
      </c>
      <c r="C972" s="43" t="s">
        <v>1023</v>
      </c>
    </row>
    <row r="973" spans="1:4" x14ac:dyDescent="0.2">
      <c r="A973" s="43">
        <v>112005</v>
      </c>
      <c r="B973" s="43" t="s">
        <v>1018</v>
      </c>
      <c r="C973" s="43" t="s">
        <v>1024</v>
      </c>
    </row>
    <row r="974" spans="1:4" x14ac:dyDescent="0.2">
      <c r="A974" s="43">
        <v>112006</v>
      </c>
      <c r="B974" s="43" t="s">
        <v>1018</v>
      </c>
      <c r="C974" s="43" t="s">
        <v>1025</v>
      </c>
    </row>
    <row r="975" spans="1:4" x14ac:dyDescent="0.2">
      <c r="A975" s="43">
        <v>112007</v>
      </c>
      <c r="B975" s="43" t="s">
        <v>1018</v>
      </c>
      <c r="C975" s="43" t="s">
        <v>1026</v>
      </c>
    </row>
    <row r="976" spans="1:4" x14ac:dyDescent="0.2">
      <c r="A976" s="43">
        <v>112008</v>
      </c>
      <c r="B976" s="43" t="s">
        <v>1018</v>
      </c>
      <c r="C976" s="43" t="s">
        <v>1027</v>
      </c>
    </row>
    <row r="977" spans="1:3" x14ac:dyDescent="0.2">
      <c r="A977" s="43">
        <v>112009</v>
      </c>
      <c r="B977" s="43" t="s">
        <v>1018</v>
      </c>
      <c r="C977" s="43" t="s">
        <v>1028</v>
      </c>
    </row>
    <row r="978" spans="1:3" x14ac:dyDescent="0.2">
      <c r="A978" s="43">
        <v>112010</v>
      </c>
      <c r="B978" s="43" t="s">
        <v>1018</v>
      </c>
      <c r="C978" s="43" t="s">
        <v>1029</v>
      </c>
    </row>
    <row r="979" spans="1:3" x14ac:dyDescent="0.2">
      <c r="A979" s="43">
        <v>112011</v>
      </c>
      <c r="B979" s="43" t="s">
        <v>1018</v>
      </c>
      <c r="C979" s="43" t="s">
        <v>1030</v>
      </c>
    </row>
    <row r="980" spans="1:3" x14ac:dyDescent="0.2">
      <c r="A980" s="43">
        <v>112012</v>
      </c>
      <c r="B980" s="43" t="s">
        <v>1018</v>
      </c>
      <c r="C980" s="43" t="s">
        <v>1031</v>
      </c>
    </row>
    <row r="981" spans="1:3" x14ac:dyDescent="0.2">
      <c r="A981" s="43">
        <v>112013</v>
      </c>
      <c r="B981" s="43" t="s">
        <v>1018</v>
      </c>
      <c r="C981" s="43" t="s">
        <v>1032</v>
      </c>
    </row>
    <row r="982" spans="1:3" x14ac:dyDescent="0.2">
      <c r="A982" s="43">
        <v>112014</v>
      </c>
      <c r="B982" s="43" t="s">
        <v>1018</v>
      </c>
      <c r="C982" s="43" t="s">
        <v>1033</v>
      </c>
    </row>
    <row r="983" spans="1:3" x14ac:dyDescent="0.2">
      <c r="A983" s="43">
        <v>112015</v>
      </c>
      <c r="B983" s="43" t="s">
        <v>1018</v>
      </c>
      <c r="C983" s="43" t="s">
        <v>1034</v>
      </c>
    </row>
    <row r="984" spans="1:3" x14ac:dyDescent="0.2">
      <c r="A984" s="43">
        <v>112016</v>
      </c>
      <c r="B984" s="43" t="s">
        <v>1018</v>
      </c>
      <c r="C984" s="43" t="s">
        <v>1035</v>
      </c>
    </row>
    <row r="985" spans="1:3" x14ac:dyDescent="0.2">
      <c r="A985" s="43">
        <v>112017</v>
      </c>
      <c r="B985" s="43" t="s">
        <v>1018</v>
      </c>
      <c r="C985" s="43" t="s">
        <v>1036</v>
      </c>
    </row>
    <row r="986" spans="1:3" x14ac:dyDescent="0.2">
      <c r="A986" s="43">
        <v>112018</v>
      </c>
      <c r="B986" s="43" t="s">
        <v>1018</v>
      </c>
      <c r="C986" s="43" t="s">
        <v>1037</v>
      </c>
    </row>
    <row r="987" spans="1:3" x14ac:dyDescent="0.2">
      <c r="A987" s="43">
        <v>112019</v>
      </c>
      <c r="B987" s="43" t="s">
        <v>1018</v>
      </c>
      <c r="C987" s="43" t="s">
        <v>1038</v>
      </c>
    </row>
    <row r="988" spans="1:3" x14ac:dyDescent="0.2">
      <c r="A988" s="43">
        <v>112020</v>
      </c>
      <c r="B988" s="43" t="s">
        <v>1018</v>
      </c>
      <c r="C988" s="43" t="s">
        <v>1039</v>
      </c>
    </row>
    <row r="989" spans="1:3" x14ac:dyDescent="0.2">
      <c r="A989" s="43">
        <v>112021</v>
      </c>
      <c r="B989" s="43" t="s">
        <v>1018</v>
      </c>
      <c r="C989" s="43" t="s">
        <v>1040</v>
      </c>
    </row>
    <row r="990" spans="1:3" x14ac:dyDescent="0.2">
      <c r="A990" s="43">
        <v>112022</v>
      </c>
      <c r="B990" s="43" t="s">
        <v>1018</v>
      </c>
      <c r="C990" s="43" t="s">
        <v>1041</v>
      </c>
    </row>
    <row r="991" spans="1:3" x14ac:dyDescent="0.2">
      <c r="A991" s="43">
        <v>113000</v>
      </c>
      <c r="B991" s="43" t="s">
        <v>1018</v>
      </c>
      <c r="C991" s="43" t="s">
        <v>1042</v>
      </c>
    </row>
    <row r="992" spans="1:3" x14ac:dyDescent="0.2">
      <c r="A992" s="43">
        <v>113001</v>
      </c>
      <c r="B992" s="43" t="s">
        <v>1018</v>
      </c>
      <c r="C992" s="43" t="s">
        <v>1043</v>
      </c>
    </row>
    <row r="993" spans="1:3" x14ac:dyDescent="0.2">
      <c r="A993" s="43">
        <v>113002</v>
      </c>
      <c r="B993" s="43" t="s">
        <v>1018</v>
      </c>
      <c r="C993" s="43" t="s">
        <v>1044</v>
      </c>
    </row>
    <row r="994" spans="1:3" x14ac:dyDescent="0.2">
      <c r="A994" s="43">
        <v>113003</v>
      </c>
      <c r="B994" s="43" t="s">
        <v>1018</v>
      </c>
      <c r="C994" s="43" t="s">
        <v>1045</v>
      </c>
    </row>
    <row r="995" spans="1:3" x14ac:dyDescent="0.2">
      <c r="A995" s="43">
        <v>113004</v>
      </c>
      <c r="B995" s="43" t="s">
        <v>1018</v>
      </c>
      <c r="C995" s="43" t="s">
        <v>1046</v>
      </c>
    </row>
    <row r="996" spans="1:3" x14ac:dyDescent="0.2">
      <c r="A996" s="43">
        <v>113005</v>
      </c>
      <c r="B996" s="43" t="s">
        <v>1018</v>
      </c>
      <c r="C996" s="43" t="s">
        <v>1047</v>
      </c>
    </row>
    <row r="997" spans="1:3" x14ac:dyDescent="0.2">
      <c r="A997" s="43">
        <v>113006</v>
      </c>
      <c r="B997" s="43" t="s">
        <v>1018</v>
      </c>
      <c r="C997" s="43" t="s">
        <v>1048</v>
      </c>
    </row>
    <row r="998" spans="1:3" x14ac:dyDescent="0.2">
      <c r="A998" s="43">
        <v>113007</v>
      </c>
      <c r="B998" s="43" t="s">
        <v>1018</v>
      </c>
      <c r="C998" s="43" t="s">
        <v>1049</v>
      </c>
    </row>
    <row r="999" spans="1:3" x14ac:dyDescent="0.2">
      <c r="A999" s="43">
        <v>113008</v>
      </c>
      <c r="B999" s="43" t="s">
        <v>1018</v>
      </c>
      <c r="C999" s="43" t="s">
        <v>1050</v>
      </c>
    </row>
    <row r="1000" spans="1:3" x14ac:dyDescent="0.2">
      <c r="A1000" s="43">
        <v>113009</v>
      </c>
      <c r="B1000" s="43" t="s">
        <v>1018</v>
      </c>
      <c r="C1000" s="43" t="s">
        <v>1051</v>
      </c>
    </row>
    <row r="1001" spans="1:3" x14ac:dyDescent="0.2">
      <c r="A1001" s="43">
        <v>113010</v>
      </c>
      <c r="B1001" s="43" t="s">
        <v>1018</v>
      </c>
      <c r="C1001" s="43" t="s">
        <v>1052</v>
      </c>
    </row>
    <row r="1002" spans="1:3" x14ac:dyDescent="0.2">
      <c r="A1002" s="43">
        <v>113011</v>
      </c>
      <c r="B1002" s="43" t="s">
        <v>1018</v>
      </c>
      <c r="C1002" s="43" t="s">
        <v>1053</v>
      </c>
    </row>
    <row r="1003" spans="1:3" x14ac:dyDescent="0.2">
      <c r="A1003" s="43">
        <v>113012</v>
      </c>
      <c r="B1003" s="43" t="s">
        <v>1018</v>
      </c>
      <c r="C1003" s="43" t="s">
        <v>1054</v>
      </c>
    </row>
    <row r="1004" spans="1:3" x14ac:dyDescent="0.2">
      <c r="A1004" s="43">
        <v>113013</v>
      </c>
      <c r="B1004" s="43" t="s">
        <v>1018</v>
      </c>
      <c r="C1004" s="43" t="s">
        <v>1055</v>
      </c>
    </row>
    <row r="1005" spans="1:3" x14ac:dyDescent="0.2">
      <c r="A1005" s="43">
        <v>113014</v>
      </c>
      <c r="B1005" s="43" t="s">
        <v>1018</v>
      </c>
      <c r="C1005" s="43" t="s">
        <v>1056</v>
      </c>
    </row>
    <row r="1006" spans="1:3" x14ac:dyDescent="0.2">
      <c r="A1006" s="43">
        <v>113015</v>
      </c>
      <c r="B1006" s="43" t="s">
        <v>1018</v>
      </c>
      <c r="C1006" s="43" t="s">
        <v>1057</v>
      </c>
    </row>
    <row r="1007" spans="1:3" x14ac:dyDescent="0.2">
      <c r="A1007" s="43">
        <v>113016</v>
      </c>
      <c r="B1007" s="43" t="s">
        <v>1018</v>
      </c>
      <c r="C1007" s="43" t="s">
        <v>1058</v>
      </c>
    </row>
    <row r="1008" spans="1:3" x14ac:dyDescent="0.2">
      <c r="A1008" s="43">
        <v>113017</v>
      </c>
      <c r="B1008" s="43" t="s">
        <v>1018</v>
      </c>
      <c r="C1008" s="43" t="s">
        <v>1059</v>
      </c>
    </row>
    <row r="1009" spans="1:3" x14ac:dyDescent="0.2">
      <c r="A1009" s="43">
        <v>113018</v>
      </c>
      <c r="B1009" s="43" t="s">
        <v>1018</v>
      </c>
      <c r="C1009" s="43" t="s">
        <v>1060</v>
      </c>
    </row>
    <row r="1010" spans="1:3" x14ac:dyDescent="0.2">
      <c r="A1010" s="43">
        <v>113019</v>
      </c>
      <c r="B1010" s="43" t="s">
        <v>1018</v>
      </c>
      <c r="C1010" s="43" t="s">
        <v>1061</v>
      </c>
    </row>
    <row r="1011" spans="1:3" x14ac:dyDescent="0.2">
      <c r="A1011" s="43">
        <v>113020</v>
      </c>
      <c r="B1011" s="43" t="s">
        <v>1018</v>
      </c>
      <c r="C1011" s="43" t="s">
        <v>1062</v>
      </c>
    </row>
    <row r="1012" spans="1:3" x14ac:dyDescent="0.2">
      <c r="A1012" s="43">
        <v>113021</v>
      </c>
      <c r="B1012" s="43" t="s">
        <v>1018</v>
      </c>
      <c r="C1012" s="43" t="s">
        <v>1063</v>
      </c>
    </row>
    <row r="1013" spans="1:3" x14ac:dyDescent="0.2">
      <c r="A1013" s="43">
        <v>113022</v>
      </c>
      <c r="B1013" s="43" t="s">
        <v>1018</v>
      </c>
      <c r="C1013" s="43" t="s">
        <v>1064</v>
      </c>
    </row>
    <row r="1014" spans="1:3" x14ac:dyDescent="0.2">
      <c r="A1014" s="43">
        <v>114000</v>
      </c>
      <c r="B1014" s="43" t="s">
        <v>1018</v>
      </c>
      <c r="C1014" s="43" t="s">
        <v>1065</v>
      </c>
    </row>
    <row r="1015" spans="1:3" x14ac:dyDescent="0.2">
      <c r="A1015" s="43">
        <v>114001</v>
      </c>
      <c r="B1015" s="43" t="s">
        <v>1018</v>
      </c>
      <c r="C1015" s="43" t="s">
        <v>1066</v>
      </c>
    </row>
    <row r="1016" spans="1:3" x14ac:dyDescent="0.2">
      <c r="A1016" s="43">
        <v>114002</v>
      </c>
      <c r="B1016" s="43" t="s">
        <v>1018</v>
      </c>
      <c r="C1016" s="43" t="s">
        <v>1067</v>
      </c>
    </row>
    <row r="1017" spans="1:3" x14ac:dyDescent="0.2">
      <c r="A1017" s="43">
        <v>114003</v>
      </c>
      <c r="B1017" s="43" t="s">
        <v>1018</v>
      </c>
      <c r="C1017" s="43" t="s">
        <v>1068</v>
      </c>
    </row>
    <row r="1018" spans="1:3" x14ac:dyDescent="0.2">
      <c r="A1018" s="43">
        <v>114004</v>
      </c>
      <c r="B1018" s="43" t="s">
        <v>1018</v>
      </c>
      <c r="C1018" s="43" t="s">
        <v>1069</v>
      </c>
    </row>
    <row r="1019" spans="1:3" x14ac:dyDescent="0.2">
      <c r="A1019" s="43">
        <v>114005</v>
      </c>
      <c r="B1019" s="43" t="s">
        <v>1018</v>
      </c>
      <c r="C1019" s="43" t="s">
        <v>1070</v>
      </c>
    </row>
    <row r="1020" spans="1:3" x14ac:dyDescent="0.2">
      <c r="A1020" s="43">
        <v>114006</v>
      </c>
      <c r="B1020" s="43" t="s">
        <v>1018</v>
      </c>
      <c r="C1020" s="43" t="s">
        <v>1071</v>
      </c>
    </row>
    <row r="1021" spans="1:3" x14ac:dyDescent="0.2">
      <c r="A1021" s="43">
        <v>114007</v>
      </c>
      <c r="B1021" s="43" t="s">
        <v>1018</v>
      </c>
      <c r="C1021" s="43" t="s">
        <v>1072</v>
      </c>
    </row>
    <row r="1022" spans="1:3" x14ac:dyDescent="0.2">
      <c r="A1022" s="43">
        <v>114008</v>
      </c>
      <c r="B1022" s="43" t="s">
        <v>1018</v>
      </c>
      <c r="C1022" s="43" t="s">
        <v>1073</v>
      </c>
    </row>
    <row r="1023" spans="1:3" x14ac:dyDescent="0.2">
      <c r="A1023" s="43">
        <v>114009</v>
      </c>
      <c r="B1023" s="43" t="s">
        <v>1018</v>
      </c>
      <c r="C1023" s="43" t="s">
        <v>1074</v>
      </c>
    </row>
    <row r="1024" spans="1:3" x14ac:dyDescent="0.2">
      <c r="A1024" s="43">
        <v>114010</v>
      </c>
      <c r="B1024" s="43" t="s">
        <v>1018</v>
      </c>
      <c r="C1024" s="43" t="s">
        <v>1075</v>
      </c>
    </row>
    <row r="1025" spans="1:3" x14ac:dyDescent="0.2">
      <c r="A1025" s="43">
        <v>114011</v>
      </c>
      <c r="B1025" s="43" t="s">
        <v>1018</v>
      </c>
      <c r="C1025" s="43" t="s">
        <v>1076</v>
      </c>
    </row>
    <row r="1026" spans="1:3" x14ac:dyDescent="0.2">
      <c r="A1026" s="43">
        <v>114012</v>
      </c>
      <c r="B1026" s="43" t="s">
        <v>1018</v>
      </c>
      <c r="C1026" s="43" t="s">
        <v>1077</v>
      </c>
    </row>
    <row r="1027" spans="1:3" x14ac:dyDescent="0.2">
      <c r="A1027" s="43">
        <v>114013</v>
      </c>
      <c r="B1027" s="43" t="s">
        <v>1018</v>
      </c>
      <c r="C1027" s="43" t="s">
        <v>1078</v>
      </c>
    </row>
    <row r="1028" spans="1:3" x14ac:dyDescent="0.2">
      <c r="A1028" s="43">
        <v>114014</v>
      </c>
      <c r="B1028" s="43" t="s">
        <v>1018</v>
      </c>
      <c r="C1028" s="43" t="s">
        <v>1079</v>
      </c>
    </row>
    <row r="1029" spans="1:3" x14ac:dyDescent="0.2">
      <c r="A1029" s="43">
        <v>114015</v>
      </c>
      <c r="B1029" s="43" t="s">
        <v>1018</v>
      </c>
      <c r="C1029" s="43" t="s">
        <v>1080</v>
      </c>
    </row>
    <row r="1030" spans="1:3" x14ac:dyDescent="0.2">
      <c r="A1030" s="43">
        <v>114016</v>
      </c>
      <c r="B1030" s="43" t="s">
        <v>1018</v>
      </c>
      <c r="C1030" s="43" t="s">
        <v>1081</v>
      </c>
    </row>
    <row r="1031" spans="1:3" x14ac:dyDescent="0.2">
      <c r="A1031" s="43">
        <v>114017</v>
      </c>
      <c r="B1031" s="43" t="s">
        <v>1018</v>
      </c>
      <c r="C1031" s="43" t="s">
        <v>1082</v>
      </c>
    </row>
    <row r="1032" spans="1:3" x14ac:dyDescent="0.2">
      <c r="A1032" s="43">
        <v>114018</v>
      </c>
      <c r="B1032" s="43" t="s">
        <v>1018</v>
      </c>
      <c r="C1032" s="43" t="s">
        <v>1083</v>
      </c>
    </row>
    <row r="1033" spans="1:3" x14ac:dyDescent="0.2">
      <c r="A1033" s="43">
        <v>114019</v>
      </c>
      <c r="B1033" s="43" t="s">
        <v>1018</v>
      </c>
      <c r="C1033" s="43" t="s">
        <v>1084</v>
      </c>
    </row>
    <row r="1034" spans="1:3" x14ac:dyDescent="0.2">
      <c r="A1034" s="43">
        <v>114020</v>
      </c>
      <c r="B1034" s="43" t="s">
        <v>1018</v>
      </c>
      <c r="C1034" s="43" t="s">
        <v>1085</v>
      </c>
    </row>
    <row r="1035" spans="1:3" x14ac:dyDescent="0.2">
      <c r="A1035" s="43">
        <v>114021</v>
      </c>
      <c r="B1035" s="43" t="s">
        <v>1018</v>
      </c>
      <c r="C1035" s="43" t="s">
        <v>1086</v>
      </c>
    </row>
    <row r="1036" spans="1:3" x14ac:dyDescent="0.2">
      <c r="A1036" s="43">
        <v>114022</v>
      </c>
      <c r="B1036" s="43" t="s">
        <v>1018</v>
      </c>
      <c r="C1036" s="43" t="s">
        <v>1087</v>
      </c>
    </row>
    <row r="1037" spans="1:3" x14ac:dyDescent="0.2">
      <c r="A1037" s="43">
        <v>115000</v>
      </c>
      <c r="B1037" s="43" t="s">
        <v>1018</v>
      </c>
      <c r="C1037" s="43" t="s">
        <v>1088</v>
      </c>
    </row>
    <row r="1038" spans="1:3" x14ac:dyDescent="0.2">
      <c r="A1038" s="43">
        <v>115001</v>
      </c>
      <c r="B1038" s="43" t="s">
        <v>1018</v>
      </c>
      <c r="C1038" s="43" t="s">
        <v>1089</v>
      </c>
    </row>
    <row r="1039" spans="1:3" x14ac:dyDescent="0.2">
      <c r="A1039" s="43">
        <v>115002</v>
      </c>
      <c r="B1039" s="43" t="s">
        <v>1018</v>
      </c>
      <c r="C1039" s="43" t="s">
        <v>1090</v>
      </c>
    </row>
    <row r="1040" spans="1:3" x14ac:dyDescent="0.2">
      <c r="A1040" s="43">
        <v>115003</v>
      </c>
      <c r="B1040" s="43" t="s">
        <v>1018</v>
      </c>
      <c r="C1040" s="43" t="s">
        <v>1091</v>
      </c>
    </row>
    <row r="1041" spans="1:3" x14ac:dyDescent="0.2">
      <c r="A1041" s="43">
        <v>115004</v>
      </c>
      <c r="B1041" s="43" t="s">
        <v>1018</v>
      </c>
      <c r="C1041" s="43" t="s">
        <v>1092</v>
      </c>
    </row>
    <row r="1042" spans="1:3" x14ac:dyDescent="0.2">
      <c r="A1042" s="43">
        <v>115005</v>
      </c>
      <c r="B1042" s="43" t="s">
        <v>1018</v>
      </c>
      <c r="C1042" s="43" t="s">
        <v>1093</v>
      </c>
    </row>
    <row r="1043" spans="1:3" x14ac:dyDescent="0.2">
      <c r="A1043" s="43">
        <v>115006</v>
      </c>
      <c r="B1043" s="43" t="s">
        <v>1018</v>
      </c>
      <c r="C1043" s="43" t="s">
        <v>1094</v>
      </c>
    </row>
    <row r="1044" spans="1:3" x14ac:dyDescent="0.2">
      <c r="A1044" s="43">
        <v>115007</v>
      </c>
      <c r="B1044" s="43" t="s">
        <v>1018</v>
      </c>
      <c r="C1044" s="43" t="s">
        <v>1095</v>
      </c>
    </row>
    <row r="1045" spans="1:3" x14ac:dyDescent="0.2">
      <c r="A1045" s="43">
        <v>115008</v>
      </c>
      <c r="B1045" s="43" t="s">
        <v>1018</v>
      </c>
      <c r="C1045" s="43" t="s">
        <v>1096</v>
      </c>
    </row>
    <row r="1046" spans="1:3" x14ac:dyDescent="0.2">
      <c r="A1046" s="43">
        <v>115009</v>
      </c>
      <c r="B1046" s="43" t="s">
        <v>1018</v>
      </c>
      <c r="C1046" s="43" t="s">
        <v>1097</v>
      </c>
    </row>
    <row r="1047" spans="1:3" x14ac:dyDescent="0.2">
      <c r="A1047" s="43">
        <v>115010</v>
      </c>
      <c r="B1047" s="43" t="s">
        <v>1018</v>
      </c>
      <c r="C1047" s="43" t="s">
        <v>1098</v>
      </c>
    </row>
    <row r="1048" spans="1:3" x14ac:dyDescent="0.2">
      <c r="A1048" s="43">
        <v>115011</v>
      </c>
      <c r="B1048" s="43" t="s">
        <v>1018</v>
      </c>
      <c r="C1048" s="43" t="s">
        <v>1099</v>
      </c>
    </row>
    <row r="1049" spans="1:3" x14ac:dyDescent="0.2">
      <c r="A1049" s="43">
        <v>115012</v>
      </c>
      <c r="B1049" s="43" t="s">
        <v>1018</v>
      </c>
      <c r="C1049" s="43" t="s">
        <v>1100</v>
      </c>
    </row>
    <row r="1050" spans="1:3" x14ac:dyDescent="0.2">
      <c r="A1050" s="43">
        <v>115013</v>
      </c>
      <c r="B1050" s="43" t="s">
        <v>1018</v>
      </c>
      <c r="C1050" s="43" t="s">
        <v>1101</v>
      </c>
    </row>
    <row r="1051" spans="1:3" x14ac:dyDescent="0.2">
      <c r="A1051" s="43">
        <v>115014</v>
      </c>
      <c r="B1051" s="43" t="s">
        <v>1018</v>
      </c>
      <c r="C1051" s="43" t="s">
        <v>1102</v>
      </c>
    </row>
    <row r="1052" spans="1:3" x14ac:dyDescent="0.2">
      <c r="A1052" s="43">
        <v>115015</v>
      </c>
      <c r="B1052" s="43" t="s">
        <v>1018</v>
      </c>
      <c r="C1052" s="43" t="s">
        <v>1103</v>
      </c>
    </row>
    <row r="1053" spans="1:3" x14ac:dyDescent="0.2">
      <c r="A1053" s="43">
        <v>115016</v>
      </c>
      <c r="B1053" s="43" t="s">
        <v>1018</v>
      </c>
      <c r="C1053" s="43" t="s">
        <v>1104</v>
      </c>
    </row>
    <row r="1054" spans="1:3" x14ac:dyDescent="0.2">
      <c r="A1054" s="43">
        <v>115017</v>
      </c>
      <c r="B1054" s="43" t="s">
        <v>1018</v>
      </c>
      <c r="C1054" s="43" t="s">
        <v>1105</v>
      </c>
    </row>
    <row r="1055" spans="1:3" x14ac:dyDescent="0.2">
      <c r="A1055" s="43">
        <v>115018</v>
      </c>
      <c r="B1055" s="43" t="s">
        <v>1018</v>
      </c>
      <c r="C1055" s="43" t="s">
        <v>1106</v>
      </c>
    </row>
    <row r="1056" spans="1:3" x14ac:dyDescent="0.2">
      <c r="A1056" s="43">
        <v>115019</v>
      </c>
      <c r="B1056" s="43" t="s">
        <v>1018</v>
      </c>
      <c r="C1056" s="43" t="s">
        <v>1107</v>
      </c>
    </row>
    <row r="1057" spans="1:3" x14ac:dyDescent="0.2">
      <c r="A1057" s="43">
        <v>115020</v>
      </c>
      <c r="B1057" s="43" t="s">
        <v>1018</v>
      </c>
      <c r="C1057" s="43" t="s">
        <v>1108</v>
      </c>
    </row>
    <row r="1058" spans="1:3" x14ac:dyDescent="0.2">
      <c r="A1058" s="43">
        <v>115021</v>
      </c>
      <c r="B1058" s="43" t="s">
        <v>1018</v>
      </c>
      <c r="C1058" s="43" t="s">
        <v>1109</v>
      </c>
    </row>
    <row r="1059" spans="1:3" x14ac:dyDescent="0.2">
      <c r="A1059" s="43">
        <v>115022</v>
      </c>
      <c r="B1059" s="43" t="s">
        <v>1018</v>
      </c>
      <c r="C1059" s="43" t="s">
        <v>1110</v>
      </c>
    </row>
    <row r="1060" spans="1:3" x14ac:dyDescent="0.2">
      <c r="A1060" s="43">
        <v>116000</v>
      </c>
      <c r="B1060" s="43" t="s">
        <v>1018</v>
      </c>
      <c r="C1060" s="43" t="s">
        <v>1111</v>
      </c>
    </row>
    <row r="1061" spans="1:3" x14ac:dyDescent="0.2">
      <c r="A1061" s="43">
        <v>116001</v>
      </c>
      <c r="B1061" s="43" t="s">
        <v>1018</v>
      </c>
      <c r="C1061" s="43" t="s">
        <v>1112</v>
      </c>
    </row>
    <row r="1062" spans="1:3" x14ac:dyDescent="0.2">
      <c r="A1062" s="43">
        <v>116002</v>
      </c>
      <c r="B1062" s="43" t="s">
        <v>1018</v>
      </c>
      <c r="C1062" s="43" t="s">
        <v>1113</v>
      </c>
    </row>
    <row r="1063" spans="1:3" x14ac:dyDescent="0.2">
      <c r="A1063" s="43">
        <v>116003</v>
      </c>
      <c r="B1063" s="43" t="s">
        <v>1018</v>
      </c>
      <c r="C1063" s="43" t="s">
        <v>1114</v>
      </c>
    </row>
    <row r="1064" spans="1:3" x14ac:dyDescent="0.2">
      <c r="A1064" s="43">
        <v>116004</v>
      </c>
      <c r="B1064" s="43" t="s">
        <v>1018</v>
      </c>
      <c r="C1064" s="43" t="s">
        <v>1115</v>
      </c>
    </row>
    <row r="1065" spans="1:3" x14ac:dyDescent="0.2">
      <c r="A1065" s="43">
        <v>116005</v>
      </c>
      <c r="B1065" s="43" t="s">
        <v>1018</v>
      </c>
      <c r="C1065" s="43" t="s">
        <v>1116</v>
      </c>
    </row>
    <row r="1066" spans="1:3" x14ac:dyDescent="0.2">
      <c r="A1066" s="43">
        <v>116006</v>
      </c>
      <c r="B1066" s="43" t="s">
        <v>1018</v>
      </c>
      <c r="C1066" s="43" t="s">
        <v>1117</v>
      </c>
    </row>
    <row r="1067" spans="1:3" x14ac:dyDescent="0.2">
      <c r="A1067" s="43">
        <v>116007</v>
      </c>
      <c r="B1067" s="43" t="s">
        <v>1018</v>
      </c>
      <c r="C1067" s="43" t="s">
        <v>1118</v>
      </c>
    </row>
    <row r="1068" spans="1:3" x14ac:dyDescent="0.2">
      <c r="A1068" s="43">
        <v>116008</v>
      </c>
      <c r="B1068" s="43" t="s">
        <v>1018</v>
      </c>
      <c r="C1068" s="43" t="s">
        <v>1119</v>
      </c>
    </row>
    <row r="1069" spans="1:3" x14ac:dyDescent="0.2">
      <c r="A1069" s="43">
        <v>116009</v>
      </c>
      <c r="B1069" s="43" t="s">
        <v>1018</v>
      </c>
      <c r="C1069" s="43" t="s">
        <v>1120</v>
      </c>
    </row>
    <row r="1070" spans="1:3" x14ac:dyDescent="0.2">
      <c r="A1070" s="43">
        <v>116010</v>
      </c>
      <c r="B1070" s="43" t="s">
        <v>1018</v>
      </c>
      <c r="C1070" s="43" t="s">
        <v>1121</v>
      </c>
    </row>
    <row r="1071" spans="1:3" x14ac:dyDescent="0.2">
      <c r="A1071" s="43">
        <v>116011</v>
      </c>
      <c r="B1071" s="43" t="s">
        <v>1018</v>
      </c>
      <c r="C1071" s="43" t="s">
        <v>1122</v>
      </c>
    </row>
    <row r="1072" spans="1:3" x14ac:dyDescent="0.2">
      <c r="A1072" s="43">
        <v>116012</v>
      </c>
      <c r="B1072" s="43" t="s">
        <v>1018</v>
      </c>
      <c r="C1072" s="43" t="s">
        <v>1123</v>
      </c>
    </row>
    <row r="1073" spans="1:3" x14ac:dyDescent="0.2">
      <c r="A1073" s="43">
        <v>116013</v>
      </c>
      <c r="B1073" s="43" t="s">
        <v>1018</v>
      </c>
      <c r="C1073" s="43" t="s">
        <v>1124</v>
      </c>
    </row>
    <row r="1074" spans="1:3" x14ac:dyDescent="0.2">
      <c r="A1074" s="43">
        <v>116014</v>
      </c>
      <c r="B1074" s="43" t="s">
        <v>1018</v>
      </c>
      <c r="C1074" s="43" t="s">
        <v>1125</v>
      </c>
    </row>
    <row r="1075" spans="1:3" x14ac:dyDescent="0.2">
      <c r="A1075" s="43">
        <v>116015</v>
      </c>
      <c r="B1075" s="43" t="s">
        <v>1018</v>
      </c>
      <c r="C1075" s="43" t="s">
        <v>1126</v>
      </c>
    </row>
    <row r="1076" spans="1:3" x14ac:dyDescent="0.2">
      <c r="A1076" s="43">
        <v>116016</v>
      </c>
      <c r="B1076" s="43" t="s">
        <v>1018</v>
      </c>
      <c r="C1076" s="43" t="s">
        <v>1127</v>
      </c>
    </row>
    <row r="1077" spans="1:3" x14ac:dyDescent="0.2">
      <c r="A1077" s="43">
        <v>116017</v>
      </c>
      <c r="B1077" s="43" t="s">
        <v>1018</v>
      </c>
      <c r="C1077" s="43" t="s">
        <v>1128</v>
      </c>
    </row>
    <row r="1078" spans="1:3" x14ac:dyDescent="0.2">
      <c r="A1078" s="43">
        <v>116018</v>
      </c>
      <c r="B1078" s="43" t="s">
        <v>1018</v>
      </c>
      <c r="C1078" s="43" t="s">
        <v>1129</v>
      </c>
    </row>
    <row r="1079" spans="1:3" x14ac:dyDescent="0.2">
      <c r="A1079" s="43">
        <v>116019</v>
      </c>
      <c r="B1079" s="43" t="s">
        <v>1018</v>
      </c>
      <c r="C1079" s="43" t="s">
        <v>1130</v>
      </c>
    </row>
    <row r="1080" spans="1:3" x14ac:dyDescent="0.2">
      <c r="A1080" s="43">
        <v>116020</v>
      </c>
      <c r="B1080" s="43" t="s">
        <v>1018</v>
      </c>
      <c r="C1080" s="43" t="s">
        <v>1131</v>
      </c>
    </row>
    <row r="1081" spans="1:3" x14ac:dyDescent="0.2">
      <c r="A1081" s="43">
        <v>116021</v>
      </c>
      <c r="B1081" s="43" t="s">
        <v>1018</v>
      </c>
      <c r="C1081" s="43" t="s">
        <v>1132</v>
      </c>
    </row>
    <row r="1082" spans="1:3" x14ac:dyDescent="0.2">
      <c r="A1082" s="43">
        <v>116022</v>
      </c>
      <c r="B1082" s="43" t="s">
        <v>1018</v>
      </c>
      <c r="C1082" s="43" t="s">
        <v>1133</v>
      </c>
    </row>
    <row r="1083" spans="1:3" x14ac:dyDescent="0.2">
      <c r="A1083" s="43">
        <v>117000</v>
      </c>
      <c r="B1083" s="43" t="s">
        <v>1018</v>
      </c>
      <c r="C1083" s="43" t="s">
        <v>1134</v>
      </c>
    </row>
    <row r="1084" spans="1:3" x14ac:dyDescent="0.2">
      <c r="A1084" s="43">
        <v>117001</v>
      </c>
      <c r="B1084" s="43" t="s">
        <v>1018</v>
      </c>
      <c r="C1084" s="43" t="s">
        <v>1135</v>
      </c>
    </row>
    <row r="1085" spans="1:3" x14ac:dyDescent="0.2">
      <c r="A1085" s="43">
        <v>117002</v>
      </c>
      <c r="B1085" s="43" t="s">
        <v>1018</v>
      </c>
      <c r="C1085" s="43" t="s">
        <v>1136</v>
      </c>
    </row>
    <row r="1086" spans="1:3" x14ac:dyDescent="0.2">
      <c r="A1086" s="43">
        <v>117003</v>
      </c>
      <c r="B1086" s="43" t="s">
        <v>1018</v>
      </c>
      <c r="C1086" s="43" t="s">
        <v>1137</v>
      </c>
    </row>
    <row r="1087" spans="1:3" x14ac:dyDescent="0.2">
      <c r="A1087" s="43">
        <v>117004</v>
      </c>
      <c r="B1087" s="43" t="s">
        <v>1018</v>
      </c>
      <c r="C1087" s="43" t="s">
        <v>1138</v>
      </c>
    </row>
    <row r="1088" spans="1:3" x14ac:dyDescent="0.2">
      <c r="A1088" s="43">
        <v>117005</v>
      </c>
      <c r="B1088" s="43" t="s">
        <v>1018</v>
      </c>
      <c r="C1088" s="43" t="s">
        <v>1139</v>
      </c>
    </row>
    <row r="1089" spans="1:3" x14ac:dyDescent="0.2">
      <c r="A1089" s="43">
        <v>117006</v>
      </c>
      <c r="B1089" s="43" t="s">
        <v>1018</v>
      </c>
      <c r="C1089" s="43" t="s">
        <v>1140</v>
      </c>
    </row>
    <row r="1090" spans="1:3" x14ac:dyDescent="0.2">
      <c r="A1090" s="43">
        <v>117007</v>
      </c>
      <c r="B1090" s="43" t="s">
        <v>1018</v>
      </c>
      <c r="C1090" s="43" t="s">
        <v>1141</v>
      </c>
    </row>
    <row r="1091" spans="1:3" x14ac:dyDescent="0.2">
      <c r="A1091" s="43">
        <v>117008</v>
      </c>
      <c r="B1091" s="43" t="s">
        <v>1018</v>
      </c>
      <c r="C1091" s="43" t="s">
        <v>1142</v>
      </c>
    </row>
    <row r="1092" spans="1:3" x14ac:dyDescent="0.2">
      <c r="A1092" s="43">
        <v>117009</v>
      </c>
      <c r="B1092" s="43" t="s">
        <v>1018</v>
      </c>
      <c r="C1092" s="43" t="s">
        <v>1143</v>
      </c>
    </row>
    <row r="1093" spans="1:3" x14ac:dyDescent="0.2">
      <c r="A1093" s="43">
        <v>117010</v>
      </c>
      <c r="B1093" s="43" t="s">
        <v>1018</v>
      </c>
      <c r="C1093" s="43" t="s">
        <v>1144</v>
      </c>
    </row>
    <row r="1094" spans="1:3" x14ac:dyDescent="0.2">
      <c r="A1094" s="43">
        <v>117011</v>
      </c>
      <c r="B1094" s="43" t="s">
        <v>1018</v>
      </c>
      <c r="C1094" s="43" t="s">
        <v>1145</v>
      </c>
    </row>
    <row r="1095" spans="1:3" x14ac:dyDescent="0.2">
      <c r="A1095" s="43">
        <v>117012</v>
      </c>
      <c r="B1095" s="43" t="s">
        <v>1018</v>
      </c>
      <c r="C1095" s="43" t="s">
        <v>1146</v>
      </c>
    </row>
    <row r="1096" spans="1:3" x14ac:dyDescent="0.2">
      <c r="A1096" s="43">
        <v>117013</v>
      </c>
      <c r="B1096" s="43" t="s">
        <v>1018</v>
      </c>
      <c r="C1096" s="43" t="s">
        <v>1147</v>
      </c>
    </row>
    <row r="1097" spans="1:3" x14ac:dyDescent="0.2">
      <c r="A1097" s="43">
        <v>117014</v>
      </c>
      <c r="B1097" s="43" t="s">
        <v>1018</v>
      </c>
      <c r="C1097" s="43" t="s">
        <v>1148</v>
      </c>
    </row>
    <row r="1098" spans="1:3" x14ac:dyDescent="0.2">
      <c r="A1098" s="43">
        <v>117015</v>
      </c>
      <c r="B1098" s="43" t="s">
        <v>1018</v>
      </c>
      <c r="C1098" s="43" t="s">
        <v>1149</v>
      </c>
    </row>
    <row r="1099" spans="1:3" x14ac:dyDescent="0.2">
      <c r="A1099" s="43">
        <v>117016</v>
      </c>
      <c r="B1099" s="43" t="s">
        <v>1018</v>
      </c>
      <c r="C1099" s="43" t="s">
        <v>1150</v>
      </c>
    </row>
    <row r="1100" spans="1:3" x14ac:dyDescent="0.2">
      <c r="A1100" s="43">
        <v>117017</v>
      </c>
      <c r="B1100" s="43" t="s">
        <v>1018</v>
      </c>
      <c r="C1100" s="43" t="s">
        <v>1151</v>
      </c>
    </row>
    <row r="1101" spans="1:3" x14ac:dyDescent="0.2">
      <c r="A1101" s="43">
        <v>117018</v>
      </c>
      <c r="B1101" s="43" t="s">
        <v>1018</v>
      </c>
      <c r="C1101" s="43" t="s">
        <v>1152</v>
      </c>
    </row>
    <row r="1102" spans="1:3" x14ac:dyDescent="0.2">
      <c r="A1102" s="43">
        <v>117019</v>
      </c>
      <c r="B1102" s="43" t="s">
        <v>1018</v>
      </c>
      <c r="C1102" s="43" t="s">
        <v>1153</v>
      </c>
    </row>
    <row r="1103" spans="1:3" x14ac:dyDescent="0.2">
      <c r="A1103" s="43">
        <v>117020</v>
      </c>
      <c r="B1103" s="43" t="s">
        <v>1018</v>
      </c>
      <c r="C1103" s="43" t="s">
        <v>1154</v>
      </c>
    </row>
    <row r="1104" spans="1:3" x14ac:dyDescent="0.2">
      <c r="A1104" s="43">
        <v>117021</v>
      </c>
      <c r="B1104" s="43" t="s">
        <v>1018</v>
      </c>
      <c r="C1104" s="43" t="s">
        <v>1155</v>
      </c>
    </row>
    <row r="1105" spans="1:3" x14ac:dyDescent="0.2">
      <c r="A1105" s="43">
        <v>117022</v>
      </c>
      <c r="B1105" s="43" t="s">
        <v>1018</v>
      </c>
      <c r="C1105" s="43" t="s">
        <v>1156</v>
      </c>
    </row>
    <row r="1106" spans="1:3" x14ac:dyDescent="0.2">
      <c r="A1106" s="43">
        <v>118000</v>
      </c>
      <c r="B1106" s="43" t="s">
        <v>1018</v>
      </c>
      <c r="C1106" s="43" t="s">
        <v>1157</v>
      </c>
    </row>
    <row r="1107" spans="1:3" x14ac:dyDescent="0.2">
      <c r="A1107" s="43">
        <v>118001</v>
      </c>
      <c r="B1107" s="43" t="s">
        <v>1018</v>
      </c>
      <c r="C1107" s="43" t="s">
        <v>1158</v>
      </c>
    </row>
    <row r="1108" spans="1:3" x14ac:dyDescent="0.2">
      <c r="A1108" s="43">
        <v>118002</v>
      </c>
      <c r="B1108" s="43" t="s">
        <v>1018</v>
      </c>
      <c r="C1108" s="43" t="s">
        <v>1159</v>
      </c>
    </row>
    <row r="1109" spans="1:3" x14ac:dyDescent="0.2">
      <c r="A1109" s="43">
        <v>118003</v>
      </c>
      <c r="B1109" s="43" t="s">
        <v>1018</v>
      </c>
      <c r="C1109" s="43" t="s">
        <v>1160</v>
      </c>
    </row>
    <row r="1110" spans="1:3" x14ac:dyDescent="0.2">
      <c r="A1110" s="43">
        <v>118004</v>
      </c>
      <c r="B1110" s="43" t="s">
        <v>1018</v>
      </c>
      <c r="C1110" s="43" t="s">
        <v>1161</v>
      </c>
    </row>
    <row r="1111" spans="1:3" x14ac:dyDescent="0.2">
      <c r="A1111" s="43">
        <v>118005</v>
      </c>
      <c r="B1111" s="43" t="s">
        <v>1018</v>
      </c>
      <c r="C1111" s="43" t="s">
        <v>1162</v>
      </c>
    </row>
    <row r="1112" spans="1:3" x14ac:dyDescent="0.2">
      <c r="A1112" s="43">
        <v>118006</v>
      </c>
      <c r="B1112" s="43" t="s">
        <v>1018</v>
      </c>
      <c r="C1112" s="43" t="s">
        <v>1163</v>
      </c>
    </row>
    <row r="1113" spans="1:3" x14ac:dyDescent="0.2">
      <c r="A1113" s="43">
        <v>118007</v>
      </c>
      <c r="B1113" s="43" t="s">
        <v>1018</v>
      </c>
      <c r="C1113" s="43" t="s">
        <v>1164</v>
      </c>
    </row>
    <row r="1114" spans="1:3" x14ac:dyDescent="0.2">
      <c r="A1114" s="43">
        <v>118008</v>
      </c>
      <c r="B1114" s="43" t="s">
        <v>1018</v>
      </c>
      <c r="C1114" s="43" t="s">
        <v>1165</v>
      </c>
    </row>
    <row r="1115" spans="1:3" x14ac:dyDescent="0.2">
      <c r="A1115" s="43">
        <v>118009</v>
      </c>
      <c r="B1115" s="43" t="s">
        <v>1018</v>
      </c>
      <c r="C1115" s="43" t="s">
        <v>1166</v>
      </c>
    </row>
    <row r="1116" spans="1:3" x14ac:dyDescent="0.2">
      <c r="A1116" s="43">
        <v>118010</v>
      </c>
      <c r="B1116" s="43" t="s">
        <v>1018</v>
      </c>
      <c r="C1116" s="43" t="s">
        <v>1167</v>
      </c>
    </row>
    <row r="1117" spans="1:3" x14ac:dyDescent="0.2">
      <c r="A1117" s="43">
        <v>118011</v>
      </c>
      <c r="B1117" s="43" t="s">
        <v>1018</v>
      </c>
      <c r="C1117" s="43" t="s">
        <v>1168</v>
      </c>
    </row>
    <row r="1118" spans="1:3" x14ac:dyDescent="0.2">
      <c r="A1118" s="43">
        <v>118012</v>
      </c>
      <c r="B1118" s="43" t="s">
        <v>1018</v>
      </c>
      <c r="C1118" s="43" t="s">
        <v>1169</v>
      </c>
    </row>
    <row r="1119" spans="1:3" x14ac:dyDescent="0.2">
      <c r="A1119" s="43">
        <v>118013</v>
      </c>
      <c r="B1119" s="43" t="s">
        <v>1018</v>
      </c>
      <c r="C1119" s="43" t="s">
        <v>1170</v>
      </c>
    </row>
    <row r="1120" spans="1:3" x14ac:dyDescent="0.2">
      <c r="A1120" s="43">
        <v>118014</v>
      </c>
      <c r="B1120" s="43" t="s">
        <v>1018</v>
      </c>
      <c r="C1120" s="43" t="s">
        <v>1171</v>
      </c>
    </row>
    <row r="1121" spans="1:3" x14ac:dyDescent="0.2">
      <c r="A1121" s="43">
        <v>118015</v>
      </c>
      <c r="B1121" s="43" t="s">
        <v>1018</v>
      </c>
      <c r="C1121" s="43" t="s">
        <v>1172</v>
      </c>
    </row>
    <row r="1122" spans="1:3" x14ac:dyDescent="0.2">
      <c r="A1122" s="43">
        <v>118016</v>
      </c>
      <c r="B1122" s="43" t="s">
        <v>1018</v>
      </c>
      <c r="C1122" s="43" t="s">
        <v>1173</v>
      </c>
    </row>
    <row r="1123" spans="1:3" x14ac:dyDescent="0.2">
      <c r="A1123" s="43">
        <v>118017</v>
      </c>
      <c r="B1123" s="43" t="s">
        <v>1018</v>
      </c>
      <c r="C1123" s="43" t="s">
        <v>1174</v>
      </c>
    </row>
    <row r="1124" spans="1:3" x14ac:dyDescent="0.2">
      <c r="A1124" s="43">
        <v>118018</v>
      </c>
      <c r="B1124" s="43" t="s">
        <v>1018</v>
      </c>
      <c r="C1124" s="43" t="s">
        <v>1175</v>
      </c>
    </row>
    <row r="1125" spans="1:3" x14ac:dyDescent="0.2">
      <c r="A1125" s="43">
        <v>118019</v>
      </c>
      <c r="B1125" s="43" t="s">
        <v>1018</v>
      </c>
      <c r="C1125" s="43" t="s">
        <v>1176</v>
      </c>
    </row>
    <row r="1126" spans="1:3" x14ac:dyDescent="0.2">
      <c r="A1126" s="43">
        <v>118020</v>
      </c>
      <c r="B1126" s="43" t="s">
        <v>1018</v>
      </c>
      <c r="C1126" s="43" t="s">
        <v>1177</v>
      </c>
    </row>
    <row r="1127" spans="1:3" x14ac:dyDescent="0.2">
      <c r="A1127" s="43">
        <v>118021</v>
      </c>
      <c r="B1127" s="43" t="s">
        <v>1018</v>
      </c>
      <c r="C1127" s="43" t="s">
        <v>1178</v>
      </c>
    </row>
    <row r="1128" spans="1:3" x14ac:dyDescent="0.2">
      <c r="A1128" s="43">
        <v>118022</v>
      </c>
      <c r="B1128" s="43" t="s">
        <v>1018</v>
      </c>
      <c r="C1128" s="43" t="s">
        <v>1179</v>
      </c>
    </row>
    <row r="1129" spans="1:3" x14ac:dyDescent="0.2">
      <c r="A1129" s="43">
        <v>119000</v>
      </c>
      <c r="B1129" s="43" t="s">
        <v>1018</v>
      </c>
      <c r="C1129" s="43" t="s">
        <v>1180</v>
      </c>
    </row>
    <row r="1130" spans="1:3" x14ac:dyDescent="0.2">
      <c r="A1130" s="43">
        <v>119001</v>
      </c>
      <c r="B1130" s="43" t="s">
        <v>1018</v>
      </c>
      <c r="C1130" s="43" t="s">
        <v>1181</v>
      </c>
    </row>
    <row r="1131" spans="1:3" x14ac:dyDescent="0.2">
      <c r="A1131" s="43">
        <v>119002</v>
      </c>
      <c r="B1131" s="43" t="s">
        <v>1018</v>
      </c>
      <c r="C1131" s="43" t="s">
        <v>1182</v>
      </c>
    </row>
    <row r="1132" spans="1:3" x14ac:dyDescent="0.2">
      <c r="A1132" s="43">
        <v>119003</v>
      </c>
      <c r="B1132" s="43" t="s">
        <v>1018</v>
      </c>
      <c r="C1132" s="43" t="s">
        <v>1183</v>
      </c>
    </row>
    <row r="1133" spans="1:3" x14ac:dyDescent="0.2">
      <c r="A1133" s="43">
        <v>119004</v>
      </c>
      <c r="B1133" s="43" t="s">
        <v>1018</v>
      </c>
      <c r="C1133" s="43" t="s">
        <v>1184</v>
      </c>
    </row>
    <row r="1134" spans="1:3" x14ac:dyDescent="0.2">
      <c r="A1134" s="43">
        <v>119005</v>
      </c>
      <c r="B1134" s="43" t="s">
        <v>1018</v>
      </c>
      <c r="C1134" s="43" t="s">
        <v>1185</v>
      </c>
    </row>
    <row r="1135" spans="1:3" x14ac:dyDescent="0.2">
      <c r="A1135" s="43">
        <v>119006</v>
      </c>
      <c r="B1135" s="43" t="s">
        <v>1018</v>
      </c>
      <c r="C1135" s="43" t="s">
        <v>1186</v>
      </c>
    </row>
    <row r="1136" spans="1:3" x14ac:dyDescent="0.2">
      <c r="A1136" s="43">
        <v>119007</v>
      </c>
      <c r="B1136" s="43" t="s">
        <v>1018</v>
      </c>
      <c r="C1136" s="43" t="s">
        <v>1187</v>
      </c>
    </row>
    <row r="1137" spans="1:3" x14ac:dyDescent="0.2">
      <c r="A1137" s="43">
        <v>119008</v>
      </c>
      <c r="B1137" s="43" t="s">
        <v>1018</v>
      </c>
      <c r="C1137" s="43" t="s">
        <v>1188</v>
      </c>
    </row>
    <row r="1138" spans="1:3" x14ac:dyDescent="0.2">
      <c r="A1138" s="43">
        <v>119009</v>
      </c>
      <c r="B1138" s="43" t="s">
        <v>1018</v>
      </c>
      <c r="C1138" s="43" t="s">
        <v>1189</v>
      </c>
    </row>
    <row r="1139" spans="1:3" x14ac:dyDescent="0.2">
      <c r="A1139" s="43">
        <v>119010</v>
      </c>
      <c r="B1139" s="43" t="s">
        <v>1018</v>
      </c>
      <c r="C1139" s="43" t="s">
        <v>1190</v>
      </c>
    </row>
    <row r="1140" spans="1:3" x14ac:dyDescent="0.2">
      <c r="A1140" s="43">
        <v>119011</v>
      </c>
      <c r="B1140" s="43" t="s">
        <v>1018</v>
      </c>
      <c r="C1140" s="43" t="s">
        <v>1191</v>
      </c>
    </row>
    <row r="1141" spans="1:3" x14ac:dyDescent="0.2">
      <c r="A1141" s="43">
        <v>119012</v>
      </c>
      <c r="B1141" s="43" t="s">
        <v>1018</v>
      </c>
      <c r="C1141" s="43" t="s">
        <v>1192</v>
      </c>
    </row>
    <row r="1142" spans="1:3" x14ac:dyDescent="0.2">
      <c r="A1142" s="43">
        <v>119013</v>
      </c>
      <c r="B1142" s="43" t="s">
        <v>1018</v>
      </c>
      <c r="C1142" s="43" t="s">
        <v>1193</v>
      </c>
    </row>
    <row r="1143" spans="1:3" x14ac:dyDescent="0.2">
      <c r="A1143" s="43">
        <v>119014</v>
      </c>
      <c r="B1143" s="43" t="s">
        <v>1018</v>
      </c>
      <c r="C1143" s="43" t="s">
        <v>1194</v>
      </c>
    </row>
    <row r="1144" spans="1:3" x14ac:dyDescent="0.2">
      <c r="A1144" s="43">
        <v>119015</v>
      </c>
      <c r="B1144" s="43" t="s">
        <v>1018</v>
      </c>
      <c r="C1144" s="43" t="s">
        <v>1195</v>
      </c>
    </row>
    <row r="1145" spans="1:3" x14ac:dyDescent="0.2">
      <c r="A1145" s="43">
        <v>119016</v>
      </c>
      <c r="B1145" s="43" t="s">
        <v>1018</v>
      </c>
      <c r="C1145" s="43" t="s">
        <v>1196</v>
      </c>
    </row>
    <row r="1146" spans="1:3" x14ac:dyDescent="0.2">
      <c r="A1146" s="43">
        <v>119017</v>
      </c>
      <c r="B1146" s="43" t="s">
        <v>1018</v>
      </c>
      <c r="C1146" s="43" t="s">
        <v>1197</v>
      </c>
    </row>
    <row r="1147" spans="1:3" x14ac:dyDescent="0.2">
      <c r="A1147" s="43">
        <v>119018</v>
      </c>
      <c r="B1147" s="43" t="s">
        <v>1018</v>
      </c>
      <c r="C1147" s="43" t="s">
        <v>1198</v>
      </c>
    </row>
    <row r="1148" spans="1:3" x14ac:dyDescent="0.2">
      <c r="A1148" s="43">
        <v>119019</v>
      </c>
      <c r="B1148" s="43" t="s">
        <v>1018</v>
      </c>
      <c r="C1148" s="43" t="s">
        <v>1199</v>
      </c>
    </row>
    <row r="1149" spans="1:3" x14ac:dyDescent="0.2">
      <c r="A1149" s="43">
        <v>119020</v>
      </c>
      <c r="B1149" s="43" t="s">
        <v>1018</v>
      </c>
      <c r="C1149" s="43" t="s">
        <v>1200</v>
      </c>
    </row>
    <row r="1150" spans="1:3" x14ac:dyDescent="0.2">
      <c r="A1150" s="43">
        <v>119021</v>
      </c>
      <c r="B1150" s="43" t="s">
        <v>1018</v>
      </c>
      <c r="C1150" s="43" t="s">
        <v>1201</v>
      </c>
    </row>
    <row r="1151" spans="1:3" x14ac:dyDescent="0.2">
      <c r="A1151" s="43">
        <v>119022</v>
      </c>
      <c r="B1151" s="43" t="s">
        <v>1018</v>
      </c>
      <c r="C1151" s="43" t="s">
        <v>1202</v>
      </c>
    </row>
    <row r="1152" spans="1:3" x14ac:dyDescent="0.2">
      <c r="A1152" s="43">
        <v>120000</v>
      </c>
      <c r="B1152" s="43" t="s">
        <v>1203</v>
      </c>
      <c r="C1152" s="43" t="s">
        <v>1204</v>
      </c>
    </row>
    <row r="1153" spans="1:3" x14ac:dyDescent="0.2">
      <c r="A1153" s="43">
        <v>120001</v>
      </c>
      <c r="B1153" s="43" t="s">
        <v>1203</v>
      </c>
      <c r="C1153" s="43" t="s">
        <v>1205</v>
      </c>
    </row>
    <row r="1154" spans="1:3" x14ac:dyDescent="0.2">
      <c r="A1154" s="43">
        <v>120002</v>
      </c>
      <c r="B1154" s="43" t="s">
        <v>1203</v>
      </c>
      <c r="C1154" s="43" t="s">
        <v>1206</v>
      </c>
    </row>
    <row r="1155" spans="1:3" x14ac:dyDescent="0.2">
      <c r="A1155" s="43">
        <v>120003</v>
      </c>
      <c r="B1155" s="43" t="s">
        <v>1203</v>
      </c>
      <c r="C1155" s="43" t="s">
        <v>1207</v>
      </c>
    </row>
    <row r="1156" spans="1:3" x14ac:dyDescent="0.2">
      <c r="A1156" s="43">
        <v>120004</v>
      </c>
      <c r="B1156" s="43" t="s">
        <v>1203</v>
      </c>
      <c r="C1156" s="43" t="s">
        <v>1208</v>
      </c>
    </row>
    <row r="1157" spans="1:3" x14ac:dyDescent="0.2">
      <c r="A1157" s="43">
        <v>120008</v>
      </c>
      <c r="B1157" s="43" t="s">
        <v>1203</v>
      </c>
      <c r="C1157" s="43" t="s">
        <v>1209</v>
      </c>
    </row>
    <row r="1158" spans="1:3" x14ac:dyDescent="0.2">
      <c r="A1158" s="43">
        <v>120009</v>
      </c>
      <c r="B1158" s="43" t="s">
        <v>1203</v>
      </c>
      <c r="C1158" s="43" t="s">
        <v>1210</v>
      </c>
    </row>
    <row r="1159" spans="1:3" x14ac:dyDescent="0.2">
      <c r="A1159" s="43">
        <v>120010</v>
      </c>
      <c r="B1159" s="43" t="s">
        <v>1203</v>
      </c>
      <c r="C1159" s="43" t="s">
        <v>1211</v>
      </c>
    </row>
    <row r="1160" spans="1:3" x14ac:dyDescent="0.2">
      <c r="A1160" s="43">
        <v>120011</v>
      </c>
      <c r="B1160" s="43" t="s">
        <v>1203</v>
      </c>
      <c r="C1160" s="43" t="s">
        <v>1212</v>
      </c>
    </row>
    <row r="1161" spans="1:3" x14ac:dyDescent="0.2">
      <c r="A1161" s="43">
        <v>120012</v>
      </c>
      <c r="B1161" s="43" t="s">
        <v>1203</v>
      </c>
      <c r="C1161" s="43" t="s">
        <v>1213</v>
      </c>
    </row>
    <row r="1162" spans="1:3" x14ac:dyDescent="0.2">
      <c r="A1162" s="43">
        <v>120013</v>
      </c>
      <c r="B1162" s="43" t="s">
        <v>1203</v>
      </c>
      <c r="C1162" s="43" t="s">
        <v>1214</v>
      </c>
    </row>
    <row r="1163" spans="1:3" x14ac:dyDescent="0.2">
      <c r="A1163" s="43">
        <v>120016</v>
      </c>
      <c r="B1163" s="43" t="s">
        <v>1203</v>
      </c>
      <c r="C1163" s="43" t="s">
        <v>1215</v>
      </c>
    </row>
    <row r="1164" spans="1:3" x14ac:dyDescent="0.2">
      <c r="A1164" s="43">
        <v>120017</v>
      </c>
      <c r="B1164" s="43" t="s">
        <v>1203</v>
      </c>
      <c r="C1164" s="43" t="s">
        <v>1216</v>
      </c>
    </row>
    <row r="1165" spans="1:3" x14ac:dyDescent="0.2">
      <c r="A1165" s="43">
        <v>120018</v>
      </c>
      <c r="B1165" s="43" t="s">
        <v>1203</v>
      </c>
      <c r="C1165" s="43" t="s">
        <v>1217</v>
      </c>
    </row>
    <row r="1166" spans="1:3" x14ac:dyDescent="0.2">
      <c r="A1166" s="43">
        <v>120019</v>
      </c>
      <c r="B1166" s="43" t="s">
        <v>1203</v>
      </c>
      <c r="C1166" s="43" t="s">
        <v>1218</v>
      </c>
    </row>
    <row r="1167" spans="1:3" x14ac:dyDescent="0.2">
      <c r="A1167" s="43">
        <v>120020</v>
      </c>
      <c r="B1167" s="43" t="s">
        <v>1203</v>
      </c>
      <c r="C1167" s="43" t="s">
        <v>1219</v>
      </c>
    </row>
    <row r="1168" spans="1:3" x14ac:dyDescent="0.2">
      <c r="A1168" s="43">
        <v>120021</v>
      </c>
      <c r="B1168" s="43" t="s">
        <v>1203</v>
      </c>
      <c r="C1168" s="43" t="s">
        <v>1220</v>
      </c>
    </row>
    <row r="1169" spans="1:3" x14ac:dyDescent="0.2">
      <c r="A1169" s="43">
        <v>120025</v>
      </c>
      <c r="B1169" s="43" t="s">
        <v>1203</v>
      </c>
      <c r="C1169" s="43" t="s">
        <v>1221</v>
      </c>
    </row>
    <row r="1170" spans="1:3" x14ac:dyDescent="0.2">
      <c r="A1170" s="43">
        <v>120026</v>
      </c>
      <c r="B1170" s="43" t="s">
        <v>1203</v>
      </c>
      <c r="C1170" s="43" t="s">
        <v>1222</v>
      </c>
    </row>
    <row r="1171" spans="1:3" x14ac:dyDescent="0.2">
      <c r="A1171" s="43">
        <v>120027</v>
      </c>
      <c r="B1171" s="43" t="s">
        <v>1203</v>
      </c>
      <c r="C1171" s="43" t="s">
        <v>1223</v>
      </c>
    </row>
    <row r="1172" spans="1:3" x14ac:dyDescent="0.2">
      <c r="A1172" s="43">
        <v>120028</v>
      </c>
      <c r="B1172" s="43" t="s">
        <v>1203</v>
      </c>
      <c r="C1172" s="43" t="s">
        <v>1224</v>
      </c>
    </row>
    <row r="1173" spans="1:3" x14ac:dyDescent="0.2">
      <c r="A1173" s="43">
        <v>120029</v>
      </c>
      <c r="B1173" s="43" t="s">
        <v>1203</v>
      </c>
      <c r="C1173" s="43" t="s">
        <v>1225</v>
      </c>
    </row>
    <row r="1174" spans="1:3" x14ac:dyDescent="0.2">
      <c r="A1174" s="43">
        <v>120030</v>
      </c>
      <c r="B1174" s="43" t="s">
        <v>1203</v>
      </c>
      <c r="C1174" s="43" t="s">
        <v>1226</v>
      </c>
    </row>
    <row r="1175" spans="1:3" x14ac:dyDescent="0.2">
      <c r="A1175" s="43">
        <v>120032</v>
      </c>
      <c r="B1175" s="43" t="s">
        <v>1203</v>
      </c>
      <c r="C1175" s="43" t="s">
        <v>1227</v>
      </c>
    </row>
    <row r="1176" spans="1:3" x14ac:dyDescent="0.2">
      <c r="A1176" s="43">
        <v>120033</v>
      </c>
      <c r="B1176" s="43" t="s">
        <v>1203</v>
      </c>
      <c r="C1176" s="43" t="s">
        <v>1228</v>
      </c>
    </row>
    <row r="1177" spans="1:3" x14ac:dyDescent="0.2">
      <c r="A1177" s="43">
        <v>120034</v>
      </c>
      <c r="B1177" s="43" t="s">
        <v>1203</v>
      </c>
      <c r="C1177" s="43" t="s">
        <v>1229</v>
      </c>
    </row>
    <row r="1178" spans="1:3" x14ac:dyDescent="0.2">
      <c r="A1178" s="43">
        <v>120035</v>
      </c>
      <c r="B1178" s="43" t="s">
        <v>1203</v>
      </c>
      <c r="C1178" s="43" t="s">
        <v>1230</v>
      </c>
    </row>
    <row r="1179" spans="1:3" x14ac:dyDescent="0.2">
      <c r="A1179" s="43">
        <v>120036</v>
      </c>
      <c r="B1179" s="43" t="s">
        <v>1203</v>
      </c>
      <c r="C1179" s="43" t="s">
        <v>1231</v>
      </c>
    </row>
    <row r="1180" spans="1:3" x14ac:dyDescent="0.2">
      <c r="A1180" s="43">
        <v>120037</v>
      </c>
      <c r="B1180" s="43" t="s">
        <v>1203</v>
      </c>
      <c r="C1180" s="43" t="s">
        <v>1232</v>
      </c>
    </row>
    <row r="1181" spans="1:3" x14ac:dyDescent="0.2">
      <c r="A1181" s="43">
        <v>120652</v>
      </c>
      <c r="B1181" s="43" t="s">
        <v>1203</v>
      </c>
      <c r="C1181" s="43" t="s">
        <v>1233</v>
      </c>
    </row>
    <row r="1182" spans="1:3" x14ac:dyDescent="0.2">
      <c r="A1182" s="43">
        <v>120668</v>
      </c>
      <c r="B1182" s="43" t="s">
        <v>1203</v>
      </c>
      <c r="C1182" s="43" t="s">
        <v>1234</v>
      </c>
    </row>
    <row r="1183" spans="1:3" x14ac:dyDescent="0.2">
      <c r="A1183" s="43">
        <v>120752</v>
      </c>
      <c r="B1183" s="43" t="s">
        <v>1203</v>
      </c>
      <c r="C1183" s="43" t="s">
        <v>1235</v>
      </c>
    </row>
    <row r="1184" spans="1:3" x14ac:dyDescent="0.2">
      <c r="A1184" s="43">
        <v>120753</v>
      </c>
      <c r="B1184" s="43" t="s">
        <v>1203</v>
      </c>
      <c r="C1184" s="43" t="s">
        <v>1236</v>
      </c>
    </row>
    <row r="1185" spans="1:3" x14ac:dyDescent="0.2">
      <c r="A1185" s="43">
        <v>120763</v>
      </c>
      <c r="B1185" s="43" t="s">
        <v>1203</v>
      </c>
      <c r="C1185" s="43" t="s">
        <v>1237</v>
      </c>
    </row>
    <row r="1186" spans="1:3" x14ac:dyDescent="0.2">
      <c r="A1186" s="43">
        <v>120784</v>
      </c>
      <c r="B1186" s="43" t="s">
        <v>1203</v>
      </c>
      <c r="C1186" s="43" t="s">
        <v>1238</v>
      </c>
    </row>
    <row r="1187" spans="1:3" x14ac:dyDescent="0.2">
      <c r="A1187" s="43">
        <v>120785</v>
      </c>
      <c r="B1187" s="43" t="s">
        <v>1203</v>
      </c>
      <c r="C1187" s="43" t="s">
        <v>1239</v>
      </c>
    </row>
    <row r="1188" spans="1:3" x14ac:dyDescent="0.2">
      <c r="A1188" s="43">
        <v>120786</v>
      </c>
      <c r="B1188" s="43" t="s">
        <v>1203</v>
      </c>
      <c r="C1188" s="43" t="s">
        <v>1240</v>
      </c>
    </row>
    <row r="1189" spans="1:3" x14ac:dyDescent="0.2">
      <c r="A1189" s="43">
        <v>120787</v>
      </c>
      <c r="B1189" s="43" t="s">
        <v>1203</v>
      </c>
      <c r="C1189" s="43" t="s">
        <v>1241</v>
      </c>
    </row>
    <row r="1190" spans="1:3" x14ac:dyDescent="0.2">
      <c r="A1190" s="43">
        <v>120788</v>
      </c>
      <c r="B1190" s="43" t="s">
        <v>1203</v>
      </c>
      <c r="C1190" s="43" t="s">
        <v>1242</v>
      </c>
    </row>
    <row r="1191" spans="1:3" x14ac:dyDescent="0.2">
      <c r="A1191" s="43">
        <v>120789</v>
      </c>
      <c r="B1191" s="43" t="s">
        <v>1203</v>
      </c>
      <c r="C1191" s="43" t="s">
        <v>1243</v>
      </c>
    </row>
    <row r="1192" spans="1:3" x14ac:dyDescent="0.2">
      <c r="A1192" s="43">
        <v>120790</v>
      </c>
      <c r="B1192" s="43" t="s">
        <v>1203</v>
      </c>
      <c r="C1192" s="43" t="s">
        <v>1244</v>
      </c>
    </row>
    <row r="1193" spans="1:3" x14ac:dyDescent="0.2">
      <c r="A1193" s="43">
        <v>120791</v>
      </c>
      <c r="B1193" s="43" t="s">
        <v>1203</v>
      </c>
      <c r="C1193" s="43" t="s">
        <v>1245</v>
      </c>
    </row>
    <row r="1194" spans="1:3" x14ac:dyDescent="0.2">
      <c r="A1194" s="43">
        <v>120792</v>
      </c>
      <c r="B1194" s="43" t="s">
        <v>1203</v>
      </c>
      <c r="C1194" s="43" t="s">
        <v>1246</v>
      </c>
    </row>
    <row r="1195" spans="1:3" x14ac:dyDescent="0.2">
      <c r="A1195" s="43">
        <v>120793</v>
      </c>
      <c r="B1195" s="43" t="s">
        <v>1203</v>
      </c>
      <c r="C1195" s="43" t="s">
        <v>1247</v>
      </c>
    </row>
    <row r="1196" spans="1:3" x14ac:dyDescent="0.2">
      <c r="A1196" s="43">
        <v>120794</v>
      </c>
      <c r="B1196" s="43" t="s">
        <v>1203</v>
      </c>
      <c r="C1196" s="43" t="s">
        <v>1248</v>
      </c>
    </row>
    <row r="1197" spans="1:3" x14ac:dyDescent="0.2">
      <c r="A1197" s="43">
        <v>120795</v>
      </c>
      <c r="B1197" s="43" t="s">
        <v>1203</v>
      </c>
      <c r="C1197" s="43" t="s">
        <v>1249</v>
      </c>
    </row>
    <row r="1198" spans="1:3" x14ac:dyDescent="0.2">
      <c r="A1198" s="43">
        <v>120796</v>
      </c>
      <c r="B1198" s="43" t="s">
        <v>1203</v>
      </c>
      <c r="C1198" s="43" t="s">
        <v>1250</v>
      </c>
    </row>
    <row r="1199" spans="1:3" x14ac:dyDescent="0.2">
      <c r="A1199" s="43">
        <v>120797</v>
      </c>
      <c r="B1199" s="43" t="s">
        <v>1203</v>
      </c>
      <c r="C1199" s="43" t="s">
        <v>1251</v>
      </c>
    </row>
    <row r="1200" spans="1:3" x14ac:dyDescent="0.2">
      <c r="A1200" s="43">
        <v>120798</v>
      </c>
      <c r="B1200" s="43" t="s">
        <v>1203</v>
      </c>
      <c r="C1200" s="43" t="s">
        <v>1252</v>
      </c>
    </row>
    <row r="1201" spans="1:3" x14ac:dyDescent="0.2">
      <c r="A1201" s="43">
        <v>120799</v>
      </c>
      <c r="B1201" s="43" t="s">
        <v>1203</v>
      </c>
      <c r="C1201" s="43" t="s">
        <v>1253</v>
      </c>
    </row>
    <row r="1202" spans="1:3" x14ac:dyDescent="0.2">
      <c r="A1202" s="43">
        <v>121000</v>
      </c>
      <c r="B1202" s="43" t="s">
        <v>1203</v>
      </c>
      <c r="C1202" s="43" t="s">
        <v>1254</v>
      </c>
    </row>
    <row r="1203" spans="1:3" x14ac:dyDescent="0.2">
      <c r="A1203" s="43">
        <v>121001</v>
      </c>
      <c r="B1203" s="43" t="s">
        <v>1203</v>
      </c>
      <c r="C1203" s="43" t="s">
        <v>1255</v>
      </c>
    </row>
    <row r="1204" spans="1:3" x14ac:dyDescent="0.2">
      <c r="A1204" s="43">
        <v>121002</v>
      </c>
      <c r="B1204" s="43" t="s">
        <v>1203</v>
      </c>
      <c r="C1204" s="43" t="s">
        <v>1256</v>
      </c>
    </row>
    <row r="1205" spans="1:3" x14ac:dyDescent="0.2">
      <c r="A1205" s="43">
        <v>121003</v>
      </c>
      <c r="B1205" s="43" t="s">
        <v>1203</v>
      </c>
      <c r="C1205" s="43" t="s">
        <v>1257</v>
      </c>
    </row>
    <row r="1206" spans="1:3" x14ac:dyDescent="0.2">
      <c r="A1206" s="43">
        <v>121004</v>
      </c>
      <c r="B1206" s="43" t="s">
        <v>1203</v>
      </c>
      <c r="C1206" s="43" t="s">
        <v>1258</v>
      </c>
    </row>
    <row r="1207" spans="1:3" x14ac:dyDescent="0.2">
      <c r="A1207" s="43">
        <v>121008</v>
      </c>
      <c r="B1207" s="43" t="s">
        <v>1203</v>
      </c>
      <c r="C1207" s="43" t="s">
        <v>1259</v>
      </c>
    </row>
    <row r="1208" spans="1:3" x14ac:dyDescent="0.2">
      <c r="A1208" s="43">
        <v>121009</v>
      </c>
      <c r="B1208" s="43" t="s">
        <v>1203</v>
      </c>
      <c r="C1208" s="43" t="s">
        <v>1260</v>
      </c>
    </row>
    <row r="1209" spans="1:3" x14ac:dyDescent="0.2">
      <c r="A1209" s="43">
        <v>121010</v>
      </c>
      <c r="B1209" s="43" t="s">
        <v>1203</v>
      </c>
      <c r="C1209" s="43" t="s">
        <v>1261</v>
      </c>
    </row>
    <row r="1210" spans="1:3" x14ac:dyDescent="0.2">
      <c r="A1210" s="43">
        <v>121011</v>
      </c>
      <c r="B1210" s="43" t="s">
        <v>1203</v>
      </c>
      <c r="C1210" s="43" t="s">
        <v>1262</v>
      </c>
    </row>
    <row r="1211" spans="1:3" x14ac:dyDescent="0.2">
      <c r="A1211" s="43">
        <v>121012</v>
      </c>
      <c r="B1211" s="43" t="s">
        <v>1203</v>
      </c>
      <c r="C1211" s="43" t="s">
        <v>1263</v>
      </c>
    </row>
    <row r="1212" spans="1:3" x14ac:dyDescent="0.2">
      <c r="A1212" s="43">
        <v>121013</v>
      </c>
      <c r="B1212" s="43" t="s">
        <v>1203</v>
      </c>
      <c r="C1212" s="43" t="s">
        <v>1264</v>
      </c>
    </row>
    <row r="1213" spans="1:3" x14ac:dyDescent="0.2">
      <c r="A1213" s="43">
        <v>121016</v>
      </c>
      <c r="B1213" s="43" t="s">
        <v>1203</v>
      </c>
      <c r="C1213" s="43" t="s">
        <v>1265</v>
      </c>
    </row>
    <row r="1214" spans="1:3" x14ac:dyDescent="0.2">
      <c r="A1214" s="43">
        <v>121017</v>
      </c>
      <c r="B1214" s="43" t="s">
        <v>1203</v>
      </c>
      <c r="C1214" s="43" t="s">
        <v>1266</v>
      </c>
    </row>
    <row r="1215" spans="1:3" x14ac:dyDescent="0.2">
      <c r="A1215" s="43">
        <v>121018</v>
      </c>
      <c r="B1215" s="43" t="s">
        <v>1203</v>
      </c>
      <c r="C1215" s="43" t="s">
        <v>1267</v>
      </c>
    </row>
    <row r="1216" spans="1:3" x14ac:dyDescent="0.2">
      <c r="A1216" s="43">
        <v>121019</v>
      </c>
      <c r="B1216" s="43" t="s">
        <v>1203</v>
      </c>
      <c r="C1216" s="43" t="s">
        <v>1268</v>
      </c>
    </row>
    <row r="1217" spans="1:3" x14ac:dyDescent="0.2">
      <c r="A1217" s="43">
        <v>121020</v>
      </c>
      <c r="B1217" s="43" t="s">
        <v>1203</v>
      </c>
      <c r="C1217" s="43" t="s">
        <v>1269</v>
      </c>
    </row>
    <row r="1218" spans="1:3" x14ac:dyDescent="0.2">
      <c r="A1218" s="43">
        <v>121021</v>
      </c>
      <c r="B1218" s="43" t="s">
        <v>1203</v>
      </c>
      <c r="C1218" s="43" t="s">
        <v>1270</v>
      </c>
    </row>
    <row r="1219" spans="1:3" x14ac:dyDescent="0.2">
      <c r="A1219" s="43">
        <v>121025</v>
      </c>
      <c r="B1219" s="43" t="s">
        <v>1203</v>
      </c>
      <c r="C1219" s="43" t="s">
        <v>1271</v>
      </c>
    </row>
    <row r="1220" spans="1:3" x14ac:dyDescent="0.2">
      <c r="A1220" s="43">
        <v>121026</v>
      </c>
      <c r="B1220" s="43" t="s">
        <v>1203</v>
      </c>
      <c r="C1220" s="43" t="s">
        <v>1272</v>
      </c>
    </row>
    <row r="1221" spans="1:3" x14ac:dyDescent="0.2">
      <c r="A1221" s="43">
        <v>121027</v>
      </c>
      <c r="B1221" s="43" t="s">
        <v>1203</v>
      </c>
      <c r="C1221" s="43" t="s">
        <v>1273</v>
      </c>
    </row>
    <row r="1222" spans="1:3" x14ac:dyDescent="0.2">
      <c r="A1222" s="43">
        <v>121028</v>
      </c>
      <c r="B1222" s="43" t="s">
        <v>1203</v>
      </c>
      <c r="C1222" s="43" t="s">
        <v>1274</v>
      </c>
    </row>
    <row r="1223" spans="1:3" x14ac:dyDescent="0.2">
      <c r="A1223" s="43">
        <v>121029</v>
      </c>
      <c r="B1223" s="43" t="s">
        <v>1203</v>
      </c>
      <c r="C1223" s="43" t="s">
        <v>1275</v>
      </c>
    </row>
    <row r="1224" spans="1:3" x14ac:dyDescent="0.2">
      <c r="A1224" s="43">
        <v>121030</v>
      </c>
      <c r="B1224" s="43" t="s">
        <v>1203</v>
      </c>
      <c r="C1224" s="43" t="s">
        <v>1276</v>
      </c>
    </row>
    <row r="1225" spans="1:3" x14ac:dyDescent="0.2">
      <c r="A1225" s="43">
        <v>121032</v>
      </c>
      <c r="B1225" s="43" t="s">
        <v>1203</v>
      </c>
      <c r="C1225" s="43" t="s">
        <v>1277</v>
      </c>
    </row>
    <row r="1226" spans="1:3" x14ac:dyDescent="0.2">
      <c r="A1226" s="43">
        <v>121033</v>
      </c>
      <c r="B1226" s="43" t="s">
        <v>1203</v>
      </c>
      <c r="C1226" s="43" t="s">
        <v>1278</v>
      </c>
    </row>
    <row r="1227" spans="1:3" x14ac:dyDescent="0.2">
      <c r="A1227" s="43">
        <v>121034</v>
      </c>
      <c r="B1227" s="43" t="s">
        <v>1203</v>
      </c>
      <c r="C1227" s="43" t="s">
        <v>1279</v>
      </c>
    </row>
    <row r="1228" spans="1:3" x14ac:dyDescent="0.2">
      <c r="A1228" s="43">
        <v>121035</v>
      </c>
      <c r="B1228" s="43" t="s">
        <v>1203</v>
      </c>
      <c r="C1228" s="43" t="s">
        <v>1280</v>
      </c>
    </row>
    <row r="1229" spans="1:3" x14ac:dyDescent="0.2">
      <c r="A1229" s="43">
        <v>121036</v>
      </c>
      <c r="B1229" s="43" t="s">
        <v>1203</v>
      </c>
      <c r="C1229" s="43" t="s">
        <v>1281</v>
      </c>
    </row>
    <row r="1230" spans="1:3" x14ac:dyDescent="0.2">
      <c r="A1230" s="43">
        <v>121037</v>
      </c>
      <c r="B1230" s="43" t="s">
        <v>1203</v>
      </c>
      <c r="C1230" s="43" t="s">
        <v>1282</v>
      </c>
    </row>
    <row r="1231" spans="1:3" x14ac:dyDescent="0.2">
      <c r="A1231" s="43">
        <v>121652</v>
      </c>
      <c r="B1231" s="43" t="s">
        <v>1203</v>
      </c>
      <c r="C1231" s="43" t="s">
        <v>1283</v>
      </c>
    </row>
    <row r="1232" spans="1:3" x14ac:dyDescent="0.2">
      <c r="A1232" s="43">
        <v>121668</v>
      </c>
      <c r="B1232" s="43" t="s">
        <v>1203</v>
      </c>
      <c r="C1232" s="43" t="s">
        <v>1284</v>
      </c>
    </row>
    <row r="1233" spans="1:3" x14ac:dyDescent="0.2">
      <c r="A1233" s="43">
        <v>121752</v>
      </c>
      <c r="B1233" s="43" t="s">
        <v>1203</v>
      </c>
      <c r="C1233" s="43" t="s">
        <v>1285</v>
      </c>
    </row>
    <row r="1234" spans="1:3" x14ac:dyDescent="0.2">
      <c r="A1234" s="43">
        <v>121753</v>
      </c>
      <c r="B1234" s="43" t="s">
        <v>1203</v>
      </c>
      <c r="C1234" s="43" t="s">
        <v>1286</v>
      </c>
    </row>
    <row r="1235" spans="1:3" x14ac:dyDescent="0.2">
      <c r="A1235" s="43">
        <v>121763</v>
      </c>
      <c r="B1235" s="43" t="s">
        <v>1203</v>
      </c>
      <c r="C1235" s="43" t="s">
        <v>1287</v>
      </c>
    </row>
    <row r="1236" spans="1:3" x14ac:dyDescent="0.2">
      <c r="A1236" s="43">
        <v>121784</v>
      </c>
      <c r="B1236" s="43" t="s">
        <v>1203</v>
      </c>
      <c r="C1236" s="43" t="s">
        <v>1288</v>
      </c>
    </row>
    <row r="1237" spans="1:3" x14ac:dyDescent="0.2">
      <c r="A1237" s="43">
        <v>121785</v>
      </c>
      <c r="B1237" s="43" t="s">
        <v>1203</v>
      </c>
      <c r="C1237" s="43" t="s">
        <v>1289</v>
      </c>
    </row>
    <row r="1238" spans="1:3" x14ac:dyDescent="0.2">
      <c r="A1238" s="43">
        <v>121786</v>
      </c>
      <c r="B1238" s="43" t="s">
        <v>1203</v>
      </c>
      <c r="C1238" s="43" t="s">
        <v>1290</v>
      </c>
    </row>
    <row r="1239" spans="1:3" x14ac:dyDescent="0.2">
      <c r="A1239" s="43">
        <v>121787</v>
      </c>
      <c r="B1239" s="43" t="s">
        <v>1203</v>
      </c>
      <c r="C1239" s="43" t="s">
        <v>1291</v>
      </c>
    </row>
    <row r="1240" spans="1:3" x14ac:dyDescent="0.2">
      <c r="A1240" s="43">
        <v>121788</v>
      </c>
      <c r="B1240" s="43" t="s">
        <v>1203</v>
      </c>
      <c r="C1240" s="43" t="s">
        <v>1292</v>
      </c>
    </row>
    <row r="1241" spans="1:3" x14ac:dyDescent="0.2">
      <c r="A1241" s="43">
        <v>121789</v>
      </c>
      <c r="B1241" s="43" t="s">
        <v>1203</v>
      </c>
      <c r="C1241" s="43" t="s">
        <v>1293</v>
      </c>
    </row>
    <row r="1242" spans="1:3" x14ac:dyDescent="0.2">
      <c r="A1242" s="43">
        <v>121790</v>
      </c>
      <c r="B1242" s="43" t="s">
        <v>1203</v>
      </c>
      <c r="C1242" s="43" t="s">
        <v>1294</v>
      </c>
    </row>
    <row r="1243" spans="1:3" x14ac:dyDescent="0.2">
      <c r="A1243" s="43">
        <v>121791</v>
      </c>
      <c r="B1243" s="43" t="s">
        <v>1203</v>
      </c>
      <c r="C1243" s="43" t="s">
        <v>1295</v>
      </c>
    </row>
    <row r="1244" spans="1:3" x14ac:dyDescent="0.2">
      <c r="A1244" s="43">
        <v>121792</v>
      </c>
      <c r="B1244" s="43" t="s">
        <v>1203</v>
      </c>
      <c r="C1244" s="43" t="s">
        <v>1296</v>
      </c>
    </row>
    <row r="1245" spans="1:3" x14ac:dyDescent="0.2">
      <c r="A1245" s="43">
        <v>121793</v>
      </c>
      <c r="B1245" s="43" t="s">
        <v>1203</v>
      </c>
      <c r="C1245" s="43" t="s">
        <v>1297</v>
      </c>
    </row>
    <row r="1246" spans="1:3" x14ac:dyDescent="0.2">
      <c r="A1246" s="43">
        <v>121794</v>
      </c>
      <c r="B1246" s="43" t="s">
        <v>1203</v>
      </c>
      <c r="C1246" s="43" t="s">
        <v>1298</v>
      </c>
    </row>
    <row r="1247" spans="1:3" x14ac:dyDescent="0.2">
      <c r="A1247" s="43">
        <v>121795</v>
      </c>
      <c r="B1247" s="43" t="s">
        <v>1203</v>
      </c>
      <c r="C1247" s="43" t="s">
        <v>1299</v>
      </c>
    </row>
    <row r="1248" spans="1:3" x14ac:dyDescent="0.2">
      <c r="A1248" s="43">
        <v>121796</v>
      </c>
      <c r="B1248" s="43" t="s">
        <v>1203</v>
      </c>
      <c r="C1248" s="43" t="s">
        <v>1300</v>
      </c>
    </row>
    <row r="1249" spans="1:3" x14ac:dyDescent="0.2">
      <c r="A1249" s="43">
        <v>121797</v>
      </c>
      <c r="B1249" s="43" t="s">
        <v>1203</v>
      </c>
      <c r="C1249" s="43" t="s">
        <v>1301</v>
      </c>
    </row>
    <row r="1250" spans="1:3" x14ac:dyDescent="0.2">
      <c r="A1250" s="43">
        <v>121798</v>
      </c>
      <c r="B1250" s="43" t="s">
        <v>1203</v>
      </c>
      <c r="C1250" s="43" t="s">
        <v>1302</v>
      </c>
    </row>
    <row r="1251" spans="1:3" x14ac:dyDescent="0.2">
      <c r="A1251" s="43">
        <v>121799</v>
      </c>
      <c r="B1251" s="43" t="s">
        <v>1203</v>
      </c>
      <c r="C1251" s="43" t="s">
        <v>1303</v>
      </c>
    </row>
    <row r="1252" spans="1:3" x14ac:dyDescent="0.2">
      <c r="A1252" s="43">
        <v>123000</v>
      </c>
      <c r="B1252" s="43" t="s">
        <v>1203</v>
      </c>
      <c r="C1252" s="43" t="s">
        <v>1304</v>
      </c>
    </row>
    <row r="1253" spans="1:3" x14ac:dyDescent="0.2">
      <c r="A1253" s="43">
        <v>123001</v>
      </c>
      <c r="B1253" s="43" t="s">
        <v>1203</v>
      </c>
      <c r="C1253" s="43" t="s">
        <v>1305</v>
      </c>
    </row>
    <row r="1254" spans="1:3" x14ac:dyDescent="0.2">
      <c r="A1254" s="43">
        <v>123002</v>
      </c>
      <c r="B1254" s="43" t="s">
        <v>1203</v>
      </c>
      <c r="C1254" s="43" t="s">
        <v>1306</v>
      </c>
    </row>
    <row r="1255" spans="1:3" x14ac:dyDescent="0.2">
      <c r="A1255" s="43">
        <v>123003</v>
      </c>
      <c r="B1255" s="43" t="s">
        <v>1203</v>
      </c>
      <c r="C1255" s="43" t="s">
        <v>1307</v>
      </c>
    </row>
    <row r="1256" spans="1:3" x14ac:dyDescent="0.2">
      <c r="A1256" s="43">
        <v>123004</v>
      </c>
      <c r="B1256" s="43" t="s">
        <v>1203</v>
      </c>
      <c r="C1256" s="43" t="s">
        <v>1308</v>
      </c>
    </row>
    <row r="1257" spans="1:3" x14ac:dyDescent="0.2">
      <c r="A1257" s="43">
        <v>123005</v>
      </c>
      <c r="B1257" s="43" t="s">
        <v>1203</v>
      </c>
      <c r="C1257" s="43" t="s">
        <v>1309</v>
      </c>
    </row>
    <row r="1258" spans="1:3" x14ac:dyDescent="0.2">
      <c r="A1258" s="43">
        <v>123100</v>
      </c>
      <c r="B1258" s="43" t="s">
        <v>1203</v>
      </c>
      <c r="C1258" s="43" t="s">
        <v>1310</v>
      </c>
    </row>
    <row r="1259" spans="1:3" x14ac:dyDescent="0.2">
      <c r="A1259" s="43">
        <v>123101</v>
      </c>
      <c r="B1259" s="43" t="s">
        <v>1203</v>
      </c>
      <c r="C1259" s="43" t="s">
        <v>1311</v>
      </c>
    </row>
    <row r="1260" spans="1:3" x14ac:dyDescent="0.2">
      <c r="A1260" s="43">
        <v>123102</v>
      </c>
      <c r="B1260" s="43" t="s">
        <v>1203</v>
      </c>
      <c r="C1260" s="43" t="s">
        <v>1312</v>
      </c>
    </row>
    <row r="1261" spans="1:3" x14ac:dyDescent="0.2">
      <c r="A1261" s="43">
        <v>123200</v>
      </c>
      <c r="B1261" s="43" t="s">
        <v>1203</v>
      </c>
      <c r="C1261" s="43" t="s">
        <v>1313</v>
      </c>
    </row>
    <row r="1262" spans="1:3" x14ac:dyDescent="0.2">
      <c r="A1262" s="43">
        <v>123201</v>
      </c>
      <c r="B1262" s="43" t="s">
        <v>1203</v>
      </c>
      <c r="C1262" s="43" t="s">
        <v>1314</v>
      </c>
    </row>
    <row r="1263" spans="1:3" x14ac:dyDescent="0.2">
      <c r="A1263" s="43">
        <v>123300</v>
      </c>
      <c r="B1263" s="43" t="s">
        <v>1203</v>
      </c>
      <c r="C1263" s="43" t="s">
        <v>1315</v>
      </c>
    </row>
    <row r="1264" spans="1:3" x14ac:dyDescent="0.2">
      <c r="A1264" s="43">
        <v>123301</v>
      </c>
      <c r="B1264" s="43" t="s">
        <v>1203</v>
      </c>
      <c r="C1264" s="43" t="s">
        <v>1316</v>
      </c>
    </row>
    <row r="1265" spans="1:3" x14ac:dyDescent="0.2">
      <c r="A1265" s="43">
        <v>123302</v>
      </c>
      <c r="B1265" s="43" t="s">
        <v>1203</v>
      </c>
      <c r="C1265" s="43" t="s">
        <v>1317</v>
      </c>
    </row>
    <row r="1266" spans="1:3" x14ac:dyDescent="0.2">
      <c r="A1266" s="43">
        <v>123303</v>
      </c>
      <c r="B1266" s="43" t="s">
        <v>1203</v>
      </c>
      <c r="C1266" s="43" t="s">
        <v>1318</v>
      </c>
    </row>
    <row r="1267" spans="1:3" x14ac:dyDescent="0.2">
      <c r="A1267" s="43">
        <v>123304</v>
      </c>
      <c r="B1267" s="43" t="s">
        <v>1203</v>
      </c>
      <c r="C1267" s="43" t="s">
        <v>1319</v>
      </c>
    </row>
    <row r="1268" spans="1:3" x14ac:dyDescent="0.2">
      <c r="A1268" s="43">
        <v>123305</v>
      </c>
      <c r="B1268" s="43" t="s">
        <v>1203</v>
      </c>
      <c r="C1268" s="43" t="s">
        <v>1320</v>
      </c>
    </row>
    <row r="1269" spans="1:3" x14ac:dyDescent="0.2">
      <c r="A1269" s="43">
        <v>123306</v>
      </c>
      <c r="B1269" s="43" t="s">
        <v>1203</v>
      </c>
      <c r="C1269" s="43" t="s">
        <v>1321</v>
      </c>
    </row>
    <row r="1270" spans="1:3" x14ac:dyDescent="0.2">
      <c r="A1270" s="43">
        <v>123307</v>
      </c>
      <c r="B1270" s="43" t="s">
        <v>1203</v>
      </c>
      <c r="C1270" s="43" t="s">
        <v>1322</v>
      </c>
    </row>
    <row r="1271" spans="1:3" x14ac:dyDescent="0.2">
      <c r="A1271" s="43">
        <v>123308</v>
      </c>
      <c r="B1271" s="43" t="s">
        <v>1203</v>
      </c>
      <c r="C1271" s="43" t="s">
        <v>1323</v>
      </c>
    </row>
    <row r="1272" spans="1:3" x14ac:dyDescent="0.2">
      <c r="A1272" s="43">
        <v>123309</v>
      </c>
      <c r="B1272" s="43" t="s">
        <v>1203</v>
      </c>
      <c r="C1272" s="43" t="s">
        <v>1324</v>
      </c>
    </row>
    <row r="1273" spans="1:3" x14ac:dyDescent="0.2">
      <c r="A1273" s="43">
        <v>123310</v>
      </c>
      <c r="B1273" s="43" t="s">
        <v>1203</v>
      </c>
      <c r="C1273" s="43" t="s">
        <v>1325</v>
      </c>
    </row>
    <row r="1274" spans="1:3" x14ac:dyDescent="0.2">
      <c r="A1274" s="43">
        <v>123311</v>
      </c>
      <c r="B1274" s="43" t="s">
        <v>1203</v>
      </c>
      <c r="C1274" s="43" t="s">
        <v>1326</v>
      </c>
    </row>
    <row r="1275" spans="1:3" x14ac:dyDescent="0.2">
      <c r="A1275" s="43">
        <v>123312</v>
      </c>
      <c r="B1275" s="43" t="s">
        <v>1203</v>
      </c>
      <c r="C1275" s="43" t="s">
        <v>1327</v>
      </c>
    </row>
    <row r="1276" spans="1:3" x14ac:dyDescent="0.2">
      <c r="A1276" s="43">
        <v>123313</v>
      </c>
      <c r="B1276" s="43" t="s">
        <v>1203</v>
      </c>
      <c r="C1276" s="43" t="s">
        <v>1328</v>
      </c>
    </row>
    <row r="1277" spans="1:3" x14ac:dyDescent="0.2">
      <c r="A1277" s="43">
        <v>123400</v>
      </c>
      <c r="B1277" s="43" t="s">
        <v>1203</v>
      </c>
      <c r="C1277" s="43" t="s">
        <v>1329</v>
      </c>
    </row>
    <row r="1278" spans="1:3" x14ac:dyDescent="0.2">
      <c r="A1278" s="43">
        <v>123401</v>
      </c>
      <c r="B1278" s="43" t="s">
        <v>1203</v>
      </c>
      <c r="C1278" s="43" t="s">
        <v>1330</v>
      </c>
    </row>
    <row r="1279" spans="1:3" x14ac:dyDescent="0.2">
      <c r="A1279" s="43">
        <v>123500</v>
      </c>
      <c r="B1279" s="43" t="s">
        <v>1203</v>
      </c>
      <c r="C1279" s="43" t="s">
        <v>1331</v>
      </c>
    </row>
    <row r="1280" spans="1:3" x14ac:dyDescent="0.2">
      <c r="A1280" s="43">
        <v>123501</v>
      </c>
      <c r="B1280" s="43" t="s">
        <v>1203</v>
      </c>
      <c r="C1280" s="43" t="s">
        <v>1332</v>
      </c>
    </row>
    <row r="1281" spans="1:3" x14ac:dyDescent="0.2">
      <c r="A1281" s="43">
        <v>123502</v>
      </c>
      <c r="B1281" s="43" t="s">
        <v>1203</v>
      </c>
      <c r="C1281" s="43" t="s">
        <v>1333</v>
      </c>
    </row>
    <row r="1282" spans="1:3" x14ac:dyDescent="0.2">
      <c r="A1282" s="43">
        <v>123503</v>
      </c>
      <c r="B1282" s="43" t="s">
        <v>1203</v>
      </c>
      <c r="C1282" s="43" t="s">
        <v>1334</v>
      </c>
    </row>
    <row r="1283" spans="1:3" x14ac:dyDescent="0.2">
      <c r="A1283" s="43">
        <v>123504</v>
      </c>
      <c r="B1283" s="43" t="s">
        <v>1203</v>
      </c>
      <c r="C1283" s="43" t="s">
        <v>1335</v>
      </c>
    </row>
    <row r="1284" spans="1:3" x14ac:dyDescent="0.2">
      <c r="A1284" s="43">
        <v>123505</v>
      </c>
      <c r="B1284" s="43" t="s">
        <v>1203</v>
      </c>
      <c r="C1284" s="43" t="s">
        <v>1336</v>
      </c>
    </row>
    <row r="1285" spans="1:3" x14ac:dyDescent="0.2">
      <c r="A1285" s="43">
        <v>123506</v>
      </c>
      <c r="B1285" s="43" t="s">
        <v>1203</v>
      </c>
      <c r="C1285" s="43" t="s">
        <v>1337</v>
      </c>
    </row>
    <row r="1286" spans="1:3" x14ac:dyDescent="0.2">
      <c r="A1286" s="43">
        <v>123510</v>
      </c>
      <c r="B1286" s="43" t="s">
        <v>1203</v>
      </c>
      <c r="C1286" s="43" t="s">
        <v>1338</v>
      </c>
    </row>
    <row r="1287" spans="1:3" x14ac:dyDescent="0.2">
      <c r="A1287" s="43">
        <v>123511</v>
      </c>
      <c r="B1287" s="43" t="s">
        <v>1203</v>
      </c>
      <c r="C1287" s="43" t="s">
        <v>1339</v>
      </c>
    </row>
    <row r="1288" spans="1:3" x14ac:dyDescent="0.2">
      <c r="A1288" s="43">
        <v>123512</v>
      </c>
      <c r="B1288" s="43" t="s">
        <v>1203</v>
      </c>
      <c r="C1288" s="43" t="s">
        <v>1340</v>
      </c>
    </row>
    <row r="1289" spans="1:3" x14ac:dyDescent="0.2">
      <c r="A1289" s="43">
        <v>123513</v>
      </c>
      <c r="B1289" s="43" t="s">
        <v>1203</v>
      </c>
      <c r="C1289" s="43" t="s">
        <v>1341</v>
      </c>
    </row>
    <row r="1290" spans="1:3" x14ac:dyDescent="0.2">
      <c r="A1290" s="43">
        <v>123514</v>
      </c>
      <c r="B1290" s="43" t="s">
        <v>1203</v>
      </c>
      <c r="C1290" s="43" t="s">
        <v>1342</v>
      </c>
    </row>
    <row r="1291" spans="1:3" x14ac:dyDescent="0.2">
      <c r="A1291" s="43">
        <v>123515</v>
      </c>
      <c r="B1291" s="43" t="s">
        <v>1203</v>
      </c>
      <c r="C1291" s="43" t="s">
        <v>1343</v>
      </c>
    </row>
    <row r="1292" spans="1:3" x14ac:dyDescent="0.2">
      <c r="A1292" s="43">
        <v>123516</v>
      </c>
      <c r="B1292" s="43" t="s">
        <v>1203</v>
      </c>
      <c r="C1292" s="43" t="s">
        <v>1344</v>
      </c>
    </row>
    <row r="1293" spans="1:3" x14ac:dyDescent="0.2">
      <c r="A1293" s="43">
        <v>123517</v>
      </c>
      <c r="B1293" s="43" t="s">
        <v>1203</v>
      </c>
      <c r="C1293" s="43" t="s">
        <v>1345</v>
      </c>
    </row>
    <row r="1294" spans="1:3" x14ac:dyDescent="0.2">
      <c r="A1294" s="43">
        <v>123518</v>
      </c>
      <c r="B1294" s="43" t="s">
        <v>1203</v>
      </c>
      <c r="C1294" s="43" t="s">
        <v>1346</v>
      </c>
    </row>
    <row r="1295" spans="1:3" x14ac:dyDescent="0.2">
      <c r="A1295" s="43">
        <v>123519</v>
      </c>
      <c r="B1295" s="43" t="s">
        <v>1203</v>
      </c>
      <c r="C1295" s="43" t="s">
        <v>1347</v>
      </c>
    </row>
    <row r="1296" spans="1:3" x14ac:dyDescent="0.2">
      <c r="A1296" s="43">
        <v>123520</v>
      </c>
      <c r="B1296" s="43" t="s">
        <v>1203</v>
      </c>
      <c r="C1296" s="43" t="s">
        <v>1348</v>
      </c>
    </row>
    <row r="1297" spans="1:3" x14ac:dyDescent="0.2">
      <c r="A1297" s="43">
        <v>123521</v>
      </c>
      <c r="B1297" s="43" t="s">
        <v>1203</v>
      </c>
      <c r="C1297" s="43" t="s">
        <v>1349</v>
      </c>
    </row>
    <row r="1298" spans="1:3" x14ac:dyDescent="0.2">
      <c r="A1298" s="43">
        <v>123522</v>
      </c>
      <c r="B1298" s="43" t="s">
        <v>1203</v>
      </c>
      <c r="C1298" s="43" t="s">
        <v>1350</v>
      </c>
    </row>
    <row r="1299" spans="1:3" x14ac:dyDescent="0.2">
      <c r="A1299" s="43">
        <v>123523</v>
      </c>
      <c r="B1299" s="43" t="s">
        <v>1203</v>
      </c>
      <c r="C1299" s="43" t="s">
        <v>1351</v>
      </c>
    </row>
    <row r="1300" spans="1:3" x14ac:dyDescent="0.2">
      <c r="A1300" s="43">
        <v>123530</v>
      </c>
      <c r="B1300" s="43" t="s">
        <v>1203</v>
      </c>
      <c r="C1300" s="43" t="s">
        <v>1352</v>
      </c>
    </row>
    <row r="1301" spans="1:3" x14ac:dyDescent="0.2">
      <c r="A1301" s="43">
        <v>123752</v>
      </c>
      <c r="B1301" s="43" t="s">
        <v>1203</v>
      </c>
      <c r="C1301" s="43" t="s">
        <v>1353</v>
      </c>
    </row>
    <row r="1302" spans="1:3" x14ac:dyDescent="0.2">
      <c r="A1302" s="43">
        <v>123753</v>
      </c>
      <c r="B1302" s="43" t="s">
        <v>1203</v>
      </c>
      <c r="C1302" s="43" t="s">
        <v>1354</v>
      </c>
    </row>
    <row r="1303" spans="1:3" x14ac:dyDescent="0.2">
      <c r="A1303" s="43">
        <v>130768</v>
      </c>
      <c r="B1303" s="43" t="s">
        <v>1355</v>
      </c>
      <c r="C1303" s="43" t="s">
        <v>1356</v>
      </c>
    </row>
    <row r="1304" spans="1:3" x14ac:dyDescent="0.2">
      <c r="A1304" s="43">
        <v>130769</v>
      </c>
      <c r="B1304" s="43" t="s">
        <v>1355</v>
      </c>
      <c r="C1304" s="43" t="s">
        <v>1357</v>
      </c>
    </row>
    <row r="1305" spans="1:3" x14ac:dyDescent="0.2">
      <c r="A1305" s="43">
        <v>130770</v>
      </c>
      <c r="B1305" s="43" t="s">
        <v>1355</v>
      </c>
      <c r="C1305" s="43" t="s">
        <v>1358</v>
      </c>
    </row>
    <row r="1306" spans="1:3" x14ac:dyDescent="0.2">
      <c r="A1306" s="43">
        <v>130771</v>
      </c>
      <c r="B1306" s="43" t="s">
        <v>1355</v>
      </c>
      <c r="C1306" s="43" t="s">
        <v>1359</v>
      </c>
    </row>
    <row r="1307" spans="1:3" x14ac:dyDescent="0.2">
      <c r="A1307" s="43">
        <v>130772</v>
      </c>
      <c r="B1307" s="43" t="s">
        <v>1355</v>
      </c>
      <c r="C1307" s="43" t="s">
        <v>1360</v>
      </c>
    </row>
    <row r="1308" spans="1:3" x14ac:dyDescent="0.2">
      <c r="A1308" s="43">
        <v>130773</v>
      </c>
      <c r="B1308" s="43" t="s">
        <v>1355</v>
      </c>
      <c r="C1308" s="43" t="s">
        <v>1361</v>
      </c>
    </row>
    <row r="1309" spans="1:3" x14ac:dyDescent="0.2">
      <c r="A1309" s="43">
        <v>130774</v>
      </c>
      <c r="B1309" s="43" t="s">
        <v>1355</v>
      </c>
      <c r="C1309" s="43" t="s">
        <v>1362</v>
      </c>
    </row>
    <row r="1310" spans="1:3" x14ac:dyDescent="0.2">
      <c r="A1310" s="43">
        <v>130776</v>
      </c>
      <c r="B1310" s="43" t="s">
        <v>1355</v>
      </c>
      <c r="C1310" s="43" t="s">
        <v>1363</v>
      </c>
    </row>
    <row r="1311" spans="1:3" x14ac:dyDescent="0.2">
      <c r="A1311" s="43">
        <v>130777</v>
      </c>
      <c r="B1311" s="43" t="s">
        <v>1355</v>
      </c>
      <c r="C1311" s="43" t="s">
        <v>1364</v>
      </c>
    </row>
    <row r="1312" spans="1:3" x14ac:dyDescent="0.2">
      <c r="A1312" s="43">
        <v>130778</v>
      </c>
      <c r="B1312" s="43" t="s">
        <v>1355</v>
      </c>
      <c r="C1312" s="43" t="s">
        <v>1365</v>
      </c>
    </row>
    <row r="1313" spans="1:3" x14ac:dyDescent="0.2">
      <c r="A1313" s="43">
        <v>130779</v>
      </c>
      <c r="B1313" s="43" t="s">
        <v>1355</v>
      </c>
      <c r="C1313" s="43" t="s">
        <v>1366</v>
      </c>
    </row>
    <row r="1314" spans="1:3" x14ac:dyDescent="0.2">
      <c r="A1314" s="43">
        <v>130780</v>
      </c>
      <c r="B1314" s="43" t="s">
        <v>1355</v>
      </c>
      <c r="C1314" s="43" t="s">
        <v>1367</v>
      </c>
    </row>
    <row r="1315" spans="1:3" x14ac:dyDescent="0.2">
      <c r="A1315" s="43">
        <v>131768</v>
      </c>
      <c r="B1315" s="43" t="s">
        <v>1355</v>
      </c>
      <c r="C1315" s="43" t="s">
        <v>1368</v>
      </c>
    </row>
    <row r="1316" spans="1:3" x14ac:dyDescent="0.2">
      <c r="A1316" s="43">
        <v>131769</v>
      </c>
      <c r="B1316" s="43" t="s">
        <v>1355</v>
      </c>
      <c r="C1316" s="43" t="s">
        <v>1369</v>
      </c>
    </row>
    <row r="1317" spans="1:3" x14ac:dyDescent="0.2">
      <c r="A1317" s="43">
        <v>131770</v>
      </c>
      <c r="B1317" s="43" t="s">
        <v>1355</v>
      </c>
      <c r="C1317" s="43" t="s">
        <v>1370</v>
      </c>
    </row>
    <row r="1318" spans="1:3" x14ac:dyDescent="0.2">
      <c r="A1318" s="43">
        <v>131771</v>
      </c>
      <c r="B1318" s="43" t="s">
        <v>1355</v>
      </c>
      <c r="C1318" s="43" t="s">
        <v>1371</v>
      </c>
    </row>
    <row r="1319" spans="1:3" x14ac:dyDescent="0.2">
      <c r="A1319" s="43">
        <v>131772</v>
      </c>
      <c r="B1319" s="43" t="s">
        <v>1355</v>
      </c>
      <c r="C1319" s="43" t="s">
        <v>1372</v>
      </c>
    </row>
    <row r="1320" spans="1:3" x14ac:dyDescent="0.2">
      <c r="A1320" s="43">
        <v>131773</v>
      </c>
      <c r="B1320" s="43" t="s">
        <v>1355</v>
      </c>
      <c r="C1320" s="43" t="s">
        <v>1373</v>
      </c>
    </row>
    <row r="1321" spans="1:3" x14ac:dyDescent="0.2">
      <c r="A1321" s="43">
        <v>131774</v>
      </c>
      <c r="B1321" s="43" t="s">
        <v>1355</v>
      </c>
      <c r="C1321" s="43" t="s">
        <v>1374</v>
      </c>
    </row>
    <row r="1322" spans="1:3" x14ac:dyDescent="0.2">
      <c r="A1322" s="43">
        <v>131776</v>
      </c>
      <c r="B1322" s="43" t="s">
        <v>1355</v>
      </c>
      <c r="C1322" s="43" t="s">
        <v>1375</v>
      </c>
    </row>
    <row r="1323" spans="1:3" x14ac:dyDescent="0.2">
      <c r="A1323" s="43">
        <v>131777</v>
      </c>
      <c r="B1323" s="43" t="s">
        <v>1355</v>
      </c>
      <c r="C1323" s="43" t="s">
        <v>1376</v>
      </c>
    </row>
    <row r="1324" spans="1:3" x14ac:dyDescent="0.2">
      <c r="A1324" s="43">
        <v>131778</v>
      </c>
      <c r="B1324" s="43" t="s">
        <v>1355</v>
      </c>
      <c r="C1324" s="43" t="s">
        <v>1377</v>
      </c>
    </row>
    <row r="1325" spans="1:3" x14ac:dyDescent="0.2">
      <c r="A1325" s="43">
        <v>131779</v>
      </c>
      <c r="B1325" s="43" t="s">
        <v>1355</v>
      </c>
      <c r="C1325" s="43" t="s">
        <v>1378</v>
      </c>
    </row>
    <row r="1326" spans="1:3" x14ac:dyDescent="0.2">
      <c r="A1326" s="43">
        <v>131780</v>
      </c>
      <c r="B1326" s="43" t="s">
        <v>1355</v>
      </c>
      <c r="C1326" s="43" t="s">
        <v>1379</v>
      </c>
    </row>
    <row r="1327" spans="1:3" x14ac:dyDescent="0.2">
      <c r="A1327" s="43">
        <v>133000</v>
      </c>
      <c r="B1327" s="43" t="s">
        <v>1355</v>
      </c>
      <c r="C1327" s="43" t="s">
        <v>1380</v>
      </c>
    </row>
    <row r="1328" spans="1:3" x14ac:dyDescent="0.2">
      <c r="A1328" s="43">
        <v>133002</v>
      </c>
      <c r="B1328" s="43" t="s">
        <v>1355</v>
      </c>
      <c r="C1328" s="43" t="s">
        <v>1381</v>
      </c>
    </row>
    <row r="1329" spans="1:6" x14ac:dyDescent="0.2">
      <c r="A1329" s="43">
        <v>133003</v>
      </c>
      <c r="B1329" s="43" t="s">
        <v>1355</v>
      </c>
      <c r="C1329" s="43" t="s">
        <v>1382</v>
      </c>
    </row>
    <row r="1330" spans="1:6" x14ac:dyDescent="0.2">
      <c r="A1330" s="43">
        <v>133004</v>
      </c>
      <c r="B1330" s="43" t="s">
        <v>1355</v>
      </c>
      <c r="C1330" s="43" t="s">
        <v>1383</v>
      </c>
    </row>
    <row r="1331" spans="1:6" x14ac:dyDescent="0.2">
      <c r="A1331" s="43">
        <v>133005</v>
      </c>
      <c r="B1331" s="43" t="s">
        <v>1355</v>
      </c>
      <c r="C1331" s="43" t="s">
        <v>1384</v>
      </c>
    </row>
    <row r="1332" spans="1:6" x14ac:dyDescent="0.2">
      <c r="A1332" s="44">
        <v>3004</v>
      </c>
      <c r="B1332" s="44"/>
      <c r="C1332" s="44" t="s">
        <v>1385</v>
      </c>
      <c r="D1332" s="31"/>
      <c r="E1332" s="31"/>
      <c r="F1332" s="31"/>
    </row>
    <row r="1333" spans="1:6" x14ac:dyDescent="0.2">
      <c r="A1333" s="44">
        <v>3005</v>
      </c>
      <c r="B1333" s="44"/>
      <c r="C1333" s="44" t="s">
        <v>1386</v>
      </c>
      <c r="D1333" s="31"/>
      <c r="E1333" s="31"/>
      <c r="F1333" s="31"/>
    </row>
    <row r="1334" spans="1:6" x14ac:dyDescent="0.2">
      <c r="A1334" s="44">
        <v>3006</v>
      </c>
      <c r="B1334" s="44"/>
      <c r="C1334" s="44" t="s">
        <v>1387</v>
      </c>
      <c r="D1334" s="31"/>
      <c r="E1334" s="31"/>
      <c r="F1334" s="31"/>
    </row>
    <row r="1335" spans="1:6" x14ac:dyDescent="0.2">
      <c r="A1335" s="44">
        <v>10162</v>
      </c>
      <c r="B1335" s="44"/>
      <c r="C1335" s="44" t="s">
        <v>1388</v>
      </c>
      <c r="D1335" s="31"/>
      <c r="E1335" s="31"/>
      <c r="F1335" s="31"/>
    </row>
    <row r="1336" spans="1:6" x14ac:dyDescent="0.2">
      <c r="A1336" s="44">
        <v>10170</v>
      </c>
      <c r="B1336" s="44"/>
      <c r="C1336" s="44" t="s">
        <v>1389</v>
      </c>
      <c r="D1336" s="31"/>
      <c r="E1336" s="31"/>
      <c r="F1336" s="31"/>
    </row>
    <row r="1337" spans="1:6" x14ac:dyDescent="0.2">
      <c r="A1337" s="44">
        <v>12018</v>
      </c>
      <c r="B1337" s="44"/>
      <c r="C1337" s="44" t="s">
        <v>1390</v>
      </c>
      <c r="D1337" s="31"/>
      <c r="E1337" s="31"/>
      <c r="F1337" s="31"/>
    </row>
    <row r="1338" spans="1:6" x14ac:dyDescent="0.2">
      <c r="A1338" s="44">
        <v>12018</v>
      </c>
      <c r="B1338" s="44"/>
      <c r="C1338" s="44" t="s">
        <v>1391</v>
      </c>
      <c r="D1338" s="31"/>
      <c r="E1338" s="31"/>
      <c r="F1338" s="31"/>
    </row>
    <row r="1339" spans="1:6" x14ac:dyDescent="0.2">
      <c r="A1339" s="44">
        <v>12019</v>
      </c>
      <c r="B1339" s="44"/>
      <c r="C1339" s="44" t="s">
        <v>1392</v>
      </c>
      <c r="D1339" s="31"/>
      <c r="E1339" s="31"/>
      <c r="F1339" s="31"/>
    </row>
    <row r="1340" spans="1:6" x14ac:dyDescent="0.2">
      <c r="A1340" s="44">
        <v>12019</v>
      </c>
      <c r="B1340" s="44"/>
      <c r="C1340" s="44" t="s">
        <v>1393</v>
      </c>
      <c r="D1340" s="31"/>
      <c r="E1340" s="31"/>
      <c r="F1340" s="31"/>
    </row>
    <row r="1341" spans="1:6" x14ac:dyDescent="0.2">
      <c r="A1341" s="44">
        <v>13000</v>
      </c>
      <c r="B1341" s="44"/>
      <c r="C1341" s="44" t="s">
        <v>1394</v>
      </c>
      <c r="D1341" s="31"/>
      <c r="E1341" s="31"/>
      <c r="F1341" s="31"/>
    </row>
    <row r="1342" spans="1:6" x14ac:dyDescent="0.2">
      <c r="A1342" s="44">
        <v>13001</v>
      </c>
      <c r="B1342" s="44"/>
      <c r="C1342" s="44" t="s">
        <v>1395</v>
      </c>
      <c r="D1342" s="31"/>
      <c r="E1342" s="31"/>
      <c r="F1342" s="31"/>
    </row>
    <row r="1343" spans="1:6" x14ac:dyDescent="0.2">
      <c r="A1343" s="44">
        <v>13100</v>
      </c>
      <c r="B1343" s="44"/>
      <c r="C1343" s="44" t="s">
        <v>1396</v>
      </c>
      <c r="D1343" s="31"/>
      <c r="E1343" s="31"/>
      <c r="F1343" s="31"/>
    </row>
    <row r="1344" spans="1:6" x14ac:dyDescent="0.2">
      <c r="A1344" s="44">
        <v>13101</v>
      </c>
      <c r="B1344" s="44"/>
      <c r="C1344" s="44" t="s">
        <v>1397</v>
      </c>
      <c r="D1344" s="31"/>
      <c r="E1344" s="31"/>
      <c r="F1344" s="31"/>
    </row>
    <row r="1345" spans="1:13" x14ac:dyDescent="0.2">
      <c r="A1345" s="44">
        <v>20176</v>
      </c>
      <c r="B1345" s="44"/>
      <c r="C1345" s="44" t="s">
        <v>1398</v>
      </c>
      <c r="D1345" s="31"/>
      <c r="E1345" s="31"/>
      <c r="F1345" s="31"/>
    </row>
    <row r="1346" spans="1:13" x14ac:dyDescent="0.2">
      <c r="A1346" s="44">
        <v>20177</v>
      </c>
      <c r="B1346" s="44"/>
      <c r="C1346" s="44" t="s">
        <v>1399</v>
      </c>
      <c r="D1346" s="31"/>
      <c r="E1346" s="31"/>
      <c r="F1346" s="31"/>
    </row>
    <row r="1347" spans="1:13" x14ac:dyDescent="0.2">
      <c r="A1347" s="44">
        <v>20178</v>
      </c>
      <c r="B1347" s="44"/>
      <c r="C1347" s="44" t="s">
        <v>1400</v>
      </c>
      <c r="D1347" s="31"/>
      <c r="E1347" s="31"/>
      <c r="F1347" s="31"/>
    </row>
    <row r="1348" spans="1:13" x14ac:dyDescent="0.2">
      <c r="A1348" s="44">
        <v>20179</v>
      </c>
      <c r="B1348" s="44"/>
      <c r="C1348" s="44" t="s">
        <v>1401</v>
      </c>
      <c r="D1348" s="31"/>
      <c r="E1348" s="31"/>
      <c r="F1348" s="31"/>
    </row>
    <row r="1349" spans="1:13" x14ac:dyDescent="0.2">
      <c r="A1349" s="44">
        <v>21212</v>
      </c>
      <c r="B1349" s="44"/>
      <c r="C1349" s="44" t="s">
        <v>1402</v>
      </c>
      <c r="D1349" s="31"/>
      <c r="E1349" s="31"/>
      <c r="F1349" s="31"/>
    </row>
    <row r="1350" spans="1:13" x14ac:dyDescent="0.2">
      <c r="A1350" s="44">
        <v>20188</v>
      </c>
      <c r="B1350" s="44"/>
      <c r="C1350" s="44" t="s">
        <v>1403</v>
      </c>
      <c r="D1350" s="31"/>
      <c r="E1350" s="31"/>
      <c r="F1350" s="31"/>
    </row>
    <row r="1351" spans="1:13" x14ac:dyDescent="0.2">
      <c r="A1351" s="44">
        <v>20189</v>
      </c>
      <c r="B1351" s="44"/>
      <c r="C1351" s="44" t="s">
        <v>1404</v>
      </c>
      <c r="D1351" s="31"/>
      <c r="E1351" s="31"/>
      <c r="F1351" s="31"/>
    </row>
    <row r="1352" spans="1:13" x14ac:dyDescent="0.2">
      <c r="A1352" s="44">
        <v>20190</v>
      </c>
      <c r="B1352" s="44"/>
      <c r="C1352" s="44" t="s">
        <v>1405</v>
      </c>
      <c r="D1352" s="31"/>
      <c r="E1352" s="31"/>
      <c r="F1352" s="31"/>
    </row>
    <row r="1353" spans="1:13" x14ac:dyDescent="0.2">
      <c r="A1353" s="44">
        <v>21218</v>
      </c>
      <c r="B1353" s="44"/>
      <c r="C1353" s="42" t="s">
        <v>1406</v>
      </c>
      <c r="D1353" s="32"/>
      <c r="E1353" s="32"/>
      <c r="F1353" s="32"/>
    </row>
    <row r="1354" spans="1:13" x14ac:dyDescent="0.2">
      <c r="A1354" s="44">
        <v>21219</v>
      </c>
      <c r="B1354" s="44"/>
      <c r="C1354" s="42" t="s">
        <v>1407</v>
      </c>
      <c r="D1354" s="32"/>
      <c r="E1354" s="32"/>
      <c r="F1354" s="32"/>
    </row>
    <row r="1355" spans="1:13" x14ac:dyDescent="0.2">
      <c r="A1355" s="44">
        <v>21220</v>
      </c>
      <c r="B1355" s="44"/>
      <c r="C1355" s="42" t="s">
        <v>1408</v>
      </c>
      <c r="D1355" s="33"/>
      <c r="E1355" s="34"/>
      <c r="F1355" s="33"/>
    </row>
    <row r="1356" spans="1:13" x14ac:dyDescent="0.2">
      <c r="A1356" s="44">
        <v>21221</v>
      </c>
      <c r="B1356" s="44"/>
      <c r="C1356" s="42" t="s">
        <v>1409</v>
      </c>
      <c r="D1356" s="33"/>
      <c r="E1356" s="34"/>
      <c r="F1356" s="33"/>
      <c r="G1356" s="35"/>
      <c r="H1356" s="35"/>
      <c r="I1356" s="35"/>
      <c r="J1356" s="35"/>
      <c r="K1356" s="35"/>
      <c r="L1356" s="35"/>
      <c r="M1356" s="35"/>
    </row>
    <row r="1357" spans="1:13" x14ac:dyDescent="0.2">
      <c r="A1357" s="44">
        <v>22032</v>
      </c>
      <c r="B1357" s="44"/>
      <c r="C1357" s="44" t="s">
        <v>1410</v>
      </c>
      <c r="D1357" s="31"/>
      <c r="E1357" s="31"/>
      <c r="F1357" s="31"/>
      <c r="G1357" s="35"/>
      <c r="H1357" s="35"/>
      <c r="I1357" s="35"/>
      <c r="J1357" s="35"/>
      <c r="K1357" s="35"/>
      <c r="L1357" s="35"/>
      <c r="M1357" s="35"/>
    </row>
    <row r="1358" spans="1:13" x14ac:dyDescent="0.2">
      <c r="A1358" s="44">
        <v>31257</v>
      </c>
      <c r="B1358" s="44"/>
      <c r="C1358" s="44" t="s">
        <v>1411</v>
      </c>
      <c r="D1358" s="31"/>
      <c r="E1358" s="31"/>
      <c r="F1358" s="31"/>
      <c r="G1358" s="36"/>
      <c r="H1358" s="37"/>
      <c r="I1358" s="36"/>
      <c r="J1358" s="37"/>
      <c r="K1358" s="36"/>
      <c r="L1358" s="37"/>
      <c r="M1358" s="36"/>
    </row>
    <row r="1359" spans="1:13" x14ac:dyDescent="0.2">
      <c r="A1359" s="44">
        <v>32035</v>
      </c>
      <c r="B1359" s="44"/>
      <c r="C1359" s="44" t="s">
        <v>1412</v>
      </c>
      <c r="D1359" s="31"/>
      <c r="E1359" s="31"/>
      <c r="F1359" s="31"/>
      <c r="G1359" s="36"/>
      <c r="H1359" s="37"/>
      <c r="I1359" s="36"/>
      <c r="J1359" s="37"/>
      <c r="K1359" s="36"/>
      <c r="L1359" s="37"/>
      <c r="M1359" s="36"/>
    </row>
    <row r="1360" spans="1:13" x14ac:dyDescent="0.2">
      <c r="A1360" s="44">
        <v>32036</v>
      </c>
      <c r="B1360" s="44"/>
      <c r="C1360" s="44" t="s">
        <v>1413</v>
      </c>
      <c r="D1360" s="31"/>
      <c r="E1360" s="31"/>
      <c r="F1360" s="31"/>
    </row>
    <row r="1361" spans="1:6" x14ac:dyDescent="0.2">
      <c r="A1361" s="44">
        <v>32037</v>
      </c>
      <c r="B1361" s="44"/>
      <c r="C1361" s="44" t="s">
        <v>1414</v>
      </c>
      <c r="D1361" s="31"/>
      <c r="E1361" s="31"/>
      <c r="F1361" s="31"/>
    </row>
    <row r="1362" spans="1:6" x14ac:dyDescent="0.2">
      <c r="A1362" s="44">
        <v>42046</v>
      </c>
      <c r="B1362" s="44"/>
      <c r="C1362" s="44" t="s">
        <v>1415</v>
      </c>
      <c r="D1362" s="31"/>
      <c r="E1362" s="31"/>
      <c r="F1362" s="31"/>
    </row>
    <row r="1363" spans="1:6" x14ac:dyDescent="0.2">
      <c r="A1363" s="44">
        <v>43000</v>
      </c>
      <c r="B1363" s="44"/>
      <c r="C1363" s="44" t="s">
        <v>1416</v>
      </c>
      <c r="D1363" s="31"/>
      <c r="E1363" s="31"/>
      <c r="F1363" s="31"/>
    </row>
    <row r="1364" spans="1:6" x14ac:dyDescent="0.2">
      <c r="A1364" s="44">
        <v>50330</v>
      </c>
      <c r="B1364" s="44"/>
      <c r="C1364" s="44" t="s">
        <v>1417</v>
      </c>
      <c r="D1364" s="31"/>
      <c r="E1364" s="31"/>
      <c r="F1364" s="31"/>
    </row>
    <row r="1365" spans="1:6" x14ac:dyDescent="0.2">
      <c r="A1365" s="44">
        <v>50334</v>
      </c>
      <c r="B1365" s="44"/>
      <c r="C1365" s="44" t="s">
        <v>1418</v>
      </c>
      <c r="D1365" s="31"/>
      <c r="E1365" s="31"/>
      <c r="F1365" s="31"/>
    </row>
    <row r="1366" spans="1:6" x14ac:dyDescent="0.2">
      <c r="A1366" s="44">
        <v>51330</v>
      </c>
      <c r="B1366" s="44"/>
      <c r="C1366" s="44" t="s">
        <v>1419</v>
      </c>
      <c r="D1366" s="31"/>
      <c r="E1366" s="31"/>
      <c r="F1366" s="31"/>
    </row>
    <row r="1367" spans="1:6" x14ac:dyDescent="0.2">
      <c r="A1367" s="44">
        <v>51332</v>
      </c>
      <c r="B1367" s="44"/>
      <c r="C1367" s="44" t="s">
        <v>1420</v>
      </c>
      <c r="D1367" s="31"/>
      <c r="E1367" s="31"/>
      <c r="F1367" s="31"/>
    </row>
    <row r="1368" spans="1:6" x14ac:dyDescent="0.2">
      <c r="A1368" s="44">
        <v>52047</v>
      </c>
      <c r="B1368" s="44"/>
      <c r="C1368" s="44" t="s">
        <v>1421</v>
      </c>
      <c r="D1368" s="31"/>
      <c r="E1368" s="31"/>
      <c r="F1368" s="31"/>
    </row>
    <row r="1369" spans="1:6" x14ac:dyDescent="0.2">
      <c r="A1369" s="44">
        <v>52048</v>
      </c>
      <c r="B1369" s="44"/>
      <c r="C1369" s="44" t="s">
        <v>1422</v>
      </c>
      <c r="D1369" s="31"/>
      <c r="E1369" s="31"/>
      <c r="F1369" s="31"/>
    </row>
    <row r="1370" spans="1:6" x14ac:dyDescent="0.2">
      <c r="A1370" s="44">
        <v>52049</v>
      </c>
      <c r="B1370" s="44"/>
      <c r="C1370" s="44" t="s">
        <v>1423</v>
      </c>
      <c r="D1370" s="31"/>
      <c r="E1370" s="31"/>
      <c r="F1370" s="31"/>
    </row>
    <row r="1371" spans="1:6" x14ac:dyDescent="0.2">
      <c r="A1371" s="44">
        <v>53000</v>
      </c>
      <c r="B1371" s="44"/>
      <c r="C1371" s="44" t="s">
        <v>1424</v>
      </c>
      <c r="D1371" s="31"/>
      <c r="E1371" s="31"/>
      <c r="F1371" s="31"/>
    </row>
    <row r="1372" spans="1:6" x14ac:dyDescent="0.2">
      <c r="A1372" s="44">
        <v>53001</v>
      </c>
      <c r="B1372" s="44"/>
      <c r="C1372" s="44" t="s">
        <v>1425</v>
      </c>
      <c r="D1372" s="31"/>
      <c r="E1372" s="31"/>
      <c r="F1372" s="31"/>
    </row>
    <row r="1373" spans="1:6" x14ac:dyDescent="0.2">
      <c r="A1373" s="44">
        <v>53002</v>
      </c>
      <c r="B1373" s="44"/>
      <c r="C1373" s="44" t="s">
        <v>1426</v>
      </c>
      <c r="D1373" s="31"/>
      <c r="E1373" s="31"/>
      <c r="F1373" s="31"/>
    </row>
    <row r="1374" spans="1:6" x14ac:dyDescent="0.2">
      <c r="A1374" s="44">
        <v>53003</v>
      </c>
      <c r="B1374" s="44"/>
      <c r="C1374" s="44" t="s">
        <v>1427</v>
      </c>
      <c r="D1374" s="31"/>
      <c r="E1374" s="31"/>
      <c r="F1374" s="31"/>
    </row>
    <row r="1375" spans="1:6" x14ac:dyDescent="0.2">
      <c r="A1375" s="45">
        <v>63006</v>
      </c>
      <c r="B1375" s="44"/>
      <c r="C1375" s="45" t="s">
        <v>1428</v>
      </c>
      <c r="D1375" s="31"/>
      <c r="E1375" s="31"/>
      <c r="F1375" s="31"/>
    </row>
    <row r="1376" spans="1:6" x14ac:dyDescent="0.2">
      <c r="A1376" s="44">
        <v>62055</v>
      </c>
      <c r="B1376" s="44"/>
      <c r="C1376" s="44" t="s">
        <v>1429</v>
      </c>
      <c r="D1376" s="31"/>
      <c r="E1376" s="31"/>
      <c r="F1376" s="31"/>
    </row>
    <row r="1377" spans="1:6" x14ac:dyDescent="0.2">
      <c r="A1377" s="44">
        <v>62056</v>
      </c>
      <c r="B1377" s="44"/>
      <c r="C1377" s="44" t="s">
        <v>1430</v>
      </c>
      <c r="D1377" s="31"/>
      <c r="E1377" s="31"/>
      <c r="F1377" s="31"/>
    </row>
    <row r="1378" spans="1:6" x14ac:dyDescent="0.2">
      <c r="A1378" s="44">
        <v>62057</v>
      </c>
      <c r="B1378" s="44"/>
      <c r="C1378" s="44" t="s">
        <v>1431</v>
      </c>
      <c r="D1378" s="31"/>
      <c r="E1378" s="31"/>
      <c r="F1378" s="31"/>
    </row>
    <row r="1379" spans="1:6" x14ac:dyDescent="0.2">
      <c r="A1379" s="44">
        <v>62058</v>
      </c>
      <c r="B1379" s="44"/>
      <c r="C1379" s="44" t="s">
        <v>1432</v>
      </c>
      <c r="D1379" s="31"/>
      <c r="E1379" s="31"/>
      <c r="F1379" s="31"/>
    </row>
    <row r="1380" spans="1:6" x14ac:dyDescent="0.2">
      <c r="A1380" s="44">
        <v>62059</v>
      </c>
      <c r="B1380" s="44"/>
      <c r="C1380" s="44" t="s">
        <v>1433</v>
      </c>
      <c r="D1380" s="31"/>
      <c r="E1380" s="31"/>
      <c r="F1380" s="31"/>
    </row>
    <row r="1381" spans="1:6" x14ac:dyDescent="0.2">
      <c r="A1381" s="44">
        <v>62060</v>
      </c>
      <c r="B1381" s="44"/>
      <c r="C1381" s="44" t="s">
        <v>1434</v>
      </c>
      <c r="D1381" s="31"/>
      <c r="E1381" s="31"/>
      <c r="F1381" s="31"/>
    </row>
    <row r="1382" spans="1:6" x14ac:dyDescent="0.2">
      <c r="A1382" s="44">
        <v>62061</v>
      </c>
      <c r="B1382" s="44"/>
      <c r="C1382" s="44" t="s">
        <v>1435</v>
      </c>
      <c r="D1382" s="31"/>
      <c r="E1382" s="31"/>
      <c r="F1382" s="31"/>
    </row>
    <row r="1383" spans="1:6" x14ac:dyDescent="0.2">
      <c r="A1383" s="44">
        <v>62062</v>
      </c>
      <c r="B1383" s="44"/>
      <c r="C1383" s="44" t="s">
        <v>1436</v>
      </c>
      <c r="D1383" s="31"/>
      <c r="E1383" s="31"/>
      <c r="F1383" s="31"/>
    </row>
    <row r="1384" spans="1:6" x14ac:dyDescent="0.2">
      <c r="A1384" s="44">
        <v>63001</v>
      </c>
      <c r="B1384" s="44"/>
      <c r="C1384" s="44" t="s">
        <v>1437</v>
      </c>
      <c r="D1384" s="31"/>
      <c r="E1384" s="31"/>
      <c r="F1384" s="31"/>
    </row>
    <row r="1385" spans="1:6" x14ac:dyDescent="0.2">
      <c r="A1385" s="44">
        <v>63002</v>
      </c>
      <c r="B1385" s="44"/>
      <c r="C1385" s="44" t="s">
        <v>1438</v>
      </c>
      <c r="D1385" s="31"/>
      <c r="E1385" s="31"/>
      <c r="F1385" s="31"/>
    </row>
    <row r="1386" spans="1:6" x14ac:dyDescent="0.2">
      <c r="A1386" s="44">
        <v>63003</v>
      </c>
      <c r="B1386" s="44"/>
      <c r="C1386" s="44" t="s">
        <v>1439</v>
      </c>
      <c r="D1386" s="31"/>
      <c r="E1386" s="31"/>
      <c r="F1386" s="31"/>
    </row>
    <row r="1387" spans="1:6" x14ac:dyDescent="0.2">
      <c r="A1387" s="44">
        <v>63004</v>
      </c>
      <c r="B1387" s="44"/>
      <c r="C1387" s="44" t="s">
        <v>1440</v>
      </c>
      <c r="D1387" s="31"/>
      <c r="E1387" s="31"/>
      <c r="F1387" s="31"/>
    </row>
    <row r="1388" spans="1:6" x14ac:dyDescent="0.2">
      <c r="A1388" s="44">
        <v>63005</v>
      </c>
      <c r="B1388" s="44"/>
      <c r="C1388" s="44" t="s">
        <v>1441</v>
      </c>
      <c r="D1388" s="31"/>
      <c r="E1388" s="31"/>
      <c r="F1388" s="31"/>
    </row>
    <row r="1389" spans="1:6" x14ac:dyDescent="0.2">
      <c r="A1389" s="44">
        <v>63010</v>
      </c>
      <c r="B1389" s="44"/>
      <c r="C1389" s="44" t="s">
        <v>1442</v>
      </c>
      <c r="D1389" s="31"/>
      <c r="E1389" s="31"/>
      <c r="F1389" s="31"/>
    </row>
    <row r="1390" spans="1:6" x14ac:dyDescent="0.2">
      <c r="A1390" s="44">
        <v>63011</v>
      </c>
      <c r="B1390" s="44"/>
      <c r="C1390" s="44" t="s">
        <v>1443</v>
      </c>
      <c r="D1390" s="31"/>
      <c r="E1390" s="31"/>
      <c r="F1390" s="31"/>
    </row>
    <row r="1391" spans="1:6" x14ac:dyDescent="0.2">
      <c r="A1391" s="44">
        <v>63014</v>
      </c>
      <c r="B1391" s="44"/>
      <c r="C1391" s="44" t="s">
        <v>1444</v>
      </c>
      <c r="D1391" s="31"/>
      <c r="E1391" s="31"/>
      <c r="F1391" s="31"/>
    </row>
    <row r="1392" spans="1:6" x14ac:dyDescent="0.2">
      <c r="A1392" s="44">
        <v>63020</v>
      </c>
      <c r="B1392" s="44"/>
      <c r="C1392" s="44" t="s">
        <v>1445</v>
      </c>
      <c r="D1392" s="31"/>
      <c r="E1392" s="31"/>
      <c r="F1392" s="31"/>
    </row>
    <row r="1393" spans="1:6" x14ac:dyDescent="0.2">
      <c r="A1393" s="44">
        <v>63022</v>
      </c>
      <c r="B1393" s="44"/>
      <c r="C1393" s="44" t="s">
        <v>1446</v>
      </c>
      <c r="D1393" s="31"/>
      <c r="E1393" s="31"/>
      <c r="F1393" s="31"/>
    </row>
    <row r="1394" spans="1:6" x14ac:dyDescent="0.2">
      <c r="A1394" s="44">
        <v>72073</v>
      </c>
      <c r="B1394" s="44"/>
      <c r="C1394" s="44" t="s">
        <v>1447</v>
      </c>
      <c r="D1394" s="31"/>
      <c r="E1394" s="31"/>
      <c r="F1394" s="31"/>
    </row>
    <row r="1395" spans="1:6" x14ac:dyDescent="0.2">
      <c r="A1395" s="44">
        <v>72076</v>
      </c>
      <c r="B1395" s="44"/>
      <c r="C1395" s="44" t="s">
        <v>1448</v>
      </c>
      <c r="D1395" s="31"/>
      <c r="E1395" s="31"/>
      <c r="F1395" s="31"/>
    </row>
    <row r="1396" spans="1:6" x14ac:dyDescent="0.2">
      <c r="A1396" s="44">
        <v>72078</v>
      </c>
      <c r="B1396" s="44"/>
      <c r="C1396" s="44" t="s">
        <v>1449</v>
      </c>
      <c r="D1396" s="31"/>
      <c r="E1396" s="31"/>
      <c r="F1396" s="31"/>
    </row>
    <row r="1397" spans="1:6" x14ac:dyDescent="0.2">
      <c r="A1397" s="44">
        <v>73001</v>
      </c>
      <c r="B1397" s="44"/>
      <c r="C1397" s="44" t="s">
        <v>1450</v>
      </c>
      <c r="D1397" s="31"/>
      <c r="E1397" s="31"/>
      <c r="F1397" s="31"/>
    </row>
    <row r="1398" spans="1:6" x14ac:dyDescent="0.2">
      <c r="A1398" s="44">
        <v>73002</v>
      </c>
      <c r="B1398" s="44"/>
      <c r="C1398" s="44" t="s">
        <v>1451</v>
      </c>
      <c r="D1398" s="31"/>
      <c r="E1398" s="31"/>
      <c r="F1398" s="31"/>
    </row>
    <row r="1399" spans="1:6" x14ac:dyDescent="0.2">
      <c r="A1399" s="44">
        <v>73003</v>
      </c>
      <c r="B1399" s="44"/>
      <c r="C1399" s="44" t="s">
        <v>1452</v>
      </c>
      <c r="D1399" s="31"/>
      <c r="E1399" s="31"/>
      <c r="F1399" s="31"/>
    </row>
    <row r="1400" spans="1:6" x14ac:dyDescent="0.2">
      <c r="A1400" s="44">
        <v>73004</v>
      </c>
      <c r="B1400" s="44"/>
      <c r="C1400" s="44" t="s">
        <v>1453</v>
      </c>
      <c r="D1400" s="31"/>
      <c r="E1400" s="31"/>
      <c r="F1400" s="31"/>
    </row>
    <row r="1401" spans="1:6" x14ac:dyDescent="0.2">
      <c r="A1401" s="44">
        <v>73005</v>
      </c>
      <c r="B1401" s="44"/>
      <c r="C1401" s="44" t="s">
        <v>1454</v>
      </c>
      <c r="D1401" s="31"/>
      <c r="E1401" s="31"/>
      <c r="F1401" s="31"/>
    </row>
    <row r="1402" spans="1:6" x14ac:dyDescent="0.2">
      <c r="A1402" s="44">
        <v>73006</v>
      </c>
      <c r="B1402" s="44"/>
      <c r="C1402" s="44" t="s">
        <v>1455</v>
      </c>
      <c r="D1402" s="31"/>
      <c r="E1402" s="31"/>
      <c r="F1402" s="31"/>
    </row>
    <row r="1403" spans="1:6" x14ac:dyDescent="0.2">
      <c r="A1403" s="44">
        <v>80577</v>
      </c>
      <c r="B1403" s="44"/>
      <c r="C1403" s="44" t="s">
        <v>1456</v>
      </c>
      <c r="D1403" s="31"/>
      <c r="E1403" s="31"/>
      <c r="F1403" s="31"/>
    </row>
    <row r="1404" spans="1:6" x14ac:dyDescent="0.2">
      <c r="A1404" s="44">
        <v>81562</v>
      </c>
      <c r="B1404" s="44"/>
      <c r="C1404" s="44" t="s">
        <v>1457</v>
      </c>
      <c r="D1404" s="31"/>
      <c r="E1404" s="31"/>
      <c r="F1404" s="31"/>
    </row>
    <row r="1405" spans="1:6" x14ac:dyDescent="0.2">
      <c r="A1405" s="44">
        <v>81563</v>
      </c>
      <c r="B1405" s="44"/>
      <c r="C1405" s="44" t="s">
        <v>1458</v>
      </c>
      <c r="D1405" s="31"/>
      <c r="E1405" s="31"/>
      <c r="F1405" s="31"/>
    </row>
    <row r="1406" spans="1:6" x14ac:dyDescent="0.2">
      <c r="A1406" s="44">
        <v>81576</v>
      </c>
      <c r="B1406" s="44"/>
      <c r="C1406" s="44" t="s">
        <v>1459</v>
      </c>
      <c r="D1406" s="31"/>
      <c r="E1406" s="31"/>
      <c r="F1406" s="31"/>
    </row>
    <row r="1407" spans="1:6" x14ac:dyDescent="0.2">
      <c r="A1407" s="44">
        <v>81577</v>
      </c>
      <c r="B1407" s="44"/>
      <c r="C1407" s="44" t="s">
        <v>1460</v>
      </c>
      <c r="D1407" s="31"/>
      <c r="E1407" s="31"/>
      <c r="F1407" s="31"/>
    </row>
    <row r="1408" spans="1:6" x14ac:dyDescent="0.2">
      <c r="A1408" s="44">
        <v>81578</v>
      </c>
      <c r="B1408" s="44"/>
      <c r="C1408" s="44" t="s">
        <v>1461</v>
      </c>
      <c r="D1408" s="31"/>
      <c r="E1408" s="31"/>
      <c r="F1408" s="31"/>
    </row>
    <row r="1409" spans="1:6" x14ac:dyDescent="0.2">
      <c r="A1409" s="44">
        <v>81579</v>
      </c>
      <c r="B1409" s="44"/>
      <c r="C1409" s="44" t="s">
        <v>1462</v>
      </c>
      <c r="D1409" s="31"/>
      <c r="E1409" s="31"/>
      <c r="F1409" s="31"/>
    </row>
    <row r="1410" spans="1:6" x14ac:dyDescent="0.2">
      <c r="A1410" s="44">
        <v>81653</v>
      </c>
      <c r="B1410" s="44"/>
      <c r="C1410" s="44" t="s">
        <v>1463</v>
      </c>
      <c r="D1410" s="31"/>
      <c r="E1410" s="31"/>
      <c r="F1410" s="31"/>
    </row>
    <row r="1411" spans="1:6" x14ac:dyDescent="0.2">
      <c r="A1411" s="44">
        <v>82088</v>
      </c>
      <c r="B1411" s="44"/>
      <c r="C1411" s="44" t="s">
        <v>1464</v>
      </c>
      <c r="D1411" s="31"/>
      <c r="E1411" s="31"/>
      <c r="F1411" s="31"/>
    </row>
    <row r="1412" spans="1:6" x14ac:dyDescent="0.2">
      <c r="A1412" s="44">
        <v>82089</v>
      </c>
      <c r="B1412" s="44"/>
      <c r="C1412" s="44" t="s">
        <v>1465</v>
      </c>
      <c r="D1412" s="31"/>
      <c r="E1412" s="31"/>
      <c r="F1412" s="31"/>
    </row>
    <row r="1413" spans="1:6" x14ac:dyDescent="0.2">
      <c r="A1413" s="44">
        <v>82091</v>
      </c>
      <c r="B1413" s="44"/>
      <c r="C1413" s="44" t="s">
        <v>1466</v>
      </c>
      <c r="D1413" s="31"/>
      <c r="E1413" s="31"/>
      <c r="F1413" s="31"/>
    </row>
    <row r="1414" spans="1:6" x14ac:dyDescent="0.2">
      <c r="A1414" s="44">
        <v>82092</v>
      </c>
      <c r="B1414" s="44"/>
      <c r="C1414" s="44" t="s">
        <v>1467</v>
      </c>
      <c r="D1414" s="31"/>
      <c r="E1414" s="31"/>
      <c r="F1414" s="31"/>
    </row>
    <row r="1415" spans="1:6" x14ac:dyDescent="0.2">
      <c r="A1415" s="44">
        <v>82093</v>
      </c>
      <c r="B1415" s="44"/>
      <c r="C1415" s="44" t="s">
        <v>1468</v>
      </c>
      <c r="D1415" s="31"/>
      <c r="E1415" s="31"/>
      <c r="F1415" s="31"/>
    </row>
    <row r="1416" spans="1:6" x14ac:dyDescent="0.2">
      <c r="A1416" s="44">
        <v>82097</v>
      </c>
      <c r="B1416" s="44"/>
      <c r="C1416" s="44" t="s">
        <v>1469</v>
      </c>
      <c r="D1416" s="31"/>
      <c r="E1416" s="31"/>
      <c r="F1416" s="31"/>
    </row>
    <row r="1417" spans="1:6" x14ac:dyDescent="0.2">
      <c r="A1417" s="44">
        <v>82099</v>
      </c>
      <c r="B1417" s="44"/>
      <c r="C1417" s="44" t="s">
        <v>1470</v>
      </c>
      <c r="D1417" s="31"/>
      <c r="E1417" s="31"/>
      <c r="F1417" s="31"/>
    </row>
    <row r="1418" spans="1:6" x14ac:dyDescent="0.2">
      <c r="A1418" s="44">
        <v>82107</v>
      </c>
      <c r="B1418" s="44"/>
      <c r="C1418" s="44" t="s">
        <v>1471</v>
      </c>
      <c r="D1418" s="31"/>
      <c r="E1418" s="31"/>
      <c r="F1418" s="31"/>
    </row>
    <row r="1419" spans="1:6" x14ac:dyDescent="0.2">
      <c r="A1419" s="44">
        <v>90672</v>
      </c>
      <c r="B1419" s="44"/>
      <c r="C1419" s="44" t="s">
        <v>1472</v>
      </c>
      <c r="D1419" s="31"/>
      <c r="E1419" s="31"/>
      <c r="F1419" s="31"/>
    </row>
    <row r="1420" spans="1:6" x14ac:dyDescent="0.2">
      <c r="A1420" s="44">
        <v>90677</v>
      </c>
      <c r="B1420" s="44"/>
      <c r="C1420" s="44" t="s">
        <v>1473</v>
      </c>
      <c r="D1420" s="31"/>
      <c r="E1420" s="31"/>
      <c r="F1420" s="31"/>
    </row>
    <row r="1421" spans="1:6" x14ac:dyDescent="0.2">
      <c r="A1421" s="44">
        <v>91673</v>
      </c>
      <c r="B1421" s="44"/>
      <c r="C1421" s="44" t="s">
        <v>1474</v>
      </c>
      <c r="D1421" s="31"/>
      <c r="E1421" s="31"/>
      <c r="F1421" s="31"/>
    </row>
    <row r="1422" spans="1:6" x14ac:dyDescent="0.2">
      <c r="A1422" s="44">
        <v>92109</v>
      </c>
      <c r="B1422" s="44"/>
      <c r="C1422" s="44" t="s">
        <v>1475</v>
      </c>
      <c r="D1422" s="31"/>
      <c r="E1422" s="31"/>
      <c r="F1422" s="31"/>
    </row>
    <row r="1423" spans="1:6" x14ac:dyDescent="0.2">
      <c r="A1423" s="44">
        <v>92112</v>
      </c>
      <c r="B1423" s="44"/>
      <c r="C1423" s="44" t="s">
        <v>1476</v>
      </c>
      <c r="D1423" s="31"/>
      <c r="E1423" s="31"/>
      <c r="F1423" s="31"/>
    </row>
    <row r="1424" spans="1:6" x14ac:dyDescent="0.2">
      <c r="A1424" s="44">
        <v>100647</v>
      </c>
      <c r="B1424" s="44"/>
      <c r="C1424" s="44" t="s">
        <v>1477</v>
      </c>
      <c r="D1424" s="31"/>
      <c r="E1424" s="31"/>
      <c r="F1424" s="31"/>
    </row>
    <row r="1425" spans="1:6" x14ac:dyDescent="0.2">
      <c r="A1425" s="44">
        <v>100663</v>
      </c>
      <c r="B1425" s="44"/>
      <c r="C1425" s="44" t="s">
        <v>1478</v>
      </c>
      <c r="D1425" s="31"/>
      <c r="E1425" s="31"/>
      <c r="F1425" s="31"/>
    </row>
    <row r="1426" spans="1:6" x14ac:dyDescent="0.2">
      <c r="A1426" s="44">
        <v>101645</v>
      </c>
      <c r="B1426" s="44"/>
      <c r="C1426" s="44" t="s">
        <v>1479</v>
      </c>
      <c r="D1426" s="31"/>
      <c r="E1426" s="31"/>
      <c r="F1426" s="31"/>
    </row>
    <row r="1427" spans="1:6" x14ac:dyDescent="0.2">
      <c r="A1427" s="44">
        <v>101646</v>
      </c>
      <c r="B1427" s="44"/>
      <c r="C1427" s="44" t="s">
        <v>1480</v>
      </c>
      <c r="D1427" s="31"/>
      <c r="E1427" s="31"/>
      <c r="F1427" s="31"/>
    </row>
    <row r="1428" spans="1:6" x14ac:dyDescent="0.2">
      <c r="A1428" s="44">
        <v>101647</v>
      </c>
      <c r="B1428" s="44"/>
      <c r="C1428" s="44" t="s">
        <v>1481</v>
      </c>
      <c r="D1428" s="31"/>
      <c r="E1428" s="31"/>
      <c r="F1428" s="31"/>
    </row>
    <row r="1429" spans="1:6" x14ac:dyDescent="0.2">
      <c r="A1429" s="44">
        <v>101661</v>
      </c>
      <c r="B1429" s="44"/>
      <c r="C1429" s="44" t="s">
        <v>1482</v>
      </c>
      <c r="D1429" s="31"/>
      <c r="E1429" s="31"/>
      <c r="F1429" s="31"/>
    </row>
    <row r="1430" spans="1:6" x14ac:dyDescent="0.2">
      <c r="A1430" s="44">
        <v>101662</v>
      </c>
      <c r="B1430" s="44"/>
      <c r="C1430" s="44" t="s">
        <v>1483</v>
      </c>
      <c r="D1430" s="31"/>
      <c r="E1430" s="31"/>
      <c r="F1430" s="31"/>
    </row>
    <row r="1431" spans="1:6" x14ac:dyDescent="0.2">
      <c r="A1431" s="44">
        <v>101663</v>
      </c>
      <c r="B1431" s="44"/>
      <c r="C1431" s="44" t="s">
        <v>1484</v>
      </c>
      <c r="D1431" s="31"/>
      <c r="E1431" s="31"/>
      <c r="F1431" s="31"/>
    </row>
    <row r="1432" spans="1:6" x14ac:dyDescent="0.2">
      <c r="A1432" s="44">
        <v>102116</v>
      </c>
      <c r="B1432" s="44"/>
      <c r="C1432" s="44" t="s">
        <v>1485</v>
      </c>
      <c r="D1432" s="31"/>
      <c r="E1432" s="31"/>
      <c r="F1432" s="31"/>
    </row>
    <row r="1433" spans="1:6" x14ac:dyDescent="0.2">
      <c r="A1433" s="44">
        <v>102118</v>
      </c>
      <c r="B1433" s="44"/>
      <c r="C1433" s="44" t="s">
        <v>1486</v>
      </c>
      <c r="D1433" s="31"/>
      <c r="E1433" s="31"/>
      <c r="F1433" s="31"/>
    </row>
    <row r="1434" spans="1:6" x14ac:dyDescent="0.2">
      <c r="A1434" s="44">
        <v>102120</v>
      </c>
      <c r="B1434" s="44"/>
      <c r="C1434" s="44" t="s">
        <v>1487</v>
      </c>
      <c r="D1434" s="31"/>
      <c r="E1434" s="31"/>
      <c r="F1434" s="31"/>
    </row>
    <row r="1435" spans="1:6" x14ac:dyDescent="0.2">
      <c r="A1435" s="44">
        <v>102123</v>
      </c>
      <c r="B1435" s="44"/>
      <c r="C1435" s="44" t="s">
        <v>1488</v>
      </c>
      <c r="D1435" s="31"/>
      <c r="E1435" s="31"/>
      <c r="F1435" s="31"/>
    </row>
    <row r="1436" spans="1:6" x14ac:dyDescent="0.2">
      <c r="A1436" s="44">
        <v>102124</v>
      </c>
      <c r="B1436" s="44"/>
      <c r="C1436" s="44" t="s">
        <v>1489</v>
      </c>
      <c r="D1436" s="31"/>
      <c r="E1436" s="31"/>
      <c r="F1436" s="31"/>
    </row>
    <row r="1437" spans="1:6" x14ac:dyDescent="0.2">
      <c r="A1437" s="44">
        <v>102127</v>
      </c>
      <c r="B1437" s="44"/>
      <c r="C1437" s="44" t="s">
        <v>1490</v>
      </c>
      <c r="D1437" s="31"/>
      <c r="E1437" s="31"/>
      <c r="F1437" s="31"/>
    </row>
    <row r="1438" spans="1:6" x14ac:dyDescent="0.2">
      <c r="A1438" s="44">
        <v>102131</v>
      </c>
      <c r="B1438" s="44"/>
      <c r="C1438" s="44" t="s">
        <v>1491</v>
      </c>
      <c r="D1438" s="31"/>
      <c r="E1438" s="31"/>
      <c r="F1438" s="31"/>
    </row>
    <row r="1439" spans="1:6" x14ac:dyDescent="0.2">
      <c r="A1439" s="44">
        <v>112007</v>
      </c>
      <c r="B1439" s="44"/>
      <c r="C1439" s="44" t="s">
        <v>1492</v>
      </c>
      <c r="D1439" s="31"/>
      <c r="E1439" s="31"/>
      <c r="F1439" s="31"/>
    </row>
    <row r="1440" spans="1:6" x14ac:dyDescent="0.2">
      <c r="A1440" s="44">
        <v>113001</v>
      </c>
      <c r="B1440" s="44"/>
      <c r="C1440" s="44" t="s">
        <v>1493</v>
      </c>
      <c r="D1440" s="31"/>
      <c r="E1440" s="31"/>
      <c r="F1440" s="31"/>
    </row>
    <row r="1441" spans="1:6" x14ac:dyDescent="0.2">
      <c r="A1441" s="44">
        <v>113002</v>
      </c>
      <c r="B1441" s="44"/>
      <c r="C1441" s="44" t="s">
        <v>1494</v>
      </c>
      <c r="D1441" s="31"/>
      <c r="E1441" s="31"/>
      <c r="F1441" s="31"/>
    </row>
    <row r="1442" spans="1:6" x14ac:dyDescent="0.2">
      <c r="A1442" s="44">
        <v>113011</v>
      </c>
      <c r="B1442" s="44"/>
      <c r="C1442" s="44" t="s">
        <v>1495</v>
      </c>
      <c r="D1442" s="31"/>
      <c r="E1442" s="31"/>
      <c r="F1442" s="31"/>
    </row>
    <row r="1443" spans="1:6" x14ac:dyDescent="0.2">
      <c r="A1443" s="44">
        <v>113012</v>
      </c>
      <c r="B1443" s="44"/>
      <c r="C1443" s="44" t="s">
        <v>1496</v>
      </c>
      <c r="D1443" s="31"/>
      <c r="E1443" s="31"/>
      <c r="F1443" s="31"/>
    </row>
    <row r="1444" spans="1:6" x14ac:dyDescent="0.2">
      <c r="A1444" s="44">
        <v>113013</v>
      </c>
      <c r="B1444" s="44"/>
      <c r="C1444" s="44" t="s">
        <v>1497</v>
      </c>
      <c r="D1444" s="31"/>
      <c r="E1444" s="31"/>
      <c r="F1444" s="31"/>
    </row>
    <row r="1445" spans="1:6" x14ac:dyDescent="0.2">
      <c r="A1445" s="44">
        <v>113016</v>
      </c>
      <c r="B1445" s="44"/>
      <c r="C1445" s="44" t="s">
        <v>1498</v>
      </c>
      <c r="D1445" s="31"/>
      <c r="E1445" s="31"/>
      <c r="F1445" s="31"/>
    </row>
    <row r="1446" spans="1:6" x14ac:dyDescent="0.2">
      <c r="A1446" s="44">
        <v>114011</v>
      </c>
      <c r="B1446" s="44"/>
      <c r="C1446" s="44" t="s">
        <v>1499</v>
      </c>
      <c r="D1446" s="31"/>
      <c r="E1446" s="31"/>
      <c r="F1446" s="31"/>
    </row>
    <row r="1447" spans="1:6" x14ac:dyDescent="0.2">
      <c r="A1447" s="44">
        <v>114016</v>
      </c>
      <c r="B1447" s="44"/>
      <c r="C1447" s="44" t="s">
        <v>1500</v>
      </c>
      <c r="D1447" s="31"/>
      <c r="E1447" s="31"/>
      <c r="F1447" s="31"/>
    </row>
    <row r="1448" spans="1:6" x14ac:dyDescent="0.2">
      <c r="A1448" s="44">
        <v>119011</v>
      </c>
      <c r="B1448" s="44"/>
      <c r="C1448" s="44" t="s">
        <v>1501</v>
      </c>
      <c r="D1448" s="31"/>
      <c r="E1448" s="31"/>
      <c r="F1448" s="31"/>
    </row>
    <row r="1449" spans="1:6" x14ac:dyDescent="0.2">
      <c r="A1449" s="44">
        <v>119013</v>
      </c>
      <c r="B1449" s="44"/>
      <c r="C1449" s="44" t="s">
        <v>1502</v>
      </c>
      <c r="D1449" s="31"/>
      <c r="E1449" s="31"/>
      <c r="F1449" s="31"/>
    </row>
    <row r="1450" spans="1:6" x14ac:dyDescent="0.2">
      <c r="A1450" s="44">
        <v>119016</v>
      </c>
      <c r="B1450" s="44"/>
      <c r="C1450" s="44" t="s">
        <v>1503</v>
      </c>
      <c r="D1450" s="31"/>
      <c r="E1450" s="31"/>
      <c r="F1450" s="31"/>
    </row>
    <row r="1451" spans="1:6" x14ac:dyDescent="0.2">
      <c r="A1451" s="44">
        <v>120677</v>
      </c>
      <c r="B1451" s="44"/>
      <c r="C1451" s="44" t="s">
        <v>1504</v>
      </c>
      <c r="D1451" s="31"/>
      <c r="E1451" s="31"/>
      <c r="F1451" s="31"/>
    </row>
    <row r="1452" spans="1:6" x14ac:dyDescent="0.2">
      <c r="A1452" s="44">
        <v>121652</v>
      </c>
      <c r="B1452" s="44"/>
      <c r="C1452" s="44" t="s">
        <v>1505</v>
      </c>
      <c r="D1452" s="31"/>
      <c r="E1452" s="31"/>
      <c r="F1452" s="31"/>
    </row>
    <row r="1453" spans="1:6" x14ac:dyDescent="0.2">
      <c r="A1453" s="44">
        <v>121668</v>
      </c>
      <c r="B1453" s="44"/>
      <c r="C1453" s="44" t="s">
        <v>1506</v>
      </c>
      <c r="D1453" s="31"/>
      <c r="E1453" s="31"/>
      <c r="F1453" s="31"/>
    </row>
    <row r="1454" spans="1:6" x14ac:dyDescent="0.2">
      <c r="A1454" s="44">
        <v>123300</v>
      </c>
      <c r="B1454" s="44"/>
      <c r="C1454" s="44" t="s">
        <v>1507</v>
      </c>
      <c r="D1454" s="31"/>
      <c r="E1454" s="31"/>
      <c r="F1454" s="31"/>
    </row>
    <row r="1455" spans="1:6" x14ac:dyDescent="0.2">
      <c r="A1455" s="44">
        <v>123301</v>
      </c>
      <c r="B1455" s="44"/>
      <c r="C1455" s="44" t="s">
        <v>1508</v>
      </c>
      <c r="D1455" s="31"/>
      <c r="E1455" s="31"/>
      <c r="F1455" s="31"/>
    </row>
    <row r="1456" spans="1:6" x14ac:dyDescent="0.2">
      <c r="A1456" s="44">
        <v>123302</v>
      </c>
      <c r="B1456" s="44"/>
      <c r="C1456" s="44" t="s">
        <v>1509</v>
      </c>
      <c r="D1456" s="31"/>
      <c r="E1456" s="31"/>
      <c r="F1456" s="31"/>
    </row>
    <row r="1457" spans="1:6" x14ac:dyDescent="0.2">
      <c r="A1457" s="44">
        <v>123303</v>
      </c>
      <c r="B1457" s="44"/>
      <c r="C1457" s="44" t="s">
        <v>1510</v>
      </c>
      <c r="D1457" s="31"/>
      <c r="E1457" s="31"/>
      <c r="F1457" s="31"/>
    </row>
    <row r="1458" spans="1:6" x14ac:dyDescent="0.2">
      <c r="A1458" s="44">
        <v>123304</v>
      </c>
      <c r="B1458" s="44"/>
      <c r="C1458" s="44" t="s">
        <v>1511</v>
      </c>
      <c r="D1458" s="31"/>
      <c r="E1458" s="31"/>
      <c r="F1458" s="31"/>
    </row>
    <row r="1459" spans="1:6" x14ac:dyDescent="0.2">
      <c r="A1459" s="44">
        <v>123305</v>
      </c>
      <c r="B1459" s="44"/>
      <c r="C1459" s="44" t="s">
        <v>1512</v>
      </c>
      <c r="D1459" s="31"/>
      <c r="E1459" s="31"/>
      <c r="F1459" s="31"/>
    </row>
    <row r="1460" spans="1:6" x14ac:dyDescent="0.2">
      <c r="A1460" s="44">
        <v>123306</v>
      </c>
      <c r="B1460" s="44"/>
      <c r="C1460" s="44" t="s">
        <v>1513</v>
      </c>
      <c r="D1460" s="31"/>
      <c r="E1460" s="31"/>
      <c r="F1460" s="31"/>
    </row>
    <row r="1461" spans="1:6" x14ac:dyDescent="0.2">
      <c r="A1461" s="44">
        <v>123308</v>
      </c>
      <c r="B1461" s="44"/>
      <c r="C1461" s="44" t="s">
        <v>1514</v>
      </c>
      <c r="D1461" s="31"/>
      <c r="E1461" s="31"/>
      <c r="F1461" s="31"/>
    </row>
    <row r="1462" spans="1:6" x14ac:dyDescent="0.2">
      <c r="A1462" s="44">
        <v>123309</v>
      </c>
      <c r="B1462" s="44"/>
      <c r="C1462" s="44" t="s">
        <v>1515</v>
      </c>
      <c r="D1462" s="31"/>
      <c r="E1462" s="31"/>
      <c r="F1462" s="31"/>
    </row>
    <row r="1463" spans="1:6" x14ac:dyDescent="0.2">
      <c r="A1463" s="44">
        <v>123312</v>
      </c>
      <c r="B1463" s="44"/>
      <c r="C1463" s="44" t="s">
        <v>1516</v>
      </c>
      <c r="D1463" s="31"/>
      <c r="E1463" s="31"/>
      <c r="F1463" s="31"/>
    </row>
    <row r="1464" spans="1:6" x14ac:dyDescent="0.2">
      <c r="A1464" s="44">
        <v>123313</v>
      </c>
      <c r="B1464" s="44"/>
      <c r="C1464" s="44" t="s">
        <v>1517</v>
      </c>
      <c r="D1464" s="31"/>
      <c r="E1464" s="31"/>
      <c r="F1464" s="31"/>
    </row>
    <row r="1465" spans="1:6" x14ac:dyDescent="0.2">
      <c r="A1465" s="44">
        <v>123400</v>
      </c>
      <c r="B1465" s="44"/>
      <c r="C1465" s="44" t="s">
        <v>1518</v>
      </c>
      <c r="D1465" s="31"/>
      <c r="E1465" s="31"/>
      <c r="F1465" s="31"/>
    </row>
    <row r="1466" spans="1:6" x14ac:dyDescent="0.2">
      <c r="A1466" s="44">
        <v>123401</v>
      </c>
      <c r="B1466" s="44"/>
      <c r="C1466" s="44" t="s">
        <v>1519</v>
      </c>
      <c r="D1466" s="31"/>
      <c r="E1466" s="31"/>
      <c r="F1466" s="31"/>
    </row>
    <row r="1467" spans="1:6" x14ac:dyDescent="0.2">
      <c r="A1467" s="44">
        <v>123500</v>
      </c>
      <c r="B1467" s="44"/>
      <c r="C1467" s="44" t="s">
        <v>1520</v>
      </c>
      <c r="D1467" s="31"/>
      <c r="E1467" s="31"/>
      <c r="F1467" s="31"/>
    </row>
    <row r="1468" spans="1:6" x14ac:dyDescent="0.2">
      <c r="A1468" s="44">
        <v>123503</v>
      </c>
      <c r="B1468" s="44"/>
      <c r="C1468" s="44" t="s">
        <v>1521</v>
      </c>
      <c r="D1468" s="31"/>
      <c r="E1468" s="31"/>
      <c r="F1468" s="31"/>
    </row>
    <row r="1469" spans="1:6" x14ac:dyDescent="0.2">
      <c r="A1469" s="44">
        <v>123520</v>
      </c>
      <c r="B1469" s="44"/>
      <c r="C1469" s="44" t="s">
        <v>1522</v>
      </c>
      <c r="D1469" s="31"/>
      <c r="E1469" s="31"/>
      <c r="F1469" s="31"/>
    </row>
    <row r="1470" spans="1:6" x14ac:dyDescent="0.2">
      <c r="A1470" s="44">
        <v>123523</v>
      </c>
      <c r="B1470" s="44"/>
      <c r="C1470" s="44" t="s">
        <v>1523</v>
      </c>
      <c r="D1470" s="31"/>
      <c r="E1470" s="31"/>
      <c r="F1470" s="31"/>
    </row>
    <row r="1471" spans="1:6" x14ac:dyDescent="0.2">
      <c r="A1471" s="44">
        <v>123753</v>
      </c>
      <c r="B1471" s="44"/>
      <c r="C1471" s="44" t="s">
        <v>1524</v>
      </c>
      <c r="D1471" s="31"/>
      <c r="E1471" s="31"/>
      <c r="F1471" s="31"/>
    </row>
    <row r="1472" spans="1:6" x14ac:dyDescent="0.2">
      <c r="A1472" s="44">
        <v>133005</v>
      </c>
      <c r="B1472" s="44"/>
      <c r="C1472" s="44" t="s">
        <v>1525</v>
      </c>
      <c r="D1472" s="38"/>
      <c r="E1472" s="38"/>
      <c r="F1472" s="38"/>
    </row>
    <row r="1473" spans="1:13" x14ac:dyDescent="0.2">
      <c r="A1473" s="44">
        <v>64</v>
      </c>
      <c r="B1473" s="43"/>
      <c r="C1473" s="44" t="s">
        <v>1526</v>
      </c>
      <c r="D1473" s="31"/>
      <c r="E1473" s="31"/>
      <c r="F1473" s="31"/>
    </row>
    <row r="1474" spans="1:13" x14ac:dyDescent="0.2">
      <c r="A1474" s="44">
        <v>65</v>
      </c>
      <c r="B1474" s="43"/>
      <c r="C1474" s="44" t="s">
        <v>1527</v>
      </c>
      <c r="D1474" s="31"/>
      <c r="E1474" s="31"/>
      <c r="F1474" s="31"/>
    </row>
    <row r="1475" spans="1:13" x14ac:dyDescent="0.2">
      <c r="A1475" s="44">
        <v>66</v>
      </c>
      <c r="B1475" s="43"/>
      <c r="C1475" s="44" t="s">
        <v>1528</v>
      </c>
      <c r="D1475" s="31"/>
      <c r="E1475" s="31"/>
      <c r="F1475" s="31"/>
    </row>
    <row r="1476" spans="1:13" x14ac:dyDescent="0.2">
      <c r="A1476" s="44">
        <v>67</v>
      </c>
      <c r="B1476" s="43"/>
      <c r="C1476" s="44" t="s">
        <v>1529</v>
      </c>
      <c r="D1476" s="31"/>
      <c r="E1476" s="31"/>
      <c r="F1476" s="31"/>
    </row>
    <row r="1477" spans="1:13" x14ac:dyDescent="0.2">
      <c r="A1477" s="44">
        <v>68</v>
      </c>
      <c r="B1477" s="43"/>
      <c r="C1477" s="44" t="s">
        <v>1530</v>
      </c>
      <c r="D1477" s="31"/>
      <c r="E1477" s="31"/>
      <c r="F1477" s="31"/>
    </row>
    <row r="1478" spans="1:13" x14ac:dyDescent="0.2">
      <c r="A1478" s="44">
        <v>69</v>
      </c>
      <c r="B1478" s="43"/>
      <c r="C1478" s="44" t="s">
        <v>1531</v>
      </c>
      <c r="D1478" s="31"/>
      <c r="E1478" s="31"/>
      <c r="F1478" s="31"/>
    </row>
    <row r="1479" spans="1:13" x14ac:dyDescent="0.2">
      <c r="A1479" s="44">
        <v>70</v>
      </c>
      <c r="B1479" s="43"/>
      <c r="C1479" s="44" t="s">
        <v>1532</v>
      </c>
      <c r="D1479" s="31"/>
      <c r="E1479" s="31"/>
      <c r="F1479" s="31"/>
    </row>
    <row r="1480" spans="1:13" x14ac:dyDescent="0.2">
      <c r="A1480" s="44">
        <v>71</v>
      </c>
      <c r="B1480" s="43"/>
      <c r="C1480" s="44" t="s">
        <v>1533</v>
      </c>
      <c r="D1480" s="31"/>
      <c r="E1480" s="31"/>
      <c r="F1480" s="31"/>
    </row>
    <row r="1481" spans="1:13" x14ac:dyDescent="0.2">
      <c r="A1481" s="44">
        <v>72</v>
      </c>
      <c r="B1481" s="43"/>
      <c r="C1481" s="44" t="s">
        <v>1534</v>
      </c>
      <c r="D1481" s="31"/>
      <c r="E1481" s="31"/>
      <c r="F1481" s="31"/>
    </row>
    <row r="1482" spans="1:13" x14ac:dyDescent="0.2">
      <c r="A1482" s="44">
        <v>73</v>
      </c>
      <c r="B1482" s="43"/>
      <c r="C1482" s="44" t="s">
        <v>1535</v>
      </c>
      <c r="D1482" s="31"/>
      <c r="E1482" s="31"/>
      <c r="F1482" s="31"/>
    </row>
    <row r="1483" spans="1:13" x14ac:dyDescent="0.2">
      <c r="A1483" s="44">
        <v>74</v>
      </c>
      <c r="B1483" s="43"/>
      <c r="C1483" s="44" t="s">
        <v>1536</v>
      </c>
      <c r="D1483" s="31"/>
      <c r="E1483" s="31"/>
      <c r="F1483" s="31"/>
    </row>
    <row r="1484" spans="1:13" x14ac:dyDescent="0.2">
      <c r="A1484" s="44">
        <v>80</v>
      </c>
      <c r="B1484" s="43"/>
      <c r="C1484" s="44" t="s">
        <v>1537</v>
      </c>
      <c r="D1484" s="31"/>
      <c r="E1484" s="31"/>
      <c r="F1484" s="31"/>
    </row>
    <row r="1485" spans="1:13" x14ac:dyDescent="0.2">
      <c r="A1485" s="44">
        <v>81</v>
      </c>
      <c r="B1485" s="43"/>
      <c r="C1485" s="44" t="s">
        <v>1538</v>
      </c>
      <c r="D1485" s="31"/>
      <c r="E1485" s="31"/>
      <c r="F1485" s="31"/>
    </row>
    <row r="1486" spans="1:13" x14ac:dyDescent="0.2">
      <c r="A1486" s="44">
        <v>82</v>
      </c>
      <c r="B1486" s="43"/>
      <c r="C1486" s="44" t="s">
        <v>1539</v>
      </c>
      <c r="D1486" s="31"/>
      <c r="E1486" s="31"/>
      <c r="F1486" s="31"/>
    </row>
    <row r="1487" spans="1:13" x14ac:dyDescent="0.2">
      <c r="A1487" s="44">
        <v>83</v>
      </c>
      <c r="B1487" s="43"/>
      <c r="C1487" s="44" t="s">
        <v>1540</v>
      </c>
      <c r="D1487" s="31"/>
      <c r="E1487" s="31"/>
      <c r="F1487" s="31"/>
      <c r="G1487" s="39"/>
      <c r="H1487" s="39"/>
      <c r="I1487" s="39"/>
      <c r="J1487" s="39"/>
      <c r="K1487" s="39"/>
      <c r="L1487" s="39"/>
      <c r="M1487" s="39"/>
    </row>
    <row r="1488" spans="1:13" x14ac:dyDescent="0.2">
      <c r="A1488" s="44">
        <v>84</v>
      </c>
      <c r="B1488" s="43"/>
      <c r="C1488" s="44" t="s">
        <v>1541</v>
      </c>
      <c r="D1488" s="31"/>
      <c r="E1488" s="31"/>
      <c r="F1488" s="31"/>
    </row>
    <row r="1489" spans="1:13" x14ac:dyDescent="0.2">
      <c r="A1489" s="44">
        <v>85</v>
      </c>
      <c r="B1489" s="43"/>
      <c r="C1489" s="44" t="s">
        <v>1542</v>
      </c>
      <c r="D1489" s="31"/>
      <c r="E1489" s="31"/>
      <c r="F1489" s="31"/>
    </row>
    <row r="1490" spans="1:13" x14ac:dyDescent="0.2">
      <c r="A1490" s="44">
        <v>86</v>
      </c>
      <c r="B1490" s="43"/>
      <c r="C1490" s="44" t="s">
        <v>1543</v>
      </c>
      <c r="D1490" s="31"/>
      <c r="E1490" s="31"/>
      <c r="F1490" s="31"/>
    </row>
    <row r="1491" spans="1:13" x14ac:dyDescent="0.2">
      <c r="A1491" s="44">
        <v>87</v>
      </c>
      <c r="B1491" s="43"/>
      <c r="C1491" s="44" t="s">
        <v>1544</v>
      </c>
      <c r="D1491" s="31"/>
      <c r="E1491" s="31"/>
      <c r="F1491" s="31"/>
      <c r="G1491" s="40"/>
      <c r="H1491" s="40"/>
      <c r="I1491" s="40"/>
      <c r="J1491" s="40"/>
      <c r="K1491" s="40"/>
      <c r="L1491" s="40"/>
      <c r="M1491" s="41"/>
    </row>
    <row r="1492" spans="1:13" x14ac:dyDescent="0.2">
      <c r="A1492" s="44">
        <v>88</v>
      </c>
      <c r="B1492" s="43"/>
      <c r="C1492" s="44" t="s">
        <v>1545</v>
      </c>
      <c r="D1492" s="31"/>
      <c r="E1492" s="31"/>
      <c r="F1492" s="31"/>
    </row>
    <row r="1493" spans="1:13" x14ac:dyDescent="0.2">
      <c r="A1493" s="44">
        <v>89</v>
      </c>
      <c r="B1493" s="43"/>
      <c r="C1493" s="44" t="s">
        <v>1546</v>
      </c>
      <c r="D1493" s="31"/>
      <c r="E1493" s="31"/>
      <c r="F1493" s="31"/>
    </row>
    <row r="1494" spans="1:13" x14ac:dyDescent="0.2">
      <c r="A1494" s="44">
        <v>90</v>
      </c>
      <c r="B1494" s="43"/>
      <c r="C1494" s="44" t="s">
        <v>1547</v>
      </c>
      <c r="D1494" s="31"/>
      <c r="E1494" s="31"/>
      <c r="F1494" s="31"/>
    </row>
    <row r="1495" spans="1:13" x14ac:dyDescent="0.2">
      <c r="A1495" s="44">
        <v>96</v>
      </c>
      <c r="B1495" s="43"/>
      <c r="C1495" s="44" t="s">
        <v>1548</v>
      </c>
      <c r="D1495" s="31"/>
      <c r="E1495" s="31"/>
      <c r="F1495" s="31"/>
    </row>
    <row r="1496" spans="1:13" x14ac:dyDescent="0.2">
      <c r="A1496" s="44">
        <v>97</v>
      </c>
      <c r="B1496" s="43"/>
      <c r="C1496" s="44" t="s">
        <v>1549</v>
      </c>
      <c r="D1496" s="31"/>
      <c r="E1496" s="31"/>
      <c r="F1496" s="31"/>
    </row>
    <row r="1497" spans="1:13" x14ac:dyDescent="0.2">
      <c r="A1497" s="44">
        <v>98</v>
      </c>
      <c r="B1497" s="43"/>
      <c r="C1497" s="44" t="s">
        <v>1550</v>
      </c>
      <c r="D1497" s="31"/>
      <c r="E1497" s="31"/>
      <c r="F1497" s="31"/>
    </row>
    <row r="1498" spans="1:13" x14ac:dyDescent="0.2">
      <c r="A1498" s="44">
        <v>99</v>
      </c>
      <c r="B1498" s="43"/>
      <c r="C1498" s="44" t="s">
        <v>1551</v>
      </c>
      <c r="D1498" s="31"/>
      <c r="E1498" s="31"/>
      <c r="F1498" s="31"/>
    </row>
    <row r="1499" spans="1:13" x14ac:dyDescent="0.2">
      <c r="A1499" s="44">
        <v>100</v>
      </c>
      <c r="B1499" s="43"/>
      <c r="C1499" s="44" t="s">
        <v>1552</v>
      </c>
      <c r="D1499" s="31"/>
      <c r="E1499" s="31"/>
      <c r="F1499" s="31"/>
    </row>
    <row r="1500" spans="1:13" x14ac:dyDescent="0.2">
      <c r="A1500" s="44">
        <v>101</v>
      </c>
      <c r="B1500" s="43"/>
      <c r="C1500" s="44" t="s">
        <v>1553</v>
      </c>
      <c r="D1500" s="31"/>
      <c r="E1500" s="31"/>
      <c r="F1500" s="31"/>
    </row>
    <row r="1501" spans="1:13" x14ac:dyDescent="0.2">
      <c r="A1501" s="44">
        <v>102</v>
      </c>
      <c r="B1501" s="43"/>
      <c r="C1501" s="44" t="s">
        <v>1554</v>
      </c>
      <c r="D1501" s="31"/>
      <c r="E1501" s="31"/>
      <c r="F1501" s="31"/>
    </row>
    <row r="1502" spans="1:13" x14ac:dyDescent="0.2">
      <c r="A1502" s="44">
        <v>103</v>
      </c>
      <c r="B1502" s="43"/>
      <c r="C1502" s="44" t="s">
        <v>1555</v>
      </c>
      <c r="D1502" s="31"/>
      <c r="E1502" s="31"/>
      <c r="F1502" s="31"/>
    </row>
    <row r="1503" spans="1:13" x14ac:dyDescent="0.2">
      <c r="A1503" s="44">
        <v>104</v>
      </c>
      <c r="B1503" s="43"/>
      <c r="C1503" s="44" t="s">
        <v>1556</v>
      </c>
      <c r="D1503" s="31"/>
      <c r="E1503" s="31"/>
      <c r="F1503" s="31"/>
    </row>
    <row r="1504" spans="1:13" x14ac:dyDescent="0.2">
      <c r="A1504" s="44">
        <v>105</v>
      </c>
      <c r="B1504" s="43"/>
      <c r="C1504" s="44" t="s">
        <v>1548</v>
      </c>
      <c r="D1504" s="31"/>
      <c r="E1504" s="31"/>
      <c r="F1504" s="31"/>
    </row>
    <row r="1505" spans="1:6" x14ac:dyDescent="0.2">
      <c r="A1505" s="44">
        <v>106</v>
      </c>
      <c r="B1505" s="43"/>
      <c r="C1505" s="44" t="s">
        <v>1549</v>
      </c>
      <c r="D1505" s="31"/>
      <c r="E1505" s="31"/>
      <c r="F1505" s="31"/>
    </row>
    <row r="1506" spans="1:6" x14ac:dyDescent="0.2">
      <c r="A1506" s="44">
        <v>112</v>
      </c>
      <c r="B1506" s="43"/>
      <c r="C1506" s="44" t="s">
        <v>1557</v>
      </c>
      <c r="D1506" s="31"/>
      <c r="E1506" s="31"/>
      <c r="F1506" s="31"/>
    </row>
    <row r="1507" spans="1:6" x14ac:dyDescent="0.2">
      <c r="A1507" s="44">
        <v>113</v>
      </c>
      <c r="B1507" s="43"/>
      <c r="C1507" s="44" t="s">
        <v>1558</v>
      </c>
      <c r="D1507" s="31"/>
      <c r="E1507" s="31"/>
      <c r="F1507" s="31"/>
    </row>
    <row r="1508" spans="1:6" x14ac:dyDescent="0.2">
      <c r="A1508" s="44">
        <v>114</v>
      </c>
      <c r="B1508" s="43"/>
      <c r="C1508" s="44" t="s">
        <v>1559</v>
      </c>
      <c r="D1508" s="31"/>
      <c r="E1508" s="31"/>
      <c r="F1508" s="31"/>
    </row>
    <row r="1509" spans="1:6" x14ac:dyDescent="0.2">
      <c r="A1509" s="44">
        <v>115</v>
      </c>
      <c r="B1509" s="43"/>
      <c r="C1509" s="44" t="s">
        <v>1560</v>
      </c>
      <c r="D1509" s="31"/>
      <c r="E1509" s="31"/>
      <c r="F1509" s="31"/>
    </row>
    <row r="1510" spans="1:6" x14ac:dyDescent="0.2">
      <c r="A1510" s="44">
        <v>116</v>
      </c>
      <c r="B1510" s="43"/>
      <c r="C1510" s="44" t="s">
        <v>1561</v>
      </c>
      <c r="D1510" s="31"/>
      <c r="E1510" s="31"/>
      <c r="F1510" s="31"/>
    </row>
    <row r="1511" spans="1:6" x14ac:dyDescent="0.2">
      <c r="A1511" s="44">
        <v>117</v>
      </c>
      <c r="B1511" s="43"/>
      <c r="C1511" s="44" t="s">
        <v>1562</v>
      </c>
      <c r="D1511" s="31"/>
      <c r="E1511" s="31"/>
      <c r="F1511" s="31"/>
    </row>
    <row r="1512" spans="1:6" x14ac:dyDescent="0.2">
      <c r="A1512" s="44">
        <v>118</v>
      </c>
      <c r="B1512" s="43"/>
      <c r="C1512" s="44" t="s">
        <v>1563</v>
      </c>
      <c r="D1512" s="31"/>
      <c r="E1512" s="31"/>
      <c r="F1512" s="31"/>
    </row>
    <row r="1513" spans="1:6" x14ac:dyDescent="0.2">
      <c r="A1513" s="44">
        <v>119</v>
      </c>
      <c r="B1513" s="43"/>
      <c r="C1513" s="44" t="s">
        <v>1564</v>
      </c>
      <c r="D1513" s="31"/>
      <c r="E1513" s="31"/>
      <c r="F1513" s="31"/>
    </row>
    <row r="1514" spans="1:6" x14ac:dyDescent="0.2">
      <c r="A1514" s="44">
        <v>120</v>
      </c>
      <c r="B1514" s="43"/>
      <c r="C1514" s="44" t="s">
        <v>1565</v>
      </c>
      <c r="D1514" s="31"/>
      <c r="E1514" s="31"/>
      <c r="F1514" s="31"/>
    </row>
    <row r="1515" spans="1:6" x14ac:dyDescent="0.2">
      <c r="A1515" s="44">
        <v>121</v>
      </c>
      <c r="B1515" s="43"/>
      <c r="C1515" s="44" t="s">
        <v>1566</v>
      </c>
      <c r="D1515" s="31"/>
      <c r="E1515" s="31"/>
      <c r="F1515" s="31"/>
    </row>
    <row r="1516" spans="1:6" x14ac:dyDescent="0.2">
      <c r="A1516" s="44">
        <v>122</v>
      </c>
      <c r="B1516" s="43"/>
      <c r="C1516" s="44" t="s">
        <v>1567</v>
      </c>
      <c r="D1516" s="31"/>
      <c r="E1516" s="31"/>
      <c r="F1516" s="31"/>
    </row>
    <row r="1517" spans="1:6" x14ac:dyDescent="0.2">
      <c r="A1517" s="44">
        <v>128</v>
      </c>
      <c r="B1517" s="43"/>
      <c r="C1517" s="44" t="s">
        <v>1568</v>
      </c>
      <c r="D1517" s="31"/>
      <c r="E1517" s="31"/>
      <c r="F1517" s="31"/>
    </row>
    <row r="1518" spans="1:6" x14ac:dyDescent="0.2">
      <c r="A1518" s="44">
        <v>129</v>
      </c>
      <c r="B1518" s="43"/>
      <c r="C1518" s="44" t="s">
        <v>1569</v>
      </c>
      <c r="D1518" s="31"/>
      <c r="E1518" s="31"/>
      <c r="F1518" s="31"/>
    </row>
    <row r="1519" spans="1:6" x14ac:dyDescent="0.2">
      <c r="A1519" s="44">
        <v>130</v>
      </c>
      <c r="B1519" s="43"/>
      <c r="C1519" s="44" t="s">
        <v>1570</v>
      </c>
      <c r="D1519" s="31"/>
      <c r="E1519" s="31"/>
      <c r="F1519" s="31"/>
    </row>
    <row r="1520" spans="1:6" x14ac:dyDescent="0.2">
      <c r="A1520" s="44">
        <v>131</v>
      </c>
      <c r="B1520" s="43"/>
      <c r="C1520" s="44" t="s">
        <v>1571</v>
      </c>
      <c r="D1520" s="31"/>
      <c r="E1520" s="31"/>
      <c r="F1520" s="31"/>
    </row>
    <row r="1521" spans="1:6" x14ac:dyDescent="0.2">
      <c r="A1521" s="44">
        <v>132</v>
      </c>
      <c r="B1521" s="43"/>
      <c r="C1521" s="44" t="s">
        <v>1572</v>
      </c>
      <c r="D1521" s="31"/>
      <c r="E1521" s="31"/>
      <c r="F1521" s="31"/>
    </row>
    <row r="1522" spans="1:6" x14ac:dyDescent="0.2">
      <c r="A1522" s="44">
        <v>133</v>
      </c>
      <c r="B1522" s="43"/>
      <c r="C1522" s="44" t="s">
        <v>1573</v>
      </c>
      <c r="D1522" s="31"/>
      <c r="E1522" s="31"/>
      <c r="F1522" s="31"/>
    </row>
    <row r="1523" spans="1:6" x14ac:dyDescent="0.2">
      <c r="A1523" s="44">
        <v>134</v>
      </c>
      <c r="B1523" s="43"/>
      <c r="C1523" s="44" t="s">
        <v>1574</v>
      </c>
      <c r="D1523" s="31"/>
      <c r="E1523" s="31"/>
      <c r="F1523" s="31"/>
    </row>
    <row r="1524" spans="1:6" x14ac:dyDescent="0.2">
      <c r="A1524" s="44">
        <v>135</v>
      </c>
      <c r="B1524" s="43"/>
      <c r="C1524" s="44" t="s">
        <v>1575</v>
      </c>
      <c r="D1524" s="31"/>
      <c r="E1524" s="31"/>
      <c r="F1524" s="31"/>
    </row>
    <row r="1525" spans="1:6" x14ac:dyDescent="0.2">
      <c r="A1525" s="44">
        <v>136</v>
      </c>
      <c r="B1525" s="43"/>
      <c r="C1525" s="44" t="s">
        <v>1576</v>
      </c>
      <c r="D1525" s="31"/>
      <c r="E1525" s="31"/>
      <c r="F1525" s="31"/>
    </row>
    <row r="1526" spans="1:6" x14ac:dyDescent="0.2">
      <c r="A1526" s="44">
        <v>137</v>
      </c>
      <c r="B1526" s="43"/>
      <c r="C1526" s="44" t="s">
        <v>1577</v>
      </c>
      <c r="D1526" s="31"/>
      <c r="E1526" s="31"/>
      <c r="F1526" s="31"/>
    </row>
    <row r="1527" spans="1:6" x14ac:dyDescent="0.2">
      <c r="A1527" s="44">
        <v>138</v>
      </c>
      <c r="B1527" s="43"/>
      <c r="C1527" s="44" t="s">
        <v>1578</v>
      </c>
      <c r="D1527" s="31"/>
      <c r="E1527" s="31"/>
      <c r="F1527" s="31"/>
    </row>
    <row r="1528" spans="1:6" x14ac:dyDescent="0.2">
      <c r="A1528" s="44">
        <v>139</v>
      </c>
      <c r="B1528" s="43"/>
      <c r="C1528" s="44" t="s">
        <v>1579</v>
      </c>
      <c r="D1528" s="31"/>
      <c r="E1528" s="31"/>
      <c r="F1528" s="31"/>
    </row>
    <row r="1529" spans="1:6" x14ac:dyDescent="0.2">
      <c r="A1529" s="44">
        <v>140</v>
      </c>
      <c r="B1529" s="43"/>
      <c r="C1529" s="44" t="s">
        <v>1580</v>
      </c>
      <c r="D1529" s="31"/>
      <c r="E1529" s="31"/>
      <c r="F1529" s="31"/>
    </row>
    <row r="1530" spans="1:6" x14ac:dyDescent="0.2">
      <c r="A1530" s="44">
        <v>144</v>
      </c>
      <c r="B1530" s="43"/>
      <c r="C1530" s="44" t="s">
        <v>1581</v>
      </c>
      <c r="D1530" s="31"/>
      <c r="E1530" s="31"/>
      <c r="F1530" s="31"/>
    </row>
    <row r="1531" spans="1:6" x14ac:dyDescent="0.2">
      <c r="A1531" s="44">
        <v>145</v>
      </c>
      <c r="B1531" s="43"/>
      <c r="C1531" s="44" t="s">
        <v>1582</v>
      </c>
      <c r="D1531" s="31"/>
      <c r="E1531" s="31"/>
      <c r="F1531" s="31"/>
    </row>
    <row r="1532" spans="1:6" x14ac:dyDescent="0.2">
      <c r="A1532" s="44">
        <v>146</v>
      </c>
      <c r="B1532" s="43"/>
      <c r="C1532" s="44" t="s">
        <v>1583</v>
      </c>
      <c r="D1532" s="31"/>
      <c r="E1532" s="31"/>
      <c r="F1532" s="31"/>
    </row>
    <row r="1533" spans="1:6" x14ac:dyDescent="0.2">
      <c r="A1533" s="44">
        <v>147</v>
      </c>
      <c r="B1533" s="43"/>
      <c r="C1533" s="44" t="s">
        <v>1584</v>
      </c>
      <c r="D1533" s="31"/>
      <c r="E1533" s="31"/>
      <c r="F1533" s="31"/>
    </row>
    <row r="1534" spans="1:6" x14ac:dyDescent="0.2">
      <c r="A1534" s="44">
        <v>148</v>
      </c>
      <c r="B1534" s="43"/>
      <c r="C1534" s="44" t="s">
        <v>1585</v>
      </c>
      <c r="D1534" s="31"/>
      <c r="E1534" s="31"/>
      <c r="F1534" s="31"/>
    </row>
    <row r="1535" spans="1:6" x14ac:dyDescent="0.2">
      <c r="A1535" s="44">
        <v>149</v>
      </c>
      <c r="B1535" s="43"/>
      <c r="C1535" s="44" t="s">
        <v>1586</v>
      </c>
      <c r="D1535" s="31"/>
      <c r="E1535" s="31"/>
      <c r="F1535" s="31"/>
    </row>
    <row r="1536" spans="1:6" x14ac:dyDescent="0.2">
      <c r="A1536" s="44">
        <v>150</v>
      </c>
      <c r="B1536" s="43"/>
      <c r="C1536" s="44" t="s">
        <v>1587</v>
      </c>
      <c r="D1536" s="31"/>
      <c r="E1536" s="31"/>
      <c r="F1536" s="31"/>
    </row>
    <row r="1537" spans="1:6" x14ac:dyDescent="0.2">
      <c r="A1537" s="44">
        <v>151</v>
      </c>
      <c r="B1537" s="43"/>
      <c r="C1537" s="44" t="s">
        <v>1588</v>
      </c>
      <c r="D1537" s="31"/>
      <c r="E1537" s="31"/>
      <c r="F1537" s="31"/>
    </row>
    <row r="1538" spans="1:6" x14ac:dyDescent="0.2">
      <c r="A1538" s="44">
        <v>152</v>
      </c>
      <c r="B1538" s="43"/>
      <c r="C1538" s="44" t="s">
        <v>1589</v>
      </c>
      <c r="D1538" s="31"/>
      <c r="E1538" s="31"/>
      <c r="F1538" s="31"/>
    </row>
    <row r="1539" spans="1:6" x14ac:dyDescent="0.2">
      <c r="A1539" s="44">
        <v>1064</v>
      </c>
      <c r="B1539" s="43"/>
      <c r="C1539" s="44" t="s">
        <v>1590</v>
      </c>
      <c r="D1539" s="31"/>
      <c r="E1539" s="31"/>
      <c r="F1539" s="31"/>
    </row>
    <row r="1540" spans="1:6" x14ac:dyDescent="0.2">
      <c r="A1540" s="44">
        <v>1065</v>
      </c>
      <c r="B1540" s="43"/>
      <c r="C1540" s="44" t="s">
        <v>1591</v>
      </c>
      <c r="D1540" s="31"/>
      <c r="E1540" s="31"/>
      <c r="F1540" s="31"/>
    </row>
    <row r="1541" spans="1:6" x14ac:dyDescent="0.2">
      <c r="A1541" s="44">
        <v>1066</v>
      </c>
      <c r="B1541" s="43"/>
      <c r="C1541" s="44" t="s">
        <v>1592</v>
      </c>
      <c r="D1541" s="31"/>
      <c r="E1541" s="31"/>
      <c r="F1541" s="31"/>
    </row>
    <row r="1542" spans="1:6" x14ac:dyDescent="0.2">
      <c r="A1542" s="44">
        <v>1067</v>
      </c>
      <c r="B1542" s="43"/>
      <c r="C1542" s="44" t="s">
        <v>1593</v>
      </c>
      <c r="D1542" s="31"/>
      <c r="E1542" s="31"/>
      <c r="F1542" s="31"/>
    </row>
    <row r="1543" spans="1:6" x14ac:dyDescent="0.2">
      <c r="A1543" s="44">
        <v>1068</v>
      </c>
      <c r="B1543" s="43"/>
      <c r="C1543" s="44" t="s">
        <v>1594</v>
      </c>
      <c r="D1543" s="31"/>
      <c r="E1543" s="31"/>
      <c r="F1543" s="31"/>
    </row>
    <row r="1544" spans="1:6" x14ac:dyDescent="0.2">
      <c r="A1544" s="44">
        <v>1069</v>
      </c>
      <c r="B1544" s="43"/>
      <c r="C1544" s="44" t="s">
        <v>1595</v>
      </c>
      <c r="D1544" s="31"/>
      <c r="E1544" s="31"/>
      <c r="F1544" s="31"/>
    </row>
    <row r="1545" spans="1:6" x14ac:dyDescent="0.2">
      <c r="A1545" s="44">
        <v>1070</v>
      </c>
      <c r="B1545" s="43"/>
      <c r="C1545" s="44" t="s">
        <v>1596</v>
      </c>
      <c r="D1545" s="31"/>
      <c r="E1545" s="31"/>
      <c r="F1545" s="31"/>
    </row>
    <row r="1546" spans="1:6" x14ac:dyDescent="0.2">
      <c r="A1546" s="44">
        <v>1071</v>
      </c>
      <c r="B1546" s="43"/>
      <c r="C1546" s="44" t="s">
        <v>1597</v>
      </c>
      <c r="D1546" s="31"/>
      <c r="E1546" s="31"/>
      <c r="F1546" s="31"/>
    </row>
    <row r="1547" spans="1:6" x14ac:dyDescent="0.2">
      <c r="A1547" s="44">
        <v>1072</v>
      </c>
      <c r="B1547" s="43"/>
      <c r="C1547" s="44" t="s">
        <v>1598</v>
      </c>
      <c r="D1547" s="31"/>
      <c r="E1547" s="31"/>
      <c r="F1547" s="31"/>
    </row>
    <row r="1548" spans="1:6" x14ac:dyDescent="0.2">
      <c r="A1548" s="44">
        <v>1073</v>
      </c>
      <c r="B1548" s="43"/>
      <c r="C1548" s="44" t="s">
        <v>1599</v>
      </c>
      <c r="D1548" s="31"/>
      <c r="E1548" s="31"/>
      <c r="F1548" s="31"/>
    </row>
    <row r="1549" spans="1:6" x14ac:dyDescent="0.2">
      <c r="A1549" s="44">
        <v>1074</v>
      </c>
      <c r="B1549" s="43"/>
      <c r="C1549" s="44" t="s">
        <v>1600</v>
      </c>
      <c r="D1549" s="31"/>
      <c r="E1549" s="31"/>
      <c r="F1549" s="31"/>
    </row>
    <row r="1550" spans="1:6" x14ac:dyDescent="0.2">
      <c r="A1550" s="44">
        <v>1080</v>
      </c>
      <c r="B1550" s="43"/>
      <c r="C1550" s="44" t="s">
        <v>1601</v>
      </c>
      <c r="D1550" s="31"/>
      <c r="E1550" s="31"/>
      <c r="F1550" s="31"/>
    </row>
    <row r="1551" spans="1:6" x14ac:dyDescent="0.2">
      <c r="A1551" s="44">
        <v>1081</v>
      </c>
      <c r="B1551" s="43"/>
      <c r="C1551" s="44" t="s">
        <v>1602</v>
      </c>
      <c r="D1551" s="31"/>
      <c r="E1551" s="31"/>
      <c r="F1551" s="31"/>
    </row>
    <row r="1552" spans="1:6" x14ac:dyDescent="0.2">
      <c r="A1552" s="44">
        <v>1082</v>
      </c>
      <c r="B1552" s="43"/>
      <c r="C1552" s="44" t="s">
        <v>1603</v>
      </c>
      <c r="D1552" s="31"/>
      <c r="E1552" s="31"/>
      <c r="F1552" s="31"/>
    </row>
    <row r="1553" spans="1:6" x14ac:dyDescent="0.2">
      <c r="A1553" s="44">
        <v>1083</v>
      </c>
      <c r="B1553" s="43"/>
      <c r="C1553" s="44" t="s">
        <v>1604</v>
      </c>
      <c r="D1553" s="31"/>
      <c r="E1553" s="31"/>
      <c r="F1553" s="31"/>
    </row>
    <row r="1554" spans="1:6" x14ac:dyDescent="0.2">
      <c r="A1554" s="44">
        <v>1084</v>
      </c>
      <c r="B1554" s="43"/>
      <c r="C1554" s="44" t="s">
        <v>1605</v>
      </c>
      <c r="D1554" s="31"/>
      <c r="E1554" s="31"/>
      <c r="F1554" s="31"/>
    </row>
    <row r="1555" spans="1:6" x14ac:dyDescent="0.2">
      <c r="A1555" s="44">
        <v>1085</v>
      </c>
      <c r="B1555" s="43"/>
      <c r="C1555" s="44" t="s">
        <v>1606</v>
      </c>
      <c r="D1555" s="31"/>
      <c r="E1555" s="31"/>
      <c r="F1555" s="31"/>
    </row>
    <row r="1556" spans="1:6" x14ac:dyDescent="0.2">
      <c r="A1556" s="44">
        <v>1086</v>
      </c>
      <c r="B1556" s="43"/>
      <c r="C1556" s="44" t="s">
        <v>1607</v>
      </c>
      <c r="D1556" s="31"/>
      <c r="E1556" s="31"/>
      <c r="F1556" s="31"/>
    </row>
    <row r="1557" spans="1:6" x14ac:dyDescent="0.2">
      <c r="A1557" s="44">
        <v>1087</v>
      </c>
      <c r="B1557" s="43"/>
      <c r="C1557" s="44" t="s">
        <v>1608</v>
      </c>
      <c r="D1557" s="31"/>
      <c r="E1557" s="31"/>
      <c r="F1557" s="31"/>
    </row>
    <row r="1558" spans="1:6" x14ac:dyDescent="0.2">
      <c r="A1558" s="44">
        <v>1088</v>
      </c>
      <c r="B1558" s="43"/>
      <c r="C1558" s="44" t="s">
        <v>1609</v>
      </c>
      <c r="D1558" s="31"/>
      <c r="E1558" s="31"/>
      <c r="F1558" s="31"/>
    </row>
    <row r="1559" spans="1:6" x14ac:dyDescent="0.2">
      <c r="A1559" s="44">
        <v>1089</v>
      </c>
      <c r="B1559" s="43"/>
      <c r="C1559" s="44" t="s">
        <v>1610</v>
      </c>
      <c r="D1559" s="31"/>
      <c r="E1559" s="31"/>
      <c r="F1559" s="31"/>
    </row>
    <row r="1560" spans="1:6" x14ac:dyDescent="0.2">
      <c r="A1560" s="44">
        <v>1090</v>
      </c>
      <c r="B1560" s="43"/>
      <c r="C1560" s="44" t="s">
        <v>1611</v>
      </c>
      <c r="D1560" s="31"/>
      <c r="E1560" s="31"/>
      <c r="F1560" s="31"/>
    </row>
    <row r="1561" spans="1:6" x14ac:dyDescent="0.2">
      <c r="A1561" s="44">
        <v>1096</v>
      </c>
      <c r="B1561" s="43"/>
      <c r="C1561" s="44" t="s">
        <v>1612</v>
      </c>
      <c r="D1561" s="31"/>
      <c r="E1561" s="31"/>
      <c r="F1561" s="31"/>
    </row>
    <row r="1562" spans="1:6" x14ac:dyDescent="0.2">
      <c r="A1562" s="44">
        <v>1097</v>
      </c>
      <c r="B1562" s="43"/>
      <c r="C1562" s="44" t="s">
        <v>1613</v>
      </c>
      <c r="D1562" s="31"/>
      <c r="E1562" s="31"/>
      <c r="F1562" s="31"/>
    </row>
    <row r="1563" spans="1:6" x14ac:dyDescent="0.2">
      <c r="A1563" s="44">
        <v>1098</v>
      </c>
      <c r="B1563" s="43"/>
      <c r="C1563" s="44" t="s">
        <v>1614</v>
      </c>
      <c r="D1563" s="31"/>
      <c r="E1563" s="31"/>
      <c r="F1563" s="31"/>
    </row>
    <row r="1564" spans="1:6" x14ac:dyDescent="0.2">
      <c r="A1564" s="44">
        <v>1099</v>
      </c>
      <c r="B1564" s="43"/>
      <c r="C1564" s="44" t="s">
        <v>1615</v>
      </c>
      <c r="D1564" s="31"/>
      <c r="E1564" s="31"/>
      <c r="F1564" s="31"/>
    </row>
    <row r="1565" spans="1:6" x14ac:dyDescent="0.2">
      <c r="A1565" s="44">
        <v>1100</v>
      </c>
      <c r="B1565" s="43"/>
      <c r="C1565" s="44" t="s">
        <v>1616</v>
      </c>
      <c r="D1565" s="31"/>
      <c r="E1565" s="31"/>
      <c r="F1565" s="31"/>
    </row>
    <row r="1566" spans="1:6" x14ac:dyDescent="0.2">
      <c r="A1566" s="44">
        <v>1101</v>
      </c>
      <c r="B1566" s="43"/>
      <c r="C1566" s="44" t="s">
        <v>1617</v>
      </c>
      <c r="D1566" s="31"/>
      <c r="E1566" s="31"/>
      <c r="F1566" s="31"/>
    </row>
    <row r="1567" spans="1:6" x14ac:dyDescent="0.2">
      <c r="A1567" s="44">
        <v>1102</v>
      </c>
      <c r="B1567" s="43"/>
      <c r="C1567" s="44" t="s">
        <v>1618</v>
      </c>
      <c r="D1567" s="31"/>
      <c r="E1567" s="31"/>
      <c r="F1567" s="31"/>
    </row>
    <row r="1568" spans="1:6" x14ac:dyDescent="0.2">
      <c r="A1568" s="44">
        <v>1103</v>
      </c>
      <c r="B1568" s="43"/>
      <c r="C1568" s="44" t="s">
        <v>1619</v>
      </c>
      <c r="D1568" s="31"/>
      <c r="E1568" s="31"/>
      <c r="F1568" s="31"/>
    </row>
    <row r="1569" spans="1:6" x14ac:dyDescent="0.2">
      <c r="A1569" s="44">
        <v>1104</v>
      </c>
      <c r="B1569" s="43"/>
      <c r="C1569" s="44" t="s">
        <v>1620</v>
      </c>
      <c r="D1569" s="31"/>
      <c r="E1569" s="31"/>
      <c r="F1569" s="31"/>
    </row>
    <row r="1570" spans="1:6" x14ac:dyDescent="0.2">
      <c r="A1570" s="44">
        <v>1105</v>
      </c>
      <c r="B1570" s="43"/>
      <c r="C1570" s="44" t="s">
        <v>1612</v>
      </c>
      <c r="D1570" s="31"/>
      <c r="E1570" s="31"/>
      <c r="F1570" s="31"/>
    </row>
    <row r="1571" spans="1:6" x14ac:dyDescent="0.2">
      <c r="A1571" s="44">
        <v>1106</v>
      </c>
      <c r="B1571" s="43"/>
      <c r="C1571" s="44" t="s">
        <v>1613</v>
      </c>
      <c r="D1571" s="31"/>
      <c r="E1571" s="31"/>
      <c r="F1571" s="31"/>
    </row>
    <row r="1572" spans="1:6" x14ac:dyDescent="0.2">
      <c r="A1572" s="44">
        <v>1112</v>
      </c>
      <c r="B1572" s="43"/>
      <c r="C1572" s="44" t="s">
        <v>1621</v>
      </c>
      <c r="D1572" s="31"/>
      <c r="E1572" s="31"/>
      <c r="F1572" s="31"/>
    </row>
    <row r="1573" spans="1:6" x14ac:dyDescent="0.2">
      <c r="A1573" s="44">
        <v>1113</v>
      </c>
      <c r="B1573" s="43"/>
      <c r="C1573" s="44" t="s">
        <v>1622</v>
      </c>
      <c r="D1573" s="31"/>
      <c r="E1573" s="31"/>
      <c r="F1573" s="31"/>
    </row>
    <row r="1574" spans="1:6" x14ac:dyDescent="0.2">
      <c r="A1574" s="44">
        <v>1114</v>
      </c>
      <c r="B1574" s="43"/>
      <c r="C1574" s="44" t="s">
        <v>1623</v>
      </c>
      <c r="D1574" s="31"/>
      <c r="E1574" s="31"/>
      <c r="F1574" s="31"/>
    </row>
    <row r="1575" spans="1:6" x14ac:dyDescent="0.2">
      <c r="A1575" s="44">
        <v>1115</v>
      </c>
      <c r="B1575" s="43"/>
      <c r="C1575" s="44" t="s">
        <v>1624</v>
      </c>
      <c r="D1575" s="31"/>
      <c r="E1575" s="31"/>
      <c r="F1575" s="31"/>
    </row>
    <row r="1576" spans="1:6" x14ac:dyDescent="0.2">
      <c r="A1576" s="44">
        <v>1116</v>
      </c>
      <c r="B1576" s="43"/>
      <c r="C1576" s="44" t="s">
        <v>1625</v>
      </c>
      <c r="D1576" s="31"/>
      <c r="E1576" s="31"/>
      <c r="F1576" s="31"/>
    </row>
    <row r="1577" spans="1:6" x14ac:dyDescent="0.2">
      <c r="A1577" s="44">
        <v>1117</v>
      </c>
      <c r="B1577" s="43"/>
      <c r="C1577" s="44" t="s">
        <v>1626</v>
      </c>
      <c r="D1577" s="31"/>
      <c r="E1577" s="31"/>
      <c r="F1577" s="31"/>
    </row>
    <row r="1578" spans="1:6" x14ac:dyDescent="0.2">
      <c r="A1578" s="44">
        <v>1118</v>
      </c>
      <c r="B1578" s="43"/>
      <c r="C1578" s="44" t="s">
        <v>1627</v>
      </c>
      <c r="D1578" s="31"/>
      <c r="E1578" s="31"/>
      <c r="F1578" s="31"/>
    </row>
    <row r="1579" spans="1:6" x14ac:dyDescent="0.2">
      <c r="A1579" s="44">
        <v>1119</v>
      </c>
      <c r="B1579" s="43"/>
      <c r="C1579" s="44" t="s">
        <v>1628</v>
      </c>
      <c r="D1579" s="31"/>
      <c r="E1579" s="31"/>
      <c r="F1579" s="31"/>
    </row>
    <row r="1580" spans="1:6" x14ac:dyDescent="0.2">
      <c r="A1580" s="44">
        <v>1120</v>
      </c>
      <c r="B1580" s="43"/>
      <c r="C1580" s="44" t="s">
        <v>1629</v>
      </c>
      <c r="D1580" s="31"/>
      <c r="E1580" s="31"/>
      <c r="F1580" s="31"/>
    </row>
    <row r="1581" spans="1:6" x14ac:dyDescent="0.2">
      <c r="A1581" s="44">
        <v>1121</v>
      </c>
      <c r="B1581" s="43"/>
      <c r="C1581" s="44" t="s">
        <v>1630</v>
      </c>
      <c r="D1581" s="31"/>
      <c r="E1581" s="31"/>
      <c r="F1581" s="31"/>
    </row>
    <row r="1582" spans="1:6" x14ac:dyDescent="0.2">
      <c r="A1582" s="44">
        <v>1122</v>
      </c>
      <c r="B1582" s="43"/>
      <c r="C1582" s="44" t="s">
        <v>1631</v>
      </c>
      <c r="D1582" s="31"/>
      <c r="E1582" s="31"/>
      <c r="F1582" s="31"/>
    </row>
    <row r="1583" spans="1:6" x14ac:dyDescent="0.2">
      <c r="A1583" s="44">
        <v>1128</v>
      </c>
      <c r="B1583" s="43"/>
      <c r="C1583" s="44" t="s">
        <v>1632</v>
      </c>
      <c r="D1583" s="31"/>
      <c r="E1583" s="31"/>
      <c r="F1583" s="31"/>
    </row>
    <row r="1584" spans="1:6" x14ac:dyDescent="0.2">
      <c r="A1584" s="44">
        <v>1129</v>
      </c>
      <c r="B1584" s="43"/>
      <c r="C1584" s="44" t="s">
        <v>1633</v>
      </c>
      <c r="D1584" s="31"/>
      <c r="E1584" s="31"/>
      <c r="F1584" s="31"/>
    </row>
    <row r="1585" spans="1:6" x14ac:dyDescent="0.2">
      <c r="A1585" s="44">
        <v>1130</v>
      </c>
      <c r="B1585" s="43"/>
      <c r="C1585" s="44" t="s">
        <v>1634</v>
      </c>
      <c r="D1585" s="31"/>
      <c r="E1585" s="31"/>
      <c r="F1585" s="31"/>
    </row>
    <row r="1586" spans="1:6" x14ac:dyDescent="0.2">
      <c r="A1586" s="44">
        <v>1131</v>
      </c>
      <c r="B1586" s="43"/>
      <c r="C1586" s="44" t="s">
        <v>1635</v>
      </c>
      <c r="D1586" s="31"/>
      <c r="E1586" s="31"/>
      <c r="F1586" s="31"/>
    </row>
    <row r="1587" spans="1:6" x14ac:dyDescent="0.2">
      <c r="A1587" s="44">
        <v>1132</v>
      </c>
      <c r="B1587" s="43"/>
      <c r="C1587" s="44" t="s">
        <v>1636</v>
      </c>
      <c r="D1587" s="31"/>
      <c r="E1587" s="31"/>
      <c r="F1587" s="31"/>
    </row>
    <row r="1588" spans="1:6" x14ac:dyDescent="0.2">
      <c r="A1588" s="44">
        <v>1133</v>
      </c>
      <c r="B1588" s="43"/>
      <c r="C1588" s="44" t="s">
        <v>1637</v>
      </c>
      <c r="D1588" s="31"/>
      <c r="E1588" s="31"/>
      <c r="F1588" s="31"/>
    </row>
    <row r="1589" spans="1:6" x14ac:dyDescent="0.2">
      <c r="A1589" s="44">
        <v>1134</v>
      </c>
      <c r="B1589" s="43"/>
      <c r="C1589" s="44" t="s">
        <v>1638</v>
      </c>
      <c r="D1589" s="31"/>
      <c r="E1589" s="31"/>
      <c r="F1589" s="31"/>
    </row>
    <row r="1590" spans="1:6" x14ac:dyDescent="0.2">
      <c r="A1590" s="44">
        <v>1135</v>
      </c>
      <c r="B1590" s="43"/>
      <c r="C1590" s="44" t="s">
        <v>1639</v>
      </c>
      <c r="D1590" s="31"/>
      <c r="E1590" s="31"/>
      <c r="F1590" s="31"/>
    </row>
    <row r="1591" spans="1:6" x14ac:dyDescent="0.2">
      <c r="A1591" s="44">
        <v>1136</v>
      </c>
      <c r="B1591" s="43"/>
      <c r="C1591" s="44" t="s">
        <v>1640</v>
      </c>
      <c r="D1591" s="31"/>
      <c r="E1591" s="31"/>
      <c r="F1591" s="31"/>
    </row>
    <row r="1592" spans="1:6" x14ac:dyDescent="0.2">
      <c r="A1592" s="44">
        <v>1137</v>
      </c>
      <c r="B1592" s="43"/>
      <c r="C1592" s="44" t="s">
        <v>1641</v>
      </c>
      <c r="D1592" s="31"/>
      <c r="E1592" s="31"/>
      <c r="F1592" s="31"/>
    </row>
    <row r="1593" spans="1:6" x14ac:dyDescent="0.2">
      <c r="A1593" s="44">
        <v>1138</v>
      </c>
      <c r="B1593" s="43"/>
      <c r="C1593" s="44" t="s">
        <v>1642</v>
      </c>
      <c r="D1593" s="31"/>
      <c r="E1593" s="31"/>
      <c r="F1593" s="31"/>
    </row>
    <row r="1594" spans="1:6" x14ac:dyDescent="0.2">
      <c r="A1594" s="44">
        <v>1139</v>
      </c>
      <c r="B1594" s="43"/>
      <c r="C1594" s="44" t="s">
        <v>1643</v>
      </c>
      <c r="D1594" s="31"/>
      <c r="E1594" s="31"/>
      <c r="F1594" s="31"/>
    </row>
    <row r="1595" spans="1:6" x14ac:dyDescent="0.2">
      <c r="A1595" s="44">
        <v>1140</v>
      </c>
      <c r="B1595" s="43"/>
      <c r="C1595" s="44" t="s">
        <v>1644</v>
      </c>
      <c r="D1595" s="31"/>
      <c r="E1595" s="31"/>
      <c r="F1595" s="31"/>
    </row>
    <row r="1596" spans="1:6" x14ac:dyDescent="0.2">
      <c r="A1596" s="44">
        <v>1144</v>
      </c>
      <c r="B1596" s="43"/>
      <c r="C1596" s="44" t="s">
        <v>1645</v>
      </c>
      <c r="D1596" s="31"/>
      <c r="E1596" s="31"/>
      <c r="F1596" s="31"/>
    </row>
    <row r="1597" spans="1:6" x14ac:dyDescent="0.2">
      <c r="A1597" s="44">
        <v>1145</v>
      </c>
      <c r="B1597" s="43"/>
      <c r="C1597" s="44" t="s">
        <v>1646</v>
      </c>
      <c r="D1597" s="31"/>
      <c r="E1597" s="31"/>
      <c r="F1597" s="31"/>
    </row>
    <row r="1598" spans="1:6" x14ac:dyDescent="0.2">
      <c r="A1598" s="44">
        <v>1146</v>
      </c>
      <c r="B1598" s="43"/>
      <c r="C1598" s="44" t="s">
        <v>1647</v>
      </c>
      <c r="D1598" s="31"/>
      <c r="E1598" s="31"/>
      <c r="F1598" s="31"/>
    </row>
    <row r="1599" spans="1:6" x14ac:dyDescent="0.2">
      <c r="A1599" s="44">
        <v>1147</v>
      </c>
      <c r="B1599" s="43"/>
      <c r="C1599" s="44" t="s">
        <v>1648</v>
      </c>
      <c r="D1599" s="31"/>
      <c r="E1599" s="31"/>
      <c r="F1599" s="31"/>
    </row>
    <row r="1600" spans="1:6" x14ac:dyDescent="0.2">
      <c r="A1600" s="44">
        <v>1148</v>
      </c>
      <c r="B1600" s="43"/>
      <c r="C1600" s="44" t="s">
        <v>1649</v>
      </c>
      <c r="D1600" s="31"/>
      <c r="E1600" s="31"/>
      <c r="F1600" s="31"/>
    </row>
    <row r="1601" spans="1:6" x14ac:dyDescent="0.2">
      <c r="A1601" s="44">
        <v>1149</v>
      </c>
      <c r="B1601" s="43"/>
      <c r="C1601" s="44" t="s">
        <v>1650</v>
      </c>
      <c r="D1601" s="31"/>
      <c r="E1601" s="31"/>
      <c r="F1601" s="31"/>
    </row>
    <row r="1602" spans="1:6" x14ac:dyDescent="0.2">
      <c r="A1602" s="44">
        <v>1150</v>
      </c>
      <c r="B1602" s="43"/>
      <c r="C1602" s="44" t="s">
        <v>1651</v>
      </c>
      <c r="D1602" s="31"/>
      <c r="E1602" s="31"/>
      <c r="F1602" s="31"/>
    </row>
    <row r="1603" spans="1:6" x14ac:dyDescent="0.2">
      <c r="A1603" s="44">
        <v>1151</v>
      </c>
      <c r="B1603" s="43"/>
      <c r="C1603" s="44" t="s">
        <v>1652</v>
      </c>
      <c r="D1603" s="31"/>
      <c r="E1603" s="31"/>
      <c r="F1603" s="31"/>
    </row>
    <row r="1604" spans="1:6" x14ac:dyDescent="0.2">
      <c r="A1604" s="44">
        <v>1152</v>
      </c>
      <c r="B1604" s="43"/>
      <c r="C1604" s="44" t="s">
        <v>1653</v>
      </c>
      <c r="D1604" s="31"/>
      <c r="E1604" s="31"/>
      <c r="F1604" s="31"/>
    </row>
    <row r="1605" spans="1:6" x14ac:dyDescent="0.2">
      <c r="A1605" s="44">
        <v>2000</v>
      </c>
      <c r="B1605" s="43"/>
      <c r="C1605" s="44" t="s">
        <v>1654</v>
      </c>
      <c r="D1605" s="31"/>
      <c r="E1605" s="31"/>
      <c r="F1605" s="31"/>
    </row>
    <row r="1606" spans="1:6" x14ac:dyDescent="0.2">
      <c r="A1606" s="44">
        <v>2001</v>
      </c>
      <c r="B1606" s="43"/>
      <c r="C1606" s="44" t="s">
        <v>1655</v>
      </c>
      <c r="D1606" s="31"/>
      <c r="E1606" s="31"/>
      <c r="F1606" s="31"/>
    </row>
    <row r="1607" spans="1:6" x14ac:dyDescent="0.2">
      <c r="A1607" s="44">
        <v>2002</v>
      </c>
      <c r="B1607" s="43"/>
      <c r="C1607" s="44" t="s">
        <v>1656</v>
      </c>
      <c r="D1607" s="31"/>
      <c r="E1607" s="31"/>
      <c r="F1607" s="31"/>
    </row>
    <row r="1608" spans="1:6" x14ac:dyDescent="0.2">
      <c r="A1608" s="44">
        <v>2003</v>
      </c>
      <c r="B1608" s="43"/>
      <c r="C1608" s="44" t="s">
        <v>1657</v>
      </c>
      <c r="D1608" s="31"/>
      <c r="E1608" s="31"/>
      <c r="F1608" s="31"/>
    </row>
    <row r="1609" spans="1:6" x14ac:dyDescent="0.2">
      <c r="A1609" s="44">
        <v>2004</v>
      </c>
      <c r="B1609" s="43"/>
      <c r="C1609" s="44" t="s">
        <v>1658</v>
      </c>
      <c r="D1609" s="31"/>
      <c r="E1609" s="31"/>
      <c r="F1609" s="31"/>
    </row>
    <row r="1610" spans="1:6" x14ac:dyDescent="0.2">
      <c r="A1610" s="44">
        <v>2005</v>
      </c>
      <c r="B1610" s="43"/>
      <c r="C1610" s="44" t="s">
        <v>1659</v>
      </c>
      <c r="D1610" s="31"/>
      <c r="E1610" s="31"/>
      <c r="F1610" s="31"/>
    </row>
    <row r="1611" spans="1:6" x14ac:dyDescent="0.2">
      <c r="A1611" s="44">
        <v>2006</v>
      </c>
      <c r="B1611" s="43"/>
      <c r="C1611" s="44" t="s">
        <v>1660</v>
      </c>
      <c r="D1611" s="31"/>
      <c r="E1611" s="31"/>
      <c r="F1611" s="31"/>
    </row>
    <row r="1612" spans="1:6" x14ac:dyDescent="0.2">
      <c r="A1612" s="44">
        <v>2007</v>
      </c>
      <c r="B1612" s="43"/>
      <c r="C1612" s="44" t="s">
        <v>1661</v>
      </c>
      <c r="D1612" s="31"/>
      <c r="E1612" s="31"/>
      <c r="F1612" s="31"/>
    </row>
    <row r="1613" spans="1:6" x14ac:dyDescent="0.2">
      <c r="A1613" s="44">
        <v>2008</v>
      </c>
      <c r="B1613" s="43"/>
      <c r="C1613" s="44" t="s">
        <v>1662</v>
      </c>
      <c r="D1613" s="31"/>
      <c r="E1613" s="31"/>
      <c r="F1613" s="31"/>
    </row>
    <row r="1614" spans="1:6" x14ac:dyDescent="0.2">
      <c r="A1614" s="44">
        <v>2009</v>
      </c>
      <c r="B1614" s="43"/>
      <c r="C1614" s="44" t="s">
        <v>1663</v>
      </c>
      <c r="D1614" s="31"/>
      <c r="E1614" s="31"/>
      <c r="F1614" s="31"/>
    </row>
    <row r="1615" spans="1:6" x14ac:dyDescent="0.2">
      <c r="A1615" s="44">
        <v>2010</v>
      </c>
      <c r="B1615" s="43"/>
      <c r="C1615" s="44" t="s">
        <v>1664</v>
      </c>
      <c r="D1615" s="31"/>
      <c r="E1615" s="31"/>
      <c r="F1615" s="31"/>
    </row>
    <row r="1616" spans="1:6" x14ac:dyDescent="0.2">
      <c r="A1616" s="44">
        <v>2011</v>
      </c>
      <c r="B1616" s="43"/>
      <c r="C1616" s="44" t="s">
        <v>1665</v>
      </c>
      <c r="D1616" s="31"/>
      <c r="E1616" s="31"/>
      <c r="F1616" s="31"/>
    </row>
    <row r="1617" spans="1:6" x14ac:dyDescent="0.2">
      <c r="A1617" s="44">
        <v>2012</v>
      </c>
      <c r="B1617" s="43"/>
      <c r="C1617" s="44" t="s">
        <v>1666</v>
      </c>
      <c r="D1617" s="31"/>
      <c r="E1617" s="31"/>
      <c r="F1617" s="31"/>
    </row>
    <row r="1618" spans="1:6" x14ac:dyDescent="0.2">
      <c r="A1618" s="44">
        <v>2013</v>
      </c>
      <c r="B1618" s="43"/>
      <c r="C1618" s="44" t="s">
        <v>1667</v>
      </c>
      <c r="D1618" s="31"/>
      <c r="E1618" s="31"/>
      <c r="F1618" s="31"/>
    </row>
    <row r="1619" spans="1:6" x14ac:dyDescent="0.2">
      <c r="A1619" s="44">
        <v>2014</v>
      </c>
      <c r="B1619" s="43"/>
      <c r="C1619" s="44" t="s">
        <v>1668</v>
      </c>
      <c r="D1619" s="31"/>
      <c r="E1619" s="31"/>
      <c r="F1619" s="31"/>
    </row>
    <row r="1620" spans="1:6" x14ac:dyDescent="0.2">
      <c r="A1620" s="44">
        <v>2015</v>
      </c>
      <c r="B1620" s="43"/>
      <c r="C1620" s="44" t="s">
        <v>1669</v>
      </c>
      <c r="D1620" s="31"/>
      <c r="E1620" s="31"/>
      <c r="F1620" s="31"/>
    </row>
    <row r="1621" spans="1:6" x14ac:dyDescent="0.2">
      <c r="A1621" s="44">
        <v>2016</v>
      </c>
      <c r="B1621" s="43"/>
      <c r="C1621" s="44" t="s">
        <v>1670</v>
      </c>
      <c r="D1621" s="31"/>
      <c r="E1621" s="31"/>
      <c r="F1621" s="31"/>
    </row>
    <row r="1622" spans="1:6" x14ac:dyDescent="0.2">
      <c r="A1622" s="44">
        <v>2017</v>
      </c>
      <c r="B1622" s="43"/>
      <c r="C1622" s="44" t="s">
        <v>1671</v>
      </c>
      <c r="D1622" s="31"/>
      <c r="E1622" s="31"/>
      <c r="F1622" s="31"/>
    </row>
    <row r="1623" spans="1:6" x14ac:dyDescent="0.2">
      <c r="A1623" s="44">
        <v>3000</v>
      </c>
      <c r="B1623" s="43"/>
      <c r="C1623" s="44" t="s">
        <v>1672</v>
      </c>
      <c r="D1623" s="31"/>
      <c r="E1623" s="31"/>
      <c r="F1623" s="31"/>
    </row>
    <row r="1624" spans="1:6" x14ac:dyDescent="0.2">
      <c r="A1624" s="44">
        <v>3001</v>
      </c>
      <c r="B1624" s="43"/>
      <c r="C1624" s="44" t="s">
        <v>1673</v>
      </c>
      <c r="D1624" s="31"/>
      <c r="E1624" s="31"/>
      <c r="F1624" s="31"/>
    </row>
    <row r="1625" spans="1:6" x14ac:dyDescent="0.2">
      <c r="A1625" s="44">
        <v>3002</v>
      </c>
      <c r="B1625" s="43"/>
      <c r="C1625" s="44" t="s">
        <v>1674</v>
      </c>
      <c r="D1625" s="31"/>
      <c r="E1625" s="31"/>
      <c r="F1625" s="31"/>
    </row>
    <row r="1626" spans="1:6" x14ac:dyDescent="0.2">
      <c r="A1626" s="44">
        <v>3003</v>
      </c>
      <c r="B1626" s="43"/>
      <c r="C1626" s="44" t="s">
        <v>1675</v>
      </c>
      <c r="D1626" s="31"/>
      <c r="E1626" s="31"/>
      <c r="F1626" s="31"/>
    </row>
    <row r="1627" spans="1:6" x14ac:dyDescent="0.2">
      <c r="A1627" s="44">
        <v>3004</v>
      </c>
      <c r="B1627" s="43"/>
      <c r="C1627" s="44" t="s">
        <v>1676</v>
      </c>
      <c r="D1627" s="31"/>
      <c r="E1627" s="31"/>
      <c r="F1627" s="31"/>
    </row>
    <row r="1628" spans="1:6" x14ac:dyDescent="0.2">
      <c r="A1628" s="44">
        <v>3005</v>
      </c>
      <c r="B1628" s="43"/>
      <c r="C1628" s="44" t="s">
        <v>1677</v>
      </c>
      <c r="D1628" s="31"/>
      <c r="E1628" s="31"/>
      <c r="F1628" s="31"/>
    </row>
    <row r="1629" spans="1:6" x14ac:dyDescent="0.2">
      <c r="A1629" s="44">
        <v>3006</v>
      </c>
      <c r="B1629" s="43"/>
      <c r="C1629" s="44" t="s">
        <v>1678</v>
      </c>
      <c r="D1629" s="31"/>
      <c r="E1629" s="31"/>
      <c r="F1629" s="31"/>
    </row>
    <row r="1630" spans="1:6" x14ac:dyDescent="0.2">
      <c r="A1630" s="44">
        <v>3007</v>
      </c>
      <c r="B1630" s="43"/>
      <c r="C1630" s="44" t="s">
        <v>1679</v>
      </c>
      <c r="D1630" s="31"/>
      <c r="E1630" s="31"/>
      <c r="F1630" s="31"/>
    </row>
    <row r="1631" spans="1:6" x14ac:dyDescent="0.2">
      <c r="A1631" s="44">
        <v>3008</v>
      </c>
      <c r="B1631" s="43"/>
      <c r="C1631" s="44" t="s">
        <v>1680</v>
      </c>
      <c r="D1631" s="31"/>
      <c r="E1631" s="31"/>
      <c r="F1631" s="31"/>
    </row>
    <row r="1632" spans="1:6" x14ac:dyDescent="0.2">
      <c r="A1632" s="44">
        <v>3009</v>
      </c>
      <c r="B1632" s="43"/>
      <c r="C1632" s="44" t="s">
        <v>1681</v>
      </c>
      <c r="D1632" s="31"/>
      <c r="E1632" s="31"/>
      <c r="F1632" s="31"/>
    </row>
    <row r="1633" spans="1:6" x14ac:dyDescent="0.2">
      <c r="A1633" s="44">
        <v>3010</v>
      </c>
      <c r="B1633" s="43"/>
      <c r="C1633" s="44" t="s">
        <v>1682</v>
      </c>
      <c r="D1633" s="31"/>
      <c r="E1633" s="31"/>
      <c r="F1633" s="31"/>
    </row>
    <row r="1634" spans="1:6" x14ac:dyDescent="0.2">
      <c r="A1634" s="44">
        <v>10160</v>
      </c>
      <c r="B1634" s="43"/>
      <c r="C1634" s="44" t="s">
        <v>1683</v>
      </c>
      <c r="D1634" s="31"/>
      <c r="E1634" s="31"/>
      <c r="F1634" s="31"/>
    </row>
    <row r="1635" spans="1:6" x14ac:dyDescent="0.2">
      <c r="A1635" s="44">
        <v>10161</v>
      </c>
      <c r="B1635" s="43"/>
      <c r="C1635" s="44" t="s">
        <v>1684</v>
      </c>
      <c r="D1635" s="31"/>
      <c r="E1635" s="31"/>
      <c r="F1635" s="31"/>
    </row>
    <row r="1636" spans="1:6" x14ac:dyDescent="0.2">
      <c r="A1636" s="44">
        <v>10162</v>
      </c>
      <c r="B1636" s="43"/>
      <c r="C1636" s="44" t="s">
        <v>1685</v>
      </c>
      <c r="D1636" s="31"/>
      <c r="E1636" s="31"/>
      <c r="F1636" s="31"/>
    </row>
    <row r="1637" spans="1:6" x14ac:dyDescent="0.2">
      <c r="A1637" s="44">
        <v>10164</v>
      </c>
      <c r="B1637" s="43"/>
      <c r="C1637" s="44" t="s">
        <v>1686</v>
      </c>
      <c r="D1637" s="31"/>
      <c r="E1637" s="31"/>
      <c r="F1637" s="31"/>
    </row>
    <row r="1638" spans="1:6" x14ac:dyDescent="0.2">
      <c r="A1638" s="44">
        <v>10165</v>
      </c>
      <c r="B1638" s="43"/>
      <c r="C1638" s="44" t="s">
        <v>1687</v>
      </c>
      <c r="D1638" s="31"/>
      <c r="E1638" s="31"/>
      <c r="F1638" s="31"/>
    </row>
    <row r="1639" spans="1:6" x14ac:dyDescent="0.2">
      <c r="A1639" s="44">
        <v>10166</v>
      </c>
      <c r="B1639" s="43"/>
      <c r="C1639" s="44" t="s">
        <v>1688</v>
      </c>
      <c r="D1639" s="31"/>
      <c r="E1639" s="31"/>
      <c r="F1639" s="31"/>
    </row>
    <row r="1640" spans="1:6" x14ac:dyDescent="0.2">
      <c r="A1640" s="44">
        <v>10167</v>
      </c>
      <c r="B1640" s="43"/>
      <c r="C1640" s="44" t="s">
        <v>1689</v>
      </c>
      <c r="D1640" s="31"/>
      <c r="E1640" s="31"/>
      <c r="F1640" s="31"/>
    </row>
    <row r="1641" spans="1:6" x14ac:dyDescent="0.2">
      <c r="A1641" s="44">
        <v>10168</v>
      </c>
      <c r="B1641" s="43"/>
      <c r="C1641" s="44" t="s">
        <v>1690</v>
      </c>
      <c r="D1641" s="31"/>
      <c r="E1641" s="31"/>
      <c r="F1641" s="31"/>
    </row>
    <row r="1642" spans="1:6" x14ac:dyDescent="0.2">
      <c r="A1642" s="44">
        <v>10169</v>
      </c>
      <c r="B1642" s="43"/>
      <c r="C1642" s="44" t="s">
        <v>1691</v>
      </c>
      <c r="D1642" s="31"/>
      <c r="E1642" s="31"/>
      <c r="F1642" s="31"/>
    </row>
    <row r="1643" spans="1:6" x14ac:dyDescent="0.2">
      <c r="A1643" s="44">
        <v>10170</v>
      </c>
      <c r="B1643" s="43"/>
      <c r="C1643" s="44" t="s">
        <v>1692</v>
      </c>
      <c r="D1643" s="31"/>
      <c r="E1643" s="31"/>
      <c r="F1643" s="31"/>
    </row>
    <row r="1644" spans="1:6" x14ac:dyDescent="0.2">
      <c r="A1644" s="44">
        <v>10172</v>
      </c>
      <c r="B1644" s="43"/>
      <c r="C1644" s="44" t="s">
        <v>1693</v>
      </c>
      <c r="D1644" s="31"/>
      <c r="E1644" s="31"/>
      <c r="F1644" s="31"/>
    </row>
    <row r="1645" spans="1:6" x14ac:dyDescent="0.2">
      <c r="A1645" s="44">
        <v>10173</v>
      </c>
      <c r="B1645" s="43"/>
      <c r="C1645" s="44" t="s">
        <v>1694</v>
      </c>
      <c r="D1645" s="31"/>
      <c r="E1645" s="31"/>
      <c r="F1645" s="31"/>
    </row>
    <row r="1646" spans="1:6" x14ac:dyDescent="0.2">
      <c r="A1646" s="44">
        <v>10174</v>
      </c>
      <c r="B1646" s="43"/>
      <c r="C1646" s="44" t="s">
        <v>1695</v>
      </c>
      <c r="D1646" s="31"/>
      <c r="E1646" s="31"/>
      <c r="F1646" s="31"/>
    </row>
    <row r="1647" spans="1:6" x14ac:dyDescent="0.2">
      <c r="A1647" s="44">
        <v>10175</v>
      </c>
      <c r="B1647" s="43"/>
      <c r="C1647" s="44"/>
      <c r="D1647" s="31"/>
      <c r="E1647" s="31"/>
      <c r="F1647" s="31"/>
    </row>
    <row r="1648" spans="1:6" x14ac:dyDescent="0.2">
      <c r="A1648" s="44">
        <v>11160</v>
      </c>
      <c r="B1648" s="43"/>
      <c r="C1648" s="44" t="s">
        <v>1696</v>
      </c>
      <c r="D1648" s="31"/>
      <c r="E1648" s="31"/>
      <c r="F1648" s="31"/>
    </row>
    <row r="1649" spans="1:6" x14ac:dyDescent="0.2">
      <c r="A1649" s="44">
        <v>11161</v>
      </c>
      <c r="B1649" s="43"/>
      <c r="C1649" s="44" t="s">
        <v>1697</v>
      </c>
      <c r="D1649" s="31"/>
      <c r="E1649" s="31"/>
      <c r="F1649" s="31"/>
    </row>
    <row r="1650" spans="1:6" x14ac:dyDescent="0.2">
      <c r="A1650" s="44">
        <v>11162</v>
      </c>
      <c r="B1650" s="43"/>
      <c r="C1650" s="44" t="s">
        <v>1698</v>
      </c>
      <c r="D1650" s="31"/>
      <c r="E1650" s="31"/>
      <c r="F1650" s="31"/>
    </row>
    <row r="1651" spans="1:6" x14ac:dyDescent="0.2">
      <c r="A1651" s="44">
        <v>11164</v>
      </c>
      <c r="B1651" s="43"/>
      <c r="C1651" s="44" t="s">
        <v>1699</v>
      </c>
      <c r="D1651" s="31"/>
      <c r="E1651" s="31"/>
      <c r="F1651" s="31"/>
    </row>
    <row r="1652" spans="1:6" x14ac:dyDescent="0.2">
      <c r="A1652" s="44">
        <v>11165</v>
      </c>
      <c r="B1652" s="43"/>
      <c r="C1652" s="44" t="s">
        <v>1700</v>
      </c>
      <c r="D1652" s="31"/>
      <c r="E1652" s="31"/>
      <c r="F1652" s="31"/>
    </row>
    <row r="1653" spans="1:6" x14ac:dyDescent="0.2">
      <c r="A1653" s="44">
        <v>11166</v>
      </c>
      <c r="B1653" s="43"/>
      <c r="C1653" s="44" t="s">
        <v>1701</v>
      </c>
      <c r="D1653" s="31"/>
      <c r="E1653" s="31"/>
      <c r="F1653" s="31"/>
    </row>
    <row r="1654" spans="1:6" x14ac:dyDescent="0.2">
      <c r="A1654" s="44">
        <v>11167</v>
      </c>
      <c r="B1654" s="43"/>
      <c r="C1654" s="44" t="s">
        <v>1702</v>
      </c>
      <c r="D1654" s="31"/>
      <c r="E1654" s="31"/>
      <c r="F1654" s="31"/>
    </row>
    <row r="1655" spans="1:6" x14ac:dyDescent="0.2">
      <c r="A1655" s="44">
        <v>11168</v>
      </c>
      <c r="B1655" s="43"/>
      <c r="C1655" s="44" t="s">
        <v>1703</v>
      </c>
      <c r="D1655" s="31"/>
      <c r="E1655" s="31"/>
      <c r="F1655" s="31"/>
    </row>
    <row r="1656" spans="1:6" x14ac:dyDescent="0.2">
      <c r="A1656" s="44">
        <v>11169</v>
      </c>
      <c r="B1656" s="43"/>
      <c r="C1656" s="44" t="s">
        <v>1704</v>
      </c>
      <c r="D1656" s="31"/>
      <c r="E1656" s="31"/>
      <c r="F1656" s="31"/>
    </row>
    <row r="1657" spans="1:6" x14ac:dyDescent="0.2">
      <c r="A1657" s="44">
        <v>11170</v>
      </c>
      <c r="B1657" s="43"/>
      <c r="C1657" s="44" t="s">
        <v>1705</v>
      </c>
      <c r="D1657" s="31"/>
      <c r="E1657" s="31"/>
      <c r="F1657" s="31"/>
    </row>
    <row r="1658" spans="1:6" x14ac:dyDescent="0.2">
      <c r="A1658" s="44">
        <v>11172</v>
      </c>
      <c r="B1658" s="43"/>
      <c r="C1658" s="44" t="s">
        <v>1706</v>
      </c>
      <c r="D1658" s="31"/>
      <c r="E1658" s="31"/>
      <c r="F1658" s="31"/>
    </row>
    <row r="1659" spans="1:6" x14ac:dyDescent="0.2">
      <c r="A1659" s="44">
        <v>11173</v>
      </c>
      <c r="B1659" s="43"/>
      <c r="C1659" s="44" t="s">
        <v>1707</v>
      </c>
      <c r="D1659" s="31"/>
      <c r="E1659" s="31"/>
      <c r="F1659" s="31"/>
    </row>
    <row r="1660" spans="1:6" x14ac:dyDescent="0.2">
      <c r="A1660" s="44">
        <v>11174</v>
      </c>
      <c r="B1660" s="43"/>
      <c r="C1660" s="44" t="s">
        <v>1708</v>
      </c>
      <c r="D1660" s="31"/>
      <c r="E1660" s="31"/>
      <c r="F1660" s="31"/>
    </row>
    <row r="1661" spans="1:6" x14ac:dyDescent="0.2">
      <c r="A1661" s="44">
        <v>11175</v>
      </c>
      <c r="B1661" s="43"/>
      <c r="C1661" s="44" t="s">
        <v>1709</v>
      </c>
      <c r="D1661" s="31"/>
      <c r="E1661" s="31"/>
      <c r="F1661" s="31"/>
    </row>
    <row r="1662" spans="1:6" x14ac:dyDescent="0.2">
      <c r="A1662" s="44">
        <v>12018</v>
      </c>
      <c r="B1662" s="43"/>
      <c r="C1662" s="44" t="s">
        <v>1710</v>
      </c>
      <c r="D1662" s="31"/>
      <c r="E1662" s="31"/>
      <c r="F1662" s="31"/>
    </row>
    <row r="1663" spans="1:6" x14ac:dyDescent="0.2">
      <c r="A1663" s="44">
        <v>12019</v>
      </c>
      <c r="B1663" s="43"/>
      <c r="C1663" s="44" t="s">
        <v>1711</v>
      </c>
      <c r="D1663" s="31"/>
      <c r="E1663" s="31"/>
      <c r="F1663" s="31"/>
    </row>
    <row r="1664" spans="1:6" x14ac:dyDescent="0.2">
      <c r="A1664" s="44" t="s">
        <v>37</v>
      </c>
      <c r="B1664" s="43"/>
      <c r="C1664" s="44" t="s">
        <v>1712</v>
      </c>
      <c r="D1664" s="31"/>
      <c r="E1664" s="31"/>
      <c r="F1664" s="31"/>
    </row>
    <row r="1665" spans="1:6" x14ac:dyDescent="0.2">
      <c r="A1665" s="45" t="s">
        <v>36</v>
      </c>
      <c r="B1665" s="43"/>
      <c r="C1665" s="44" t="s">
        <v>1713</v>
      </c>
      <c r="D1665" s="31"/>
      <c r="E1665" s="31"/>
      <c r="F1665" s="31"/>
    </row>
    <row r="1666" spans="1:6" x14ac:dyDescent="0.2">
      <c r="A1666" s="44">
        <v>13000</v>
      </c>
      <c r="B1666" s="43"/>
      <c r="C1666" s="44" t="s">
        <v>1714</v>
      </c>
      <c r="D1666" s="31"/>
      <c r="E1666" s="31"/>
      <c r="F1666" s="31"/>
    </row>
    <row r="1667" spans="1:6" x14ac:dyDescent="0.2">
      <c r="A1667" s="44">
        <v>13001</v>
      </c>
      <c r="B1667" s="43"/>
      <c r="C1667" s="44" t="s">
        <v>1715</v>
      </c>
      <c r="D1667" s="31"/>
      <c r="E1667" s="31"/>
      <c r="F1667" s="31"/>
    </row>
    <row r="1668" spans="1:6" x14ac:dyDescent="0.2">
      <c r="A1668" s="44">
        <v>13100</v>
      </c>
      <c r="B1668" s="43"/>
      <c r="C1668" s="44" t="s">
        <v>1716</v>
      </c>
      <c r="D1668" s="31"/>
      <c r="E1668" s="31"/>
      <c r="F1668" s="31"/>
    </row>
    <row r="1669" spans="1:6" x14ac:dyDescent="0.2">
      <c r="A1669" s="44">
        <v>13101</v>
      </c>
      <c r="B1669" s="43"/>
      <c r="C1669" s="44" t="s">
        <v>1717</v>
      </c>
      <c r="D1669" s="31"/>
      <c r="E1669" s="31"/>
      <c r="F1669" s="31"/>
    </row>
    <row r="1670" spans="1:6" x14ac:dyDescent="0.2">
      <c r="A1670" s="44">
        <v>20192</v>
      </c>
      <c r="B1670" s="43"/>
      <c r="C1670" s="44" t="s">
        <v>1718</v>
      </c>
      <c r="D1670" s="31"/>
      <c r="E1670" s="31"/>
      <c r="F1670" s="31"/>
    </row>
    <row r="1671" spans="1:6" x14ac:dyDescent="0.2">
      <c r="A1671" s="44">
        <v>20193</v>
      </c>
      <c r="B1671" s="43"/>
      <c r="C1671" s="44" t="s">
        <v>1719</v>
      </c>
      <c r="D1671" s="31"/>
      <c r="E1671" s="31"/>
      <c r="F1671" s="31"/>
    </row>
    <row r="1672" spans="1:6" x14ac:dyDescent="0.2">
      <c r="A1672" s="44">
        <v>20194</v>
      </c>
      <c r="B1672" s="43"/>
      <c r="C1672" s="44" t="s">
        <v>1720</v>
      </c>
      <c r="D1672" s="31"/>
      <c r="E1672" s="31"/>
      <c r="F1672" s="31"/>
    </row>
    <row r="1673" spans="1:6" x14ac:dyDescent="0.2">
      <c r="A1673" s="44">
        <v>20195</v>
      </c>
      <c r="B1673" s="43"/>
      <c r="C1673" s="44" t="s">
        <v>1721</v>
      </c>
      <c r="D1673" s="31"/>
      <c r="E1673" s="31"/>
      <c r="F1673" s="31"/>
    </row>
    <row r="1674" spans="1:6" x14ac:dyDescent="0.2">
      <c r="A1674" s="44">
        <v>20196</v>
      </c>
      <c r="B1674" s="43"/>
      <c r="C1674" s="44" t="s">
        <v>1722</v>
      </c>
      <c r="D1674" s="31"/>
      <c r="E1674" s="31"/>
      <c r="F1674" s="31"/>
    </row>
    <row r="1675" spans="1:6" x14ac:dyDescent="0.2">
      <c r="A1675" s="44">
        <v>20197</v>
      </c>
      <c r="B1675" s="43"/>
      <c r="C1675" s="44" t="s">
        <v>1723</v>
      </c>
      <c r="D1675" s="31"/>
      <c r="E1675" s="31"/>
      <c r="F1675" s="31"/>
    </row>
    <row r="1676" spans="1:6" x14ac:dyDescent="0.2">
      <c r="A1676" s="44">
        <v>20198</v>
      </c>
      <c r="B1676" s="43"/>
      <c r="C1676" s="44" t="s">
        <v>1724</v>
      </c>
      <c r="D1676" s="31"/>
      <c r="E1676" s="31"/>
      <c r="F1676" s="31"/>
    </row>
    <row r="1677" spans="1:6" x14ac:dyDescent="0.2">
      <c r="A1677" s="44">
        <v>20199</v>
      </c>
      <c r="B1677" s="43"/>
      <c r="C1677" s="44" t="s">
        <v>1725</v>
      </c>
      <c r="D1677" s="31"/>
      <c r="E1677" s="31"/>
      <c r="F1677" s="31"/>
    </row>
    <row r="1678" spans="1:6" x14ac:dyDescent="0.2">
      <c r="A1678" s="44">
        <v>20200</v>
      </c>
      <c r="B1678" s="43"/>
      <c r="C1678" s="44" t="s">
        <v>1726</v>
      </c>
      <c r="D1678" s="31"/>
      <c r="E1678" s="31"/>
      <c r="F1678" s="31"/>
    </row>
    <row r="1679" spans="1:6" x14ac:dyDescent="0.2">
      <c r="A1679" s="44">
        <v>20201</v>
      </c>
      <c r="B1679" s="43"/>
      <c r="C1679" s="44" t="s">
        <v>1727</v>
      </c>
      <c r="D1679" s="31"/>
      <c r="E1679" s="31"/>
      <c r="F1679" s="31"/>
    </row>
    <row r="1680" spans="1:6" x14ac:dyDescent="0.2">
      <c r="A1680" s="44">
        <v>20202</v>
      </c>
      <c r="B1680" s="43"/>
      <c r="C1680" s="44" t="s">
        <v>1728</v>
      </c>
      <c r="D1680" s="31"/>
      <c r="E1680" s="31"/>
      <c r="F1680" s="31"/>
    </row>
    <row r="1681" spans="1:6" x14ac:dyDescent="0.2">
      <c r="A1681" s="44">
        <v>20203</v>
      </c>
      <c r="B1681" s="43"/>
      <c r="C1681" s="44" t="s">
        <v>1729</v>
      </c>
      <c r="D1681" s="31"/>
      <c r="E1681" s="31"/>
      <c r="F1681" s="31"/>
    </row>
    <row r="1682" spans="1:6" x14ac:dyDescent="0.2">
      <c r="A1682" s="44">
        <v>20204</v>
      </c>
      <c r="B1682" s="43"/>
      <c r="C1682" s="44" t="s">
        <v>1730</v>
      </c>
      <c r="D1682" s="31"/>
      <c r="E1682" s="31"/>
      <c r="F1682" s="31"/>
    </row>
    <row r="1683" spans="1:6" x14ac:dyDescent="0.2">
      <c r="A1683" s="44">
        <v>20205</v>
      </c>
      <c r="B1683" s="43"/>
      <c r="C1683" s="44" t="s">
        <v>1731</v>
      </c>
      <c r="D1683" s="31"/>
      <c r="E1683" s="31"/>
      <c r="F1683" s="31"/>
    </row>
    <row r="1684" spans="1:6" x14ac:dyDescent="0.2">
      <c r="A1684" s="44">
        <v>20206</v>
      </c>
      <c r="B1684" s="43"/>
      <c r="C1684" s="44" t="s">
        <v>1732</v>
      </c>
      <c r="D1684" s="31"/>
      <c r="E1684" s="31"/>
      <c r="F1684" s="31"/>
    </row>
    <row r="1685" spans="1:6" x14ac:dyDescent="0.2">
      <c r="A1685" s="44">
        <v>20208</v>
      </c>
      <c r="B1685" s="43"/>
      <c r="C1685" s="44" t="s">
        <v>1733</v>
      </c>
      <c r="D1685" s="31"/>
      <c r="E1685" s="31"/>
      <c r="F1685" s="31"/>
    </row>
    <row r="1686" spans="1:6" x14ac:dyDescent="0.2">
      <c r="A1686" s="44">
        <v>20209</v>
      </c>
      <c r="B1686" s="43"/>
      <c r="C1686" s="44" t="s">
        <v>1734</v>
      </c>
      <c r="D1686" s="31"/>
      <c r="E1686" s="31"/>
      <c r="F1686" s="31"/>
    </row>
    <row r="1687" spans="1:6" x14ac:dyDescent="0.2">
      <c r="A1687" s="44">
        <v>20210</v>
      </c>
      <c r="B1687" s="43"/>
      <c r="C1687" s="44" t="s">
        <v>1735</v>
      </c>
      <c r="D1687" s="31"/>
      <c r="E1687" s="31"/>
      <c r="F1687" s="31"/>
    </row>
    <row r="1688" spans="1:6" x14ac:dyDescent="0.2">
      <c r="A1688" s="44">
        <v>20211</v>
      </c>
      <c r="B1688" s="43"/>
      <c r="C1688" s="44" t="s">
        <v>1736</v>
      </c>
      <c r="D1688" s="31"/>
      <c r="E1688" s="31"/>
      <c r="F1688" s="31"/>
    </row>
    <row r="1689" spans="1:6" x14ac:dyDescent="0.2">
      <c r="A1689" s="44">
        <v>20212</v>
      </c>
      <c r="B1689" s="43"/>
      <c r="C1689" s="44" t="s">
        <v>1737</v>
      </c>
      <c r="D1689" s="31"/>
      <c r="E1689" s="31"/>
      <c r="F1689" s="31"/>
    </row>
    <row r="1690" spans="1:6" x14ac:dyDescent="0.2">
      <c r="A1690" s="44">
        <v>20213</v>
      </c>
      <c r="B1690" s="43"/>
      <c r="C1690" s="44" t="s">
        <v>1738</v>
      </c>
      <c r="D1690" s="31"/>
      <c r="E1690" s="31"/>
      <c r="F1690" s="31"/>
    </row>
    <row r="1691" spans="1:6" x14ac:dyDescent="0.2">
      <c r="A1691" s="44">
        <v>20214</v>
      </c>
      <c r="B1691" s="43"/>
      <c r="C1691" s="44" t="s">
        <v>1739</v>
      </c>
      <c r="D1691" s="31"/>
      <c r="E1691" s="31"/>
      <c r="F1691" s="31"/>
    </row>
    <row r="1692" spans="1:6" x14ac:dyDescent="0.2">
      <c r="A1692" s="44">
        <v>20215</v>
      </c>
      <c r="B1692" s="43"/>
      <c r="C1692" s="44" t="s">
        <v>1740</v>
      </c>
      <c r="D1692" s="31"/>
      <c r="E1692" s="31"/>
      <c r="F1692" s="31"/>
    </row>
    <row r="1693" spans="1:6" x14ac:dyDescent="0.2">
      <c r="A1693" s="44">
        <v>20216</v>
      </c>
      <c r="B1693" s="43"/>
      <c r="C1693" s="44" t="s">
        <v>1741</v>
      </c>
      <c r="D1693" s="31"/>
      <c r="E1693" s="31"/>
      <c r="F1693" s="31"/>
    </row>
    <row r="1694" spans="1:6" x14ac:dyDescent="0.2">
      <c r="A1694" s="44">
        <v>20217</v>
      </c>
      <c r="B1694" s="43"/>
      <c r="C1694" s="44" t="s">
        <v>1727</v>
      </c>
      <c r="D1694" s="31"/>
      <c r="E1694" s="31"/>
      <c r="F1694" s="31"/>
    </row>
    <row r="1695" spans="1:6" x14ac:dyDescent="0.2">
      <c r="A1695" s="44">
        <v>20704</v>
      </c>
      <c r="B1695" s="43"/>
      <c r="C1695" s="44" t="s">
        <v>1742</v>
      </c>
      <c r="D1695" s="31"/>
      <c r="E1695" s="31"/>
      <c r="F1695" s="31"/>
    </row>
    <row r="1696" spans="1:6" x14ac:dyDescent="0.2">
      <c r="A1696" s="44">
        <v>20705</v>
      </c>
      <c r="B1696" s="43"/>
      <c r="C1696" s="44" t="s">
        <v>1743</v>
      </c>
      <c r="D1696" s="31"/>
      <c r="E1696" s="31"/>
      <c r="F1696" s="31"/>
    </row>
    <row r="1697" spans="1:6" x14ac:dyDescent="0.2">
      <c r="A1697" s="44">
        <v>20706</v>
      </c>
      <c r="B1697" s="43"/>
      <c r="C1697" s="44" t="s">
        <v>1744</v>
      </c>
      <c r="D1697" s="31"/>
      <c r="E1697" s="31"/>
      <c r="F1697" s="31"/>
    </row>
    <row r="1698" spans="1:6" x14ac:dyDescent="0.2">
      <c r="A1698" s="44">
        <v>20707</v>
      </c>
      <c r="B1698" s="43"/>
      <c r="C1698" s="44" t="s">
        <v>1745</v>
      </c>
      <c r="D1698" s="31"/>
      <c r="E1698" s="31"/>
      <c r="F1698" s="31"/>
    </row>
    <row r="1699" spans="1:6" x14ac:dyDescent="0.2">
      <c r="A1699" s="44">
        <v>20708</v>
      </c>
      <c r="B1699" s="43"/>
      <c r="C1699" s="44" t="s">
        <v>1746</v>
      </c>
      <c r="D1699" s="31"/>
      <c r="E1699" s="31"/>
      <c r="F1699" s="31"/>
    </row>
    <row r="1700" spans="1:6" x14ac:dyDescent="0.2">
      <c r="A1700" s="44">
        <v>20709</v>
      </c>
      <c r="B1700" s="43"/>
      <c r="C1700" s="44" t="s">
        <v>1747</v>
      </c>
      <c r="D1700" s="31"/>
      <c r="E1700" s="31"/>
      <c r="F1700" s="31"/>
    </row>
    <row r="1701" spans="1:6" x14ac:dyDescent="0.2">
      <c r="A1701" s="44">
        <v>20710</v>
      </c>
      <c r="B1701" s="43"/>
      <c r="C1701" s="44" t="s">
        <v>1748</v>
      </c>
      <c r="D1701" s="31"/>
      <c r="E1701" s="31"/>
      <c r="F1701" s="31"/>
    </row>
    <row r="1702" spans="1:6" x14ac:dyDescent="0.2">
      <c r="A1702" s="44">
        <v>20711</v>
      </c>
      <c r="B1702" s="43"/>
      <c r="C1702" s="44" t="s">
        <v>1749</v>
      </c>
      <c r="D1702" s="31"/>
      <c r="E1702" s="31"/>
      <c r="F1702" s="31"/>
    </row>
    <row r="1703" spans="1:6" x14ac:dyDescent="0.2">
      <c r="A1703" s="44">
        <v>20712</v>
      </c>
      <c r="B1703" s="43"/>
      <c r="C1703" s="44" t="s">
        <v>1750</v>
      </c>
      <c r="D1703" s="31"/>
      <c r="E1703" s="31"/>
      <c r="F1703" s="31"/>
    </row>
    <row r="1704" spans="1:6" x14ac:dyDescent="0.2">
      <c r="A1704" s="44">
        <v>20713</v>
      </c>
      <c r="B1704" s="43"/>
      <c r="C1704" s="44" t="s">
        <v>1751</v>
      </c>
      <c r="D1704" s="31"/>
      <c r="E1704" s="31"/>
      <c r="F1704" s="31"/>
    </row>
    <row r="1705" spans="1:6" x14ac:dyDescent="0.2">
      <c r="A1705" s="44">
        <v>21192</v>
      </c>
      <c r="B1705" s="43"/>
      <c r="C1705" s="44" t="s">
        <v>1752</v>
      </c>
      <c r="D1705" s="31"/>
      <c r="E1705" s="31"/>
      <c r="F1705" s="31"/>
    </row>
    <row r="1706" spans="1:6" x14ac:dyDescent="0.2">
      <c r="A1706" s="44">
        <v>21193</v>
      </c>
      <c r="B1706" s="43"/>
      <c r="C1706" s="44" t="s">
        <v>1753</v>
      </c>
      <c r="D1706" s="31"/>
      <c r="E1706" s="31"/>
      <c r="F1706" s="31"/>
    </row>
    <row r="1707" spans="1:6" x14ac:dyDescent="0.2">
      <c r="A1707" s="44">
        <v>21194</v>
      </c>
      <c r="B1707" s="43"/>
      <c r="C1707" s="44" t="s">
        <v>1754</v>
      </c>
      <c r="D1707" s="31"/>
      <c r="E1707" s="31"/>
      <c r="F1707" s="31"/>
    </row>
    <row r="1708" spans="1:6" x14ac:dyDescent="0.2">
      <c r="A1708" s="44">
        <v>21195</v>
      </c>
      <c r="B1708" s="43"/>
      <c r="C1708" s="44" t="s">
        <v>1755</v>
      </c>
      <c r="D1708" s="31"/>
      <c r="E1708" s="31"/>
      <c r="F1708" s="31"/>
    </row>
    <row r="1709" spans="1:6" x14ac:dyDescent="0.2">
      <c r="A1709" s="44">
        <v>21196</v>
      </c>
      <c r="B1709" s="43"/>
      <c r="C1709" s="44" t="s">
        <v>1756</v>
      </c>
      <c r="D1709" s="31"/>
      <c r="E1709" s="31"/>
      <c r="F1709" s="31"/>
    </row>
    <row r="1710" spans="1:6" x14ac:dyDescent="0.2">
      <c r="A1710" s="44">
        <v>21197</v>
      </c>
      <c r="B1710" s="43"/>
      <c r="C1710" s="44" t="s">
        <v>1757</v>
      </c>
      <c r="D1710" s="31"/>
      <c r="E1710" s="31"/>
      <c r="F1710" s="31"/>
    </row>
    <row r="1711" spans="1:6" x14ac:dyDescent="0.2">
      <c r="A1711" s="44">
        <v>21198</v>
      </c>
      <c r="B1711" s="43"/>
      <c r="C1711" s="44" t="s">
        <v>1758</v>
      </c>
      <c r="D1711" s="31"/>
      <c r="E1711" s="31"/>
      <c r="F1711" s="31"/>
    </row>
    <row r="1712" spans="1:6" x14ac:dyDescent="0.2">
      <c r="A1712" s="44">
        <v>21199</v>
      </c>
      <c r="B1712" s="43"/>
      <c r="C1712" s="44" t="s">
        <v>1759</v>
      </c>
      <c r="D1712" s="31"/>
      <c r="E1712" s="31"/>
      <c r="F1712" s="31"/>
    </row>
    <row r="1713" spans="1:6" x14ac:dyDescent="0.2">
      <c r="A1713" s="44">
        <v>21200</v>
      </c>
      <c r="B1713" s="43"/>
      <c r="C1713" s="44" t="s">
        <v>1760</v>
      </c>
      <c r="D1713" s="31"/>
      <c r="E1713" s="31"/>
      <c r="F1713" s="31"/>
    </row>
    <row r="1714" spans="1:6" x14ac:dyDescent="0.2">
      <c r="A1714" s="44">
        <v>21201</v>
      </c>
      <c r="B1714" s="43"/>
      <c r="C1714" s="44" t="s">
        <v>1761</v>
      </c>
      <c r="D1714" s="31"/>
      <c r="E1714" s="31"/>
      <c r="F1714" s="31"/>
    </row>
    <row r="1715" spans="1:6" x14ac:dyDescent="0.2">
      <c r="A1715" s="44">
        <v>21202</v>
      </c>
      <c r="B1715" s="43"/>
      <c r="C1715" s="44" t="s">
        <v>1762</v>
      </c>
      <c r="D1715" s="31"/>
      <c r="E1715" s="31"/>
      <c r="F1715" s="31"/>
    </row>
    <row r="1716" spans="1:6" x14ac:dyDescent="0.2">
      <c r="A1716" s="44">
        <v>21203</v>
      </c>
      <c r="B1716" s="43"/>
      <c r="C1716" s="44" t="s">
        <v>1763</v>
      </c>
      <c r="D1716" s="31"/>
      <c r="E1716" s="31"/>
      <c r="F1716" s="31"/>
    </row>
    <row r="1717" spans="1:6" x14ac:dyDescent="0.2">
      <c r="A1717" s="44">
        <v>21204</v>
      </c>
      <c r="B1717" s="43"/>
      <c r="C1717" s="44" t="s">
        <v>1764</v>
      </c>
      <c r="D1717" s="31"/>
      <c r="E1717" s="31"/>
      <c r="F1717" s="31"/>
    </row>
    <row r="1718" spans="1:6" x14ac:dyDescent="0.2">
      <c r="A1718" s="44">
        <v>21205</v>
      </c>
      <c r="B1718" s="43"/>
      <c r="C1718" s="44" t="s">
        <v>1765</v>
      </c>
      <c r="D1718" s="31"/>
      <c r="E1718" s="31"/>
      <c r="F1718" s="31"/>
    </row>
    <row r="1719" spans="1:6" x14ac:dyDescent="0.2">
      <c r="A1719" s="44">
        <v>21206</v>
      </c>
      <c r="B1719" s="43"/>
      <c r="C1719" s="44" t="s">
        <v>1766</v>
      </c>
      <c r="D1719" s="31"/>
      <c r="E1719" s="31"/>
      <c r="F1719" s="31"/>
    </row>
    <row r="1720" spans="1:6" x14ac:dyDescent="0.2">
      <c r="A1720" s="44">
        <v>21208</v>
      </c>
      <c r="B1720" s="43"/>
      <c r="C1720" s="44" t="s">
        <v>1767</v>
      </c>
      <c r="D1720" s="31"/>
      <c r="E1720" s="31"/>
      <c r="F1720" s="31"/>
    </row>
    <row r="1721" spans="1:6" x14ac:dyDescent="0.2">
      <c r="A1721" s="44">
        <v>21210</v>
      </c>
      <c r="B1721" s="43"/>
      <c r="C1721" s="44" t="s">
        <v>1768</v>
      </c>
      <c r="D1721" s="31"/>
      <c r="E1721" s="31"/>
      <c r="F1721" s="31"/>
    </row>
    <row r="1722" spans="1:6" x14ac:dyDescent="0.2">
      <c r="A1722" s="44">
        <v>21212</v>
      </c>
      <c r="B1722" s="43"/>
      <c r="C1722" s="44" t="s">
        <v>1769</v>
      </c>
      <c r="D1722" s="31"/>
      <c r="E1722" s="31"/>
      <c r="F1722" s="31"/>
    </row>
    <row r="1723" spans="1:6" x14ac:dyDescent="0.2">
      <c r="A1723" s="44">
        <v>21214</v>
      </c>
      <c r="B1723" s="43"/>
      <c r="C1723" s="44" t="s">
        <v>1770</v>
      </c>
      <c r="D1723" s="31"/>
      <c r="E1723" s="31"/>
      <c r="F1723" s="31"/>
    </row>
    <row r="1724" spans="1:6" x14ac:dyDescent="0.2">
      <c r="A1724" s="44">
        <v>21216</v>
      </c>
      <c r="B1724" s="43"/>
      <c r="C1724" s="44" t="s">
        <v>1771</v>
      </c>
      <c r="D1724" s="31"/>
      <c r="E1724" s="31"/>
      <c r="F1724" s="31"/>
    </row>
    <row r="1725" spans="1:6" x14ac:dyDescent="0.2">
      <c r="A1725" s="44">
        <v>21704</v>
      </c>
      <c r="B1725" s="43"/>
      <c r="C1725" s="44" t="s">
        <v>1772</v>
      </c>
      <c r="D1725" s="31"/>
      <c r="E1725" s="31"/>
      <c r="F1725" s="31"/>
    </row>
    <row r="1726" spans="1:6" x14ac:dyDescent="0.2">
      <c r="A1726" s="44">
        <v>21705</v>
      </c>
      <c r="B1726" s="43"/>
      <c r="C1726" s="44" t="s">
        <v>1773</v>
      </c>
      <c r="D1726" s="31"/>
      <c r="E1726" s="31"/>
      <c r="F1726" s="31"/>
    </row>
    <row r="1727" spans="1:6" x14ac:dyDescent="0.2">
      <c r="A1727" s="44">
        <v>21706</v>
      </c>
      <c r="B1727" s="43"/>
      <c r="C1727" s="44" t="s">
        <v>1774</v>
      </c>
      <c r="D1727" s="31"/>
      <c r="E1727" s="31"/>
      <c r="F1727" s="31"/>
    </row>
    <row r="1728" spans="1:6" x14ac:dyDescent="0.2">
      <c r="A1728" s="44">
        <v>21707</v>
      </c>
      <c r="B1728" s="43"/>
      <c r="C1728" s="44" t="s">
        <v>1775</v>
      </c>
      <c r="D1728" s="31"/>
      <c r="E1728" s="31"/>
      <c r="F1728" s="31"/>
    </row>
    <row r="1729" spans="1:6" x14ac:dyDescent="0.2">
      <c r="A1729" s="44">
        <v>21708</v>
      </c>
      <c r="B1729" s="43"/>
      <c r="C1729" s="44" t="s">
        <v>1776</v>
      </c>
      <c r="D1729" s="31"/>
      <c r="E1729" s="31"/>
      <c r="F1729" s="31"/>
    </row>
    <row r="1730" spans="1:6" x14ac:dyDescent="0.2">
      <c r="A1730" s="44">
        <v>21709</v>
      </c>
      <c r="B1730" s="43"/>
      <c r="C1730" s="44" t="s">
        <v>1777</v>
      </c>
      <c r="D1730" s="31"/>
      <c r="E1730" s="31"/>
      <c r="F1730" s="31"/>
    </row>
    <row r="1731" spans="1:6" x14ac:dyDescent="0.2">
      <c r="A1731" s="44">
        <v>21710</v>
      </c>
      <c r="B1731" s="43"/>
      <c r="C1731" s="44" t="s">
        <v>1778</v>
      </c>
      <c r="D1731" s="31"/>
      <c r="E1731" s="31"/>
      <c r="F1731" s="31"/>
    </row>
    <row r="1732" spans="1:6" x14ac:dyDescent="0.2">
      <c r="A1732" s="44">
        <v>21711</v>
      </c>
      <c r="B1732" s="43"/>
      <c r="C1732" s="44" t="s">
        <v>1779</v>
      </c>
      <c r="D1732" s="31"/>
      <c r="E1732" s="31"/>
      <c r="F1732" s="31"/>
    </row>
    <row r="1733" spans="1:6" x14ac:dyDescent="0.2">
      <c r="A1733" s="44">
        <v>21712</v>
      </c>
      <c r="B1733" s="43"/>
      <c r="C1733" s="44" t="s">
        <v>1780</v>
      </c>
      <c r="D1733" s="31"/>
      <c r="E1733" s="31"/>
      <c r="F1733" s="31"/>
    </row>
    <row r="1734" spans="1:6" x14ac:dyDescent="0.2">
      <c r="A1734" s="44">
        <v>21713</v>
      </c>
      <c r="B1734" s="43"/>
      <c r="C1734" s="44" t="s">
        <v>1781</v>
      </c>
      <c r="D1734" s="31"/>
      <c r="E1734" s="31"/>
      <c r="F1734" s="31"/>
    </row>
    <row r="1735" spans="1:6" x14ac:dyDescent="0.2">
      <c r="A1735" s="44">
        <v>22020</v>
      </c>
      <c r="B1735" s="43"/>
      <c r="C1735" s="44" t="s">
        <v>1782</v>
      </c>
      <c r="D1735" s="31"/>
      <c r="E1735" s="31"/>
      <c r="F1735" s="31"/>
    </row>
    <row r="1736" spans="1:6" x14ac:dyDescent="0.2">
      <c r="A1736" s="44">
        <v>22021</v>
      </c>
      <c r="B1736" s="43"/>
      <c r="C1736" s="44" t="s">
        <v>1783</v>
      </c>
      <c r="D1736" s="31"/>
      <c r="E1736" s="31"/>
      <c r="F1736" s="31"/>
    </row>
    <row r="1737" spans="1:6" x14ac:dyDescent="0.2">
      <c r="A1737" s="44">
        <v>22022</v>
      </c>
      <c r="B1737" s="43"/>
      <c r="C1737" s="44" t="s">
        <v>1784</v>
      </c>
      <c r="D1737" s="31"/>
      <c r="E1737" s="31"/>
      <c r="F1737" s="31"/>
    </row>
    <row r="1738" spans="1:6" x14ac:dyDescent="0.2">
      <c r="A1738" s="44">
        <v>22023</v>
      </c>
      <c r="B1738" s="43"/>
      <c r="C1738" s="44" t="s">
        <v>1785</v>
      </c>
      <c r="D1738" s="31"/>
      <c r="E1738" s="31"/>
      <c r="F1738" s="31"/>
    </row>
    <row r="1739" spans="1:6" x14ac:dyDescent="0.2">
      <c r="A1739" s="44">
        <v>22024</v>
      </c>
      <c r="B1739" s="43"/>
      <c r="C1739" s="44" t="s">
        <v>1786</v>
      </c>
      <c r="D1739" s="31"/>
      <c r="E1739" s="31"/>
      <c r="F1739" s="31"/>
    </row>
    <row r="1740" spans="1:6" x14ac:dyDescent="0.2">
      <c r="A1740" s="44">
        <v>22025</v>
      </c>
      <c r="B1740" s="43"/>
      <c r="C1740" s="44" t="s">
        <v>1787</v>
      </c>
      <c r="D1740" s="31"/>
      <c r="E1740" s="31"/>
      <c r="F1740" s="31"/>
    </row>
    <row r="1741" spans="1:6" x14ac:dyDescent="0.2">
      <c r="A1741" s="44">
        <v>22026</v>
      </c>
      <c r="B1741" s="43"/>
      <c r="C1741" s="44" t="s">
        <v>1788</v>
      </c>
      <c r="D1741" s="31"/>
      <c r="E1741" s="31"/>
      <c r="F1741" s="31"/>
    </row>
    <row r="1742" spans="1:6" x14ac:dyDescent="0.2">
      <c r="A1742" s="44">
        <v>22027</v>
      </c>
      <c r="B1742" s="43"/>
      <c r="C1742" s="44" t="s">
        <v>1789</v>
      </c>
      <c r="D1742" s="31"/>
      <c r="E1742" s="31"/>
      <c r="F1742" s="31"/>
    </row>
    <row r="1743" spans="1:6" x14ac:dyDescent="0.2">
      <c r="A1743" s="44">
        <v>22028</v>
      </c>
      <c r="B1743" s="43"/>
      <c r="C1743" s="44" t="s">
        <v>1790</v>
      </c>
      <c r="D1743" s="31"/>
      <c r="E1743" s="31"/>
      <c r="F1743" s="31"/>
    </row>
    <row r="1744" spans="1:6" x14ac:dyDescent="0.2">
      <c r="A1744" s="44">
        <v>22029</v>
      </c>
      <c r="B1744" s="43"/>
      <c r="C1744" s="44" t="s">
        <v>1791</v>
      </c>
      <c r="D1744" s="31"/>
      <c r="E1744" s="31"/>
      <c r="F1744" s="31"/>
    </row>
    <row r="1745" spans="1:6" x14ac:dyDescent="0.2">
      <c r="A1745" s="44">
        <v>22030</v>
      </c>
      <c r="B1745" s="43"/>
      <c r="C1745" s="44" t="s">
        <v>1792</v>
      </c>
      <c r="D1745" s="31"/>
      <c r="E1745" s="31"/>
      <c r="F1745" s="31"/>
    </row>
    <row r="1746" spans="1:6" x14ac:dyDescent="0.2">
      <c r="A1746" s="44">
        <v>22031</v>
      </c>
      <c r="B1746" s="43"/>
      <c r="C1746" s="44" t="s">
        <v>1793</v>
      </c>
      <c r="D1746" s="31"/>
      <c r="E1746" s="31"/>
      <c r="F1746" s="31"/>
    </row>
    <row r="1747" spans="1:6" x14ac:dyDescent="0.2">
      <c r="A1747" s="44">
        <v>22032</v>
      </c>
      <c r="B1747" s="43"/>
      <c r="C1747" s="44" t="s">
        <v>1794</v>
      </c>
      <c r="D1747" s="31"/>
      <c r="E1747" s="31"/>
      <c r="F1747" s="31"/>
    </row>
    <row r="1748" spans="1:6" x14ac:dyDescent="0.2">
      <c r="A1748" s="44">
        <v>22033</v>
      </c>
      <c r="B1748" s="43"/>
      <c r="C1748" s="44" t="s">
        <v>1795</v>
      </c>
      <c r="D1748" s="31"/>
      <c r="E1748" s="31"/>
      <c r="F1748" s="31"/>
    </row>
    <row r="1749" spans="1:6" x14ac:dyDescent="0.2">
      <c r="A1749" s="44">
        <v>22034</v>
      </c>
      <c r="B1749" s="43"/>
      <c r="C1749" s="44" t="s">
        <v>1796</v>
      </c>
      <c r="D1749" s="31"/>
      <c r="E1749" s="31"/>
      <c r="F1749" s="31"/>
    </row>
    <row r="1750" spans="1:6" x14ac:dyDescent="0.2">
      <c r="A1750" s="44">
        <v>23000</v>
      </c>
      <c r="B1750" s="43"/>
      <c r="C1750" s="44" t="s">
        <v>1796</v>
      </c>
      <c r="D1750" s="31"/>
      <c r="E1750" s="31"/>
      <c r="F1750" s="31"/>
    </row>
    <row r="1751" spans="1:6" x14ac:dyDescent="0.2">
      <c r="A1751" s="44">
        <v>30224</v>
      </c>
      <c r="B1751" s="43"/>
      <c r="C1751" s="44" t="s">
        <v>1797</v>
      </c>
      <c r="D1751" s="31"/>
      <c r="E1751" s="31"/>
      <c r="F1751" s="31"/>
    </row>
    <row r="1752" spans="1:6" x14ac:dyDescent="0.2">
      <c r="A1752" s="44">
        <v>30225</v>
      </c>
      <c r="B1752" s="43"/>
      <c r="C1752" s="44" t="s">
        <v>1798</v>
      </c>
      <c r="D1752" s="31"/>
      <c r="E1752" s="31"/>
      <c r="F1752" s="31"/>
    </row>
    <row r="1753" spans="1:6" x14ac:dyDescent="0.2">
      <c r="A1753" s="44">
        <v>30226</v>
      </c>
      <c r="B1753" s="43"/>
      <c r="C1753" s="44" t="s">
        <v>1799</v>
      </c>
      <c r="D1753" s="31"/>
      <c r="E1753" s="31"/>
      <c r="F1753" s="31"/>
    </row>
    <row r="1754" spans="1:6" x14ac:dyDescent="0.2">
      <c r="A1754" s="44">
        <v>30227</v>
      </c>
      <c r="B1754" s="43"/>
      <c r="C1754" s="44" t="s">
        <v>1800</v>
      </c>
      <c r="D1754" s="31"/>
      <c r="E1754" s="31"/>
      <c r="F1754" s="31"/>
    </row>
    <row r="1755" spans="1:6" x14ac:dyDescent="0.2">
      <c r="A1755" s="44">
        <v>30228</v>
      </c>
      <c r="B1755" s="43"/>
      <c r="C1755" s="44" t="s">
        <v>1801</v>
      </c>
      <c r="D1755" s="31"/>
      <c r="E1755" s="31"/>
      <c r="F1755" s="31"/>
    </row>
    <row r="1756" spans="1:6" x14ac:dyDescent="0.2">
      <c r="A1756" s="44">
        <v>30229</v>
      </c>
      <c r="B1756" s="43"/>
      <c r="C1756" s="44" t="s">
        <v>1802</v>
      </c>
      <c r="D1756" s="31"/>
      <c r="E1756" s="31"/>
      <c r="F1756" s="31"/>
    </row>
    <row r="1757" spans="1:6" x14ac:dyDescent="0.2">
      <c r="A1757" s="44">
        <v>30230</v>
      </c>
      <c r="B1757" s="43"/>
      <c r="C1757" s="44" t="s">
        <v>1803</v>
      </c>
      <c r="D1757" s="31"/>
      <c r="E1757" s="31"/>
      <c r="F1757" s="31"/>
    </row>
    <row r="1758" spans="1:6" x14ac:dyDescent="0.2">
      <c r="A1758" s="44">
        <v>30231</v>
      </c>
      <c r="B1758" s="43"/>
      <c r="C1758" s="44" t="s">
        <v>1804</v>
      </c>
      <c r="D1758" s="31"/>
      <c r="E1758" s="31"/>
      <c r="F1758" s="31"/>
    </row>
    <row r="1759" spans="1:6" x14ac:dyDescent="0.2">
      <c r="A1759" s="44">
        <v>30232</v>
      </c>
      <c r="B1759" s="43"/>
      <c r="C1759" s="44" t="s">
        <v>1805</v>
      </c>
      <c r="D1759" s="31"/>
      <c r="E1759" s="31"/>
      <c r="F1759" s="31"/>
    </row>
    <row r="1760" spans="1:6" x14ac:dyDescent="0.2">
      <c r="A1760" s="44">
        <v>30233</v>
      </c>
      <c r="B1760" s="43"/>
      <c r="C1760" s="44" t="s">
        <v>1806</v>
      </c>
      <c r="D1760" s="31"/>
      <c r="E1760" s="31"/>
      <c r="F1760" s="31"/>
    </row>
    <row r="1761" spans="1:6" x14ac:dyDescent="0.2">
      <c r="A1761" s="44">
        <v>30234</v>
      </c>
      <c r="B1761" s="43"/>
      <c r="C1761" s="44" t="s">
        <v>1807</v>
      </c>
      <c r="D1761" s="31"/>
      <c r="E1761" s="31"/>
      <c r="F1761" s="31"/>
    </row>
    <row r="1762" spans="1:6" x14ac:dyDescent="0.2">
      <c r="A1762" s="44">
        <v>30235</v>
      </c>
      <c r="B1762" s="43"/>
      <c r="C1762" s="44" t="s">
        <v>1808</v>
      </c>
      <c r="D1762" s="31"/>
      <c r="E1762" s="31"/>
      <c r="F1762" s="31"/>
    </row>
    <row r="1763" spans="1:6" x14ac:dyDescent="0.2">
      <c r="A1763" s="44">
        <v>30236</v>
      </c>
      <c r="B1763" s="43"/>
      <c r="C1763" s="44" t="s">
        <v>1809</v>
      </c>
      <c r="D1763" s="31"/>
      <c r="E1763" s="31"/>
      <c r="F1763" s="31"/>
    </row>
    <row r="1764" spans="1:6" x14ac:dyDescent="0.2">
      <c r="A1764" s="44">
        <v>30237</v>
      </c>
      <c r="B1764" s="43"/>
      <c r="C1764" s="44" t="s">
        <v>1810</v>
      </c>
      <c r="D1764" s="31"/>
      <c r="E1764" s="31"/>
      <c r="F1764" s="31"/>
    </row>
    <row r="1765" spans="1:6" x14ac:dyDescent="0.2">
      <c r="A1765" s="44">
        <v>30238</v>
      </c>
      <c r="B1765" s="43"/>
      <c r="C1765" s="44" t="s">
        <v>1811</v>
      </c>
      <c r="D1765" s="31"/>
      <c r="E1765" s="31"/>
      <c r="F1765" s="31"/>
    </row>
    <row r="1766" spans="1:6" x14ac:dyDescent="0.2">
      <c r="A1766" s="44">
        <v>30239</v>
      </c>
      <c r="B1766" s="43"/>
      <c r="C1766" s="44" t="s">
        <v>1812</v>
      </c>
      <c r="D1766" s="31"/>
      <c r="E1766" s="31"/>
      <c r="F1766" s="31"/>
    </row>
    <row r="1767" spans="1:6" x14ac:dyDescent="0.2">
      <c r="A1767" s="44">
        <v>30240</v>
      </c>
      <c r="B1767" s="43"/>
      <c r="C1767" s="44" t="s">
        <v>1813</v>
      </c>
      <c r="D1767" s="31"/>
      <c r="E1767" s="31"/>
      <c r="F1767" s="31"/>
    </row>
    <row r="1768" spans="1:6" x14ac:dyDescent="0.2">
      <c r="A1768" s="44">
        <v>30241</v>
      </c>
      <c r="B1768" s="43"/>
      <c r="C1768" s="44" t="s">
        <v>1814</v>
      </c>
      <c r="D1768" s="31"/>
      <c r="E1768" s="31"/>
      <c r="F1768" s="31"/>
    </row>
    <row r="1769" spans="1:6" x14ac:dyDescent="0.2">
      <c r="A1769" s="44">
        <v>30242</v>
      </c>
      <c r="B1769" s="43"/>
      <c r="C1769" s="44" t="s">
        <v>1815</v>
      </c>
      <c r="D1769" s="31"/>
      <c r="E1769" s="31"/>
      <c r="F1769" s="31"/>
    </row>
    <row r="1770" spans="1:6" x14ac:dyDescent="0.2">
      <c r="A1770" s="44">
        <v>30243</v>
      </c>
      <c r="B1770" s="43"/>
      <c r="C1770" s="44" t="s">
        <v>1816</v>
      </c>
      <c r="D1770" s="31"/>
      <c r="E1770" s="31"/>
      <c r="F1770" s="31"/>
    </row>
    <row r="1771" spans="1:6" x14ac:dyDescent="0.2">
      <c r="A1771" s="44">
        <v>30244</v>
      </c>
      <c r="B1771" s="43"/>
      <c r="C1771" s="44" t="s">
        <v>1817</v>
      </c>
      <c r="D1771" s="31"/>
      <c r="E1771" s="31"/>
      <c r="F1771" s="31"/>
    </row>
    <row r="1772" spans="1:6" x14ac:dyDescent="0.2">
      <c r="A1772" s="44">
        <v>30245</v>
      </c>
      <c r="B1772" s="43"/>
      <c r="C1772" s="44" t="s">
        <v>1818</v>
      </c>
      <c r="D1772" s="31"/>
      <c r="E1772" s="31"/>
      <c r="F1772" s="31"/>
    </row>
    <row r="1773" spans="1:6" x14ac:dyDescent="0.2">
      <c r="A1773" s="44">
        <v>30246</v>
      </c>
      <c r="B1773" s="43"/>
      <c r="C1773" s="44" t="s">
        <v>1819</v>
      </c>
      <c r="D1773" s="31"/>
      <c r="E1773" s="31"/>
      <c r="F1773" s="31"/>
    </row>
    <row r="1774" spans="1:6" x14ac:dyDescent="0.2">
      <c r="A1774" s="44">
        <v>30247</v>
      </c>
      <c r="B1774" s="43"/>
      <c r="C1774" s="44" t="s">
        <v>1820</v>
      </c>
      <c r="D1774" s="31"/>
      <c r="E1774" s="31"/>
      <c r="F1774" s="31"/>
    </row>
    <row r="1775" spans="1:6" x14ac:dyDescent="0.2">
      <c r="A1775" s="44">
        <v>30248</v>
      </c>
      <c r="B1775" s="43"/>
      <c r="C1775" s="44" t="s">
        <v>1821</v>
      </c>
      <c r="D1775" s="31"/>
      <c r="E1775" s="31"/>
      <c r="F1775" s="31"/>
    </row>
    <row r="1776" spans="1:6" x14ac:dyDescent="0.2">
      <c r="A1776" s="44">
        <v>30249</v>
      </c>
      <c r="B1776" s="43"/>
      <c r="C1776" s="44" t="s">
        <v>1822</v>
      </c>
      <c r="D1776" s="31"/>
      <c r="E1776" s="31"/>
      <c r="F1776" s="31"/>
    </row>
    <row r="1777" spans="1:6" x14ac:dyDescent="0.2">
      <c r="A1777" s="44">
        <v>30250</v>
      </c>
      <c r="B1777" s="43"/>
      <c r="C1777" s="44" t="s">
        <v>1823</v>
      </c>
      <c r="D1777" s="31"/>
      <c r="E1777" s="31"/>
      <c r="F1777" s="31"/>
    </row>
    <row r="1778" spans="1:6" x14ac:dyDescent="0.2">
      <c r="A1778" s="44">
        <v>30251</v>
      </c>
      <c r="B1778" s="43"/>
      <c r="C1778" s="44" t="s">
        <v>1824</v>
      </c>
      <c r="D1778" s="31"/>
      <c r="E1778" s="31"/>
      <c r="F1778" s="31"/>
    </row>
    <row r="1779" spans="1:6" x14ac:dyDescent="0.2">
      <c r="A1779" s="44">
        <v>30252</v>
      </c>
      <c r="B1779" s="43"/>
      <c r="C1779" s="44" t="s">
        <v>1825</v>
      </c>
      <c r="D1779" s="31"/>
      <c r="E1779" s="31"/>
      <c r="F1779" s="31"/>
    </row>
    <row r="1780" spans="1:6" x14ac:dyDescent="0.2">
      <c r="A1780" s="44">
        <v>30253</v>
      </c>
      <c r="B1780" s="43"/>
      <c r="C1780" s="44" t="s">
        <v>1826</v>
      </c>
      <c r="D1780" s="31"/>
      <c r="E1780" s="31"/>
      <c r="F1780" s="31"/>
    </row>
    <row r="1781" spans="1:6" x14ac:dyDescent="0.2">
      <c r="A1781" s="44">
        <v>30254</v>
      </c>
      <c r="B1781" s="43"/>
      <c r="C1781" s="44" t="s">
        <v>1827</v>
      </c>
      <c r="D1781" s="31"/>
      <c r="E1781" s="31"/>
      <c r="F1781" s="31"/>
    </row>
    <row r="1782" spans="1:6" x14ac:dyDescent="0.2">
      <c r="A1782" s="44">
        <v>30256</v>
      </c>
      <c r="B1782" s="43"/>
      <c r="C1782" s="44" t="s">
        <v>1828</v>
      </c>
      <c r="D1782" s="31"/>
      <c r="E1782" s="31"/>
      <c r="F1782" s="31"/>
    </row>
    <row r="1783" spans="1:6" x14ac:dyDescent="0.2">
      <c r="A1783" s="44">
        <v>30257</v>
      </c>
      <c r="B1783" s="43"/>
      <c r="C1783" s="44" t="s">
        <v>1829</v>
      </c>
      <c r="D1783" s="31"/>
      <c r="E1783" s="31"/>
      <c r="F1783" s="31"/>
    </row>
    <row r="1784" spans="1:6" x14ac:dyDescent="0.2">
      <c r="A1784" s="44">
        <v>30258</v>
      </c>
      <c r="B1784" s="43"/>
      <c r="C1784" s="44" t="s">
        <v>1830</v>
      </c>
      <c r="D1784" s="31"/>
      <c r="E1784" s="31"/>
      <c r="F1784" s="31"/>
    </row>
    <row r="1785" spans="1:6" x14ac:dyDescent="0.2">
      <c r="A1785" s="44">
        <v>30259</v>
      </c>
      <c r="B1785" s="43"/>
      <c r="C1785" s="44" t="s">
        <v>1831</v>
      </c>
      <c r="D1785" s="31"/>
      <c r="E1785" s="31"/>
      <c r="F1785" s="31"/>
    </row>
    <row r="1786" spans="1:6" x14ac:dyDescent="0.2">
      <c r="A1786" s="44">
        <v>30260</v>
      </c>
      <c r="B1786" s="43"/>
      <c r="C1786" s="44" t="s">
        <v>1832</v>
      </c>
      <c r="D1786" s="31"/>
      <c r="E1786" s="31"/>
      <c r="F1786" s="31"/>
    </row>
    <row r="1787" spans="1:6" x14ac:dyDescent="0.2">
      <c r="A1787" s="44">
        <v>30261</v>
      </c>
      <c r="B1787" s="43"/>
      <c r="C1787" s="44" t="s">
        <v>1833</v>
      </c>
      <c r="D1787" s="31"/>
      <c r="E1787" s="31"/>
      <c r="F1787" s="31"/>
    </row>
    <row r="1788" spans="1:6" x14ac:dyDescent="0.2">
      <c r="A1788" s="44">
        <v>30262</v>
      </c>
      <c r="B1788" s="43"/>
      <c r="C1788" s="44" t="s">
        <v>1834</v>
      </c>
      <c r="D1788" s="31"/>
      <c r="E1788" s="31"/>
      <c r="F1788" s="31"/>
    </row>
    <row r="1789" spans="1:6" x14ac:dyDescent="0.2">
      <c r="A1789" s="44">
        <v>30263</v>
      </c>
      <c r="B1789" s="43"/>
      <c r="C1789" s="44" t="s">
        <v>1835</v>
      </c>
      <c r="D1789" s="31"/>
      <c r="E1789" s="31"/>
      <c r="F1789" s="31"/>
    </row>
    <row r="1790" spans="1:6" x14ac:dyDescent="0.2">
      <c r="A1790" s="44">
        <v>30264</v>
      </c>
      <c r="B1790" s="43"/>
      <c r="C1790" s="44" t="s">
        <v>1836</v>
      </c>
      <c r="D1790" s="31"/>
      <c r="E1790" s="31"/>
      <c r="F1790" s="31"/>
    </row>
    <row r="1791" spans="1:6" x14ac:dyDescent="0.2">
      <c r="A1791" s="44">
        <v>30265</v>
      </c>
      <c r="B1791" s="43"/>
      <c r="C1791" s="44" t="s">
        <v>1837</v>
      </c>
      <c r="D1791" s="31"/>
      <c r="E1791" s="31"/>
      <c r="F1791" s="31"/>
    </row>
    <row r="1792" spans="1:6" x14ac:dyDescent="0.2">
      <c r="A1792" s="44">
        <v>30266</v>
      </c>
      <c r="B1792" s="43"/>
      <c r="C1792" s="44" t="s">
        <v>1838</v>
      </c>
      <c r="D1792" s="31"/>
      <c r="E1792" s="31"/>
      <c r="F1792" s="31"/>
    </row>
    <row r="1793" spans="1:6" x14ac:dyDescent="0.2">
      <c r="A1793" s="44">
        <v>30267</v>
      </c>
      <c r="B1793" s="43"/>
      <c r="C1793" s="44" t="s">
        <v>1839</v>
      </c>
      <c r="D1793" s="31"/>
      <c r="E1793" s="31"/>
      <c r="F1793" s="31"/>
    </row>
    <row r="1794" spans="1:6" x14ac:dyDescent="0.2">
      <c r="A1794" s="44">
        <v>31224</v>
      </c>
      <c r="B1794" s="43"/>
      <c r="C1794" s="44" t="s">
        <v>1840</v>
      </c>
      <c r="D1794" s="31"/>
      <c r="E1794" s="31"/>
      <c r="F1794" s="31"/>
    </row>
    <row r="1795" spans="1:6" x14ac:dyDescent="0.2">
      <c r="A1795" s="44">
        <v>31225</v>
      </c>
      <c r="B1795" s="43"/>
      <c r="C1795" s="44" t="s">
        <v>1841</v>
      </c>
      <c r="D1795" s="31"/>
      <c r="E1795" s="31"/>
      <c r="F1795" s="31"/>
    </row>
    <row r="1796" spans="1:6" x14ac:dyDescent="0.2">
      <c r="A1796" s="44">
        <v>31226</v>
      </c>
      <c r="B1796" s="43"/>
      <c r="C1796" s="44" t="s">
        <v>1842</v>
      </c>
      <c r="D1796" s="31"/>
      <c r="E1796" s="31"/>
      <c r="F1796" s="31"/>
    </row>
    <row r="1797" spans="1:6" x14ac:dyDescent="0.2">
      <c r="A1797" s="44">
        <v>31227</v>
      </c>
      <c r="B1797" s="43"/>
      <c r="C1797" s="44" t="s">
        <v>1843</v>
      </c>
      <c r="D1797" s="31"/>
      <c r="E1797" s="31"/>
      <c r="F1797" s="31"/>
    </row>
    <row r="1798" spans="1:6" x14ac:dyDescent="0.2">
      <c r="A1798" s="44">
        <v>31228</v>
      </c>
      <c r="B1798" s="43"/>
      <c r="C1798" s="44" t="s">
        <v>1844</v>
      </c>
      <c r="D1798" s="31"/>
      <c r="E1798" s="31"/>
      <c r="F1798" s="31"/>
    </row>
    <row r="1799" spans="1:6" x14ac:dyDescent="0.2">
      <c r="A1799" s="44">
        <v>31229</v>
      </c>
      <c r="B1799" s="43"/>
      <c r="C1799" s="44" t="s">
        <v>1845</v>
      </c>
      <c r="D1799" s="31"/>
      <c r="E1799" s="31"/>
      <c r="F1799" s="31"/>
    </row>
    <row r="1800" spans="1:6" x14ac:dyDescent="0.2">
      <c r="A1800" s="44">
        <v>31230</v>
      </c>
      <c r="B1800" s="43"/>
      <c r="C1800" s="44" t="s">
        <v>1846</v>
      </c>
      <c r="D1800" s="31"/>
      <c r="E1800" s="31"/>
      <c r="F1800" s="31"/>
    </row>
    <row r="1801" spans="1:6" x14ac:dyDescent="0.2">
      <c r="A1801" s="44">
        <v>31231</v>
      </c>
      <c r="B1801" s="43"/>
      <c r="C1801" s="44" t="s">
        <v>1847</v>
      </c>
      <c r="D1801" s="31"/>
      <c r="E1801" s="31"/>
      <c r="F1801" s="31"/>
    </row>
    <row r="1802" spans="1:6" x14ac:dyDescent="0.2">
      <c r="A1802" s="44">
        <v>31232</v>
      </c>
      <c r="B1802" s="43"/>
      <c r="C1802" s="44" t="s">
        <v>1848</v>
      </c>
      <c r="D1802" s="31"/>
      <c r="E1802" s="31"/>
      <c r="F1802" s="31"/>
    </row>
    <row r="1803" spans="1:6" x14ac:dyDescent="0.2">
      <c r="A1803" s="44">
        <v>31233</v>
      </c>
      <c r="B1803" s="43"/>
      <c r="C1803" s="44" t="s">
        <v>1849</v>
      </c>
      <c r="D1803" s="31"/>
      <c r="E1803" s="31"/>
      <c r="F1803" s="31"/>
    </row>
    <row r="1804" spans="1:6" x14ac:dyDescent="0.2">
      <c r="A1804" s="44">
        <v>31234</v>
      </c>
      <c r="B1804" s="43"/>
      <c r="C1804" s="44" t="s">
        <v>1850</v>
      </c>
      <c r="D1804" s="31"/>
      <c r="E1804" s="31"/>
      <c r="F1804" s="31"/>
    </row>
    <row r="1805" spans="1:6" x14ac:dyDescent="0.2">
      <c r="A1805" s="44">
        <v>31235</v>
      </c>
      <c r="B1805" s="43"/>
      <c r="C1805" s="44" t="s">
        <v>1851</v>
      </c>
      <c r="D1805" s="31"/>
      <c r="E1805" s="31"/>
      <c r="F1805" s="31"/>
    </row>
    <row r="1806" spans="1:6" x14ac:dyDescent="0.2">
      <c r="A1806" s="44">
        <v>31236</v>
      </c>
      <c r="B1806" s="43"/>
      <c r="C1806" s="44" t="s">
        <v>1852</v>
      </c>
      <c r="D1806" s="31"/>
      <c r="E1806" s="31"/>
      <c r="F1806" s="31"/>
    </row>
    <row r="1807" spans="1:6" x14ac:dyDescent="0.2">
      <c r="A1807" s="44">
        <v>31237</v>
      </c>
      <c r="B1807" s="43"/>
      <c r="C1807" s="44" t="s">
        <v>1853</v>
      </c>
      <c r="D1807" s="31"/>
      <c r="E1807" s="31"/>
      <c r="F1807" s="31"/>
    </row>
    <row r="1808" spans="1:6" x14ac:dyDescent="0.2">
      <c r="A1808" s="44">
        <v>31238</v>
      </c>
      <c r="B1808" s="43"/>
      <c r="C1808" s="44" t="s">
        <v>1854</v>
      </c>
      <c r="D1808" s="31"/>
      <c r="E1808" s="31"/>
      <c r="F1808" s="31"/>
    </row>
    <row r="1809" spans="1:6" x14ac:dyDescent="0.2">
      <c r="A1809" s="44">
        <v>31239</v>
      </c>
      <c r="B1809" s="43"/>
      <c r="C1809" s="44" t="s">
        <v>1855</v>
      </c>
      <c r="D1809" s="31"/>
      <c r="E1809" s="31"/>
      <c r="F1809" s="31"/>
    </row>
    <row r="1810" spans="1:6" x14ac:dyDescent="0.2">
      <c r="A1810" s="44">
        <v>31240</v>
      </c>
      <c r="B1810" s="43"/>
      <c r="C1810" s="44" t="s">
        <v>1856</v>
      </c>
      <c r="D1810" s="31"/>
      <c r="E1810" s="31"/>
      <c r="F1810" s="31"/>
    </row>
    <row r="1811" spans="1:6" x14ac:dyDescent="0.2">
      <c r="A1811" s="44">
        <v>31241</v>
      </c>
      <c r="B1811" s="43"/>
      <c r="C1811" s="44" t="s">
        <v>1857</v>
      </c>
      <c r="D1811" s="31"/>
      <c r="E1811" s="31"/>
      <c r="F1811" s="31"/>
    </row>
    <row r="1812" spans="1:6" x14ac:dyDescent="0.2">
      <c r="A1812" s="44">
        <v>31242</v>
      </c>
      <c r="B1812" s="43"/>
      <c r="C1812" s="44" t="s">
        <v>1858</v>
      </c>
      <c r="D1812" s="31"/>
      <c r="E1812" s="31"/>
      <c r="F1812" s="31"/>
    </row>
    <row r="1813" spans="1:6" x14ac:dyDescent="0.2">
      <c r="A1813" s="44">
        <v>31243</v>
      </c>
      <c r="B1813" s="43"/>
      <c r="C1813" s="44" t="s">
        <v>1859</v>
      </c>
      <c r="D1813" s="31"/>
      <c r="E1813" s="31"/>
      <c r="F1813" s="31"/>
    </row>
    <row r="1814" spans="1:6" x14ac:dyDescent="0.2">
      <c r="A1814" s="44">
        <v>31244</v>
      </c>
      <c r="B1814" s="43"/>
      <c r="C1814" s="44" t="s">
        <v>1860</v>
      </c>
      <c r="D1814" s="31"/>
      <c r="E1814" s="31"/>
      <c r="F1814" s="31"/>
    </row>
    <row r="1815" spans="1:6" x14ac:dyDescent="0.2">
      <c r="A1815" s="44">
        <v>31245</v>
      </c>
      <c r="B1815" s="43"/>
      <c r="C1815" s="44" t="s">
        <v>1861</v>
      </c>
      <c r="D1815" s="31"/>
      <c r="E1815" s="31"/>
      <c r="F1815" s="31"/>
    </row>
    <row r="1816" spans="1:6" x14ac:dyDescent="0.2">
      <c r="A1816" s="44">
        <v>31246</v>
      </c>
      <c r="B1816" s="43"/>
      <c r="C1816" s="44" t="s">
        <v>1862</v>
      </c>
      <c r="D1816" s="31"/>
      <c r="E1816" s="31"/>
      <c r="F1816" s="31"/>
    </row>
    <row r="1817" spans="1:6" x14ac:dyDescent="0.2">
      <c r="A1817" s="44">
        <v>31247</v>
      </c>
      <c r="B1817" s="43"/>
      <c r="C1817" s="44" t="s">
        <v>1863</v>
      </c>
      <c r="D1817" s="31"/>
      <c r="E1817" s="31"/>
      <c r="F1817" s="31"/>
    </row>
    <row r="1818" spans="1:6" x14ac:dyDescent="0.2">
      <c r="A1818" s="44">
        <v>31248</v>
      </c>
      <c r="B1818" s="43"/>
      <c r="C1818" s="44" t="s">
        <v>1864</v>
      </c>
      <c r="D1818" s="31"/>
      <c r="E1818" s="31"/>
      <c r="F1818" s="31"/>
    </row>
    <row r="1819" spans="1:6" x14ac:dyDescent="0.2">
      <c r="A1819" s="44">
        <v>31249</v>
      </c>
      <c r="B1819" s="43"/>
      <c r="C1819" s="44" t="s">
        <v>1865</v>
      </c>
      <c r="D1819" s="31"/>
      <c r="E1819" s="31"/>
      <c r="F1819" s="31"/>
    </row>
    <row r="1820" spans="1:6" x14ac:dyDescent="0.2">
      <c r="A1820" s="44">
        <v>31250</v>
      </c>
      <c r="B1820" s="43"/>
      <c r="C1820" s="44" t="s">
        <v>1866</v>
      </c>
      <c r="D1820" s="31"/>
      <c r="E1820" s="31"/>
      <c r="F1820" s="31"/>
    </row>
    <row r="1821" spans="1:6" x14ac:dyDescent="0.2">
      <c r="A1821" s="44">
        <v>31251</v>
      </c>
      <c r="B1821" s="43"/>
      <c r="C1821" s="44" t="s">
        <v>1867</v>
      </c>
      <c r="D1821" s="31"/>
      <c r="E1821" s="31"/>
      <c r="F1821" s="31"/>
    </row>
    <row r="1822" spans="1:6" x14ac:dyDescent="0.2">
      <c r="A1822" s="44">
        <v>31252</v>
      </c>
      <c r="B1822" s="43"/>
      <c r="C1822" s="44" t="s">
        <v>1868</v>
      </c>
      <c r="D1822" s="31"/>
      <c r="E1822" s="31"/>
      <c r="F1822" s="31"/>
    </row>
    <row r="1823" spans="1:6" x14ac:dyDescent="0.2">
      <c r="A1823" s="44">
        <v>31253</v>
      </c>
      <c r="B1823" s="43"/>
      <c r="C1823" s="44" t="s">
        <v>1869</v>
      </c>
      <c r="D1823" s="31"/>
      <c r="E1823" s="31"/>
      <c r="F1823" s="31"/>
    </row>
    <row r="1824" spans="1:6" x14ac:dyDescent="0.2">
      <c r="A1824" s="44">
        <v>31254</v>
      </c>
      <c r="B1824" s="43"/>
      <c r="C1824" s="44" t="s">
        <v>1870</v>
      </c>
      <c r="D1824" s="31"/>
      <c r="E1824" s="31"/>
      <c r="F1824" s="31"/>
    </row>
    <row r="1825" spans="1:6" x14ac:dyDescent="0.2">
      <c r="A1825" s="44">
        <v>31256</v>
      </c>
      <c r="B1825" s="43"/>
      <c r="C1825" s="44" t="s">
        <v>1871</v>
      </c>
      <c r="D1825" s="31"/>
      <c r="E1825" s="31"/>
      <c r="F1825" s="31"/>
    </row>
    <row r="1826" spans="1:6" x14ac:dyDescent="0.2">
      <c r="A1826" s="44">
        <v>31257</v>
      </c>
      <c r="B1826" s="43"/>
      <c r="C1826" s="44" t="s">
        <v>1872</v>
      </c>
      <c r="D1826" s="31"/>
      <c r="E1826" s="31"/>
      <c r="F1826" s="31"/>
    </row>
    <row r="1827" spans="1:6" x14ac:dyDescent="0.2">
      <c r="A1827" s="44">
        <v>31258</v>
      </c>
      <c r="B1827" s="43"/>
      <c r="C1827" s="44" t="s">
        <v>1873</v>
      </c>
      <c r="D1827" s="31"/>
      <c r="E1827" s="31"/>
      <c r="F1827" s="31"/>
    </row>
    <row r="1828" spans="1:6" x14ac:dyDescent="0.2">
      <c r="A1828" s="44">
        <v>31259</v>
      </c>
      <c r="B1828" s="43"/>
      <c r="C1828" s="44" t="s">
        <v>1874</v>
      </c>
      <c r="D1828" s="31"/>
      <c r="E1828" s="31"/>
      <c r="F1828" s="31"/>
    </row>
    <row r="1829" spans="1:6" x14ac:dyDescent="0.2">
      <c r="A1829" s="44">
        <v>31260</v>
      </c>
      <c r="B1829" s="43"/>
      <c r="C1829" s="44" t="s">
        <v>1875</v>
      </c>
      <c r="D1829" s="31"/>
      <c r="E1829" s="31"/>
      <c r="F1829" s="31"/>
    </row>
    <row r="1830" spans="1:6" x14ac:dyDescent="0.2">
      <c r="A1830" s="44">
        <v>31261</v>
      </c>
      <c r="B1830" s="43"/>
      <c r="C1830" s="44" t="s">
        <v>1876</v>
      </c>
      <c r="D1830" s="31"/>
      <c r="E1830" s="31"/>
      <c r="F1830" s="31"/>
    </row>
    <row r="1831" spans="1:6" x14ac:dyDescent="0.2">
      <c r="A1831" s="44">
        <v>31262</v>
      </c>
      <c r="B1831" s="43"/>
      <c r="C1831" s="44" t="s">
        <v>1877</v>
      </c>
      <c r="D1831" s="31"/>
      <c r="E1831" s="31"/>
      <c r="F1831" s="31"/>
    </row>
    <row r="1832" spans="1:6" x14ac:dyDescent="0.2">
      <c r="A1832" s="44">
        <v>31263</v>
      </c>
      <c r="B1832" s="43"/>
      <c r="C1832" s="44" t="s">
        <v>1878</v>
      </c>
      <c r="D1832" s="31"/>
      <c r="E1832" s="31"/>
      <c r="F1832" s="31"/>
    </row>
    <row r="1833" spans="1:6" x14ac:dyDescent="0.2">
      <c r="A1833" s="44">
        <v>31264</v>
      </c>
      <c r="B1833" s="43"/>
      <c r="C1833" s="44" t="s">
        <v>1879</v>
      </c>
      <c r="D1833" s="31"/>
      <c r="E1833" s="31"/>
      <c r="F1833" s="31"/>
    </row>
    <row r="1834" spans="1:6" x14ac:dyDescent="0.2">
      <c r="A1834" s="44">
        <v>31265</v>
      </c>
      <c r="B1834" s="43"/>
      <c r="C1834" s="44" t="s">
        <v>1880</v>
      </c>
      <c r="D1834" s="31"/>
      <c r="E1834" s="31"/>
      <c r="F1834" s="31"/>
    </row>
    <row r="1835" spans="1:6" x14ac:dyDescent="0.2">
      <c r="A1835" s="44">
        <v>31266</v>
      </c>
      <c r="B1835" s="43"/>
      <c r="C1835" s="44" t="s">
        <v>1881</v>
      </c>
      <c r="D1835" s="31"/>
      <c r="E1835" s="31"/>
      <c r="F1835" s="31"/>
    </row>
    <row r="1836" spans="1:6" x14ac:dyDescent="0.2">
      <c r="A1836" s="44">
        <v>31267</v>
      </c>
      <c r="B1836" s="43"/>
      <c r="C1836" s="44" t="s">
        <v>1882</v>
      </c>
      <c r="D1836" s="31"/>
      <c r="E1836" s="31"/>
      <c r="F1836" s="31"/>
    </row>
    <row r="1837" spans="1:6" x14ac:dyDescent="0.2">
      <c r="A1837" s="46">
        <v>31270</v>
      </c>
      <c r="B1837" s="43"/>
      <c r="C1837" s="42" t="s">
        <v>1883</v>
      </c>
      <c r="D1837" s="32"/>
      <c r="E1837" s="32"/>
      <c r="F1837" s="32"/>
    </row>
    <row r="1838" spans="1:6" x14ac:dyDescent="0.2">
      <c r="A1838" s="46">
        <v>31268</v>
      </c>
      <c r="B1838" s="43"/>
      <c r="C1838" s="42" t="s">
        <v>1884</v>
      </c>
      <c r="D1838" s="32"/>
      <c r="E1838" s="32"/>
      <c r="F1838" s="32"/>
    </row>
    <row r="1839" spans="1:6" x14ac:dyDescent="0.2">
      <c r="A1839" s="44">
        <v>32035</v>
      </c>
      <c r="B1839" s="43"/>
      <c r="C1839" s="44" t="s">
        <v>1885</v>
      </c>
      <c r="D1839" s="31"/>
      <c r="E1839" s="31"/>
      <c r="F1839" s="31"/>
    </row>
    <row r="1840" spans="1:6" x14ac:dyDescent="0.2">
      <c r="A1840" s="44">
        <v>32036</v>
      </c>
      <c r="B1840" s="43"/>
      <c r="C1840" s="44" t="s">
        <v>1886</v>
      </c>
      <c r="D1840" s="31"/>
      <c r="E1840" s="31"/>
      <c r="F1840" s="31"/>
    </row>
    <row r="1841" spans="1:6" x14ac:dyDescent="0.2">
      <c r="A1841" s="44">
        <v>32037</v>
      </c>
      <c r="B1841" s="43"/>
      <c r="C1841" s="44" t="s">
        <v>1887</v>
      </c>
      <c r="D1841" s="31"/>
      <c r="E1841" s="31"/>
      <c r="F1841" s="31"/>
    </row>
    <row r="1842" spans="1:6" x14ac:dyDescent="0.2">
      <c r="A1842" s="44">
        <v>32038</v>
      </c>
      <c r="B1842" s="43"/>
      <c r="C1842" s="44" t="s">
        <v>1888</v>
      </c>
      <c r="D1842" s="31"/>
      <c r="E1842" s="31"/>
      <c r="F1842" s="31"/>
    </row>
    <row r="1843" spans="1:6" x14ac:dyDescent="0.2">
      <c r="A1843" s="44">
        <v>32039</v>
      </c>
      <c r="B1843" s="43"/>
      <c r="C1843" s="44" t="s">
        <v>1889</v>
      </c>
      <c r="D1843" s="31"/>
      <c r="E1843" s="31"/>
      <c r="F1843" s="31"/>
    </row>
    <row r="1844" spans="1:6" x14ac:dyDescent="0.2">
      <c r="A1844" s="44">
        <v>32040</v>
      </c>
      <c r="B1844" s="43"/>
      <c r="C1844" s="44" t="s">
        <v>1890</v>
      </c>
      <c r="D1844" s="31"/>
      <c r="E1844" s="31"/>
      <c r="F1844" s="31"/>
    </row>
    <row r="1845" spans="1:6" x14ac:dyDescent="0.2">
      <c r="A1845" s="44">
        <v>32041</v>
      </c>
      <c r="B1845" s="43"/>
      <c r="C1845" s="44" t="s">
        <v>1891</v>
      </c>
      <c r="D1845" s="31"/>
      <c r="E1845" s="31"/>
      <c r="F1845" s="31"/>
    </row>
    <row r="1846" spans="1:6" x14ac:dyDescent="0.2">
      <c r="A1846" s="44">
        <v>32042</v>
      </c>
      <c r="B1846" s="43"/>
      <c r="C1846" s="44" t="s">
        <v>1892</v>
      </c>
      <c r="D1846" s="31"/>
      <c r="E1846" s="31"/>
      <c r="F1846" s="31"/>
    </row>
    <row r="1847" spans="1:6" x14ac:dyDescent="0.2">
      <c r="A1847" s="44">
        <v>33000</v>
      </c>
      <c r="B1847" s="43"/>
      <c r="C1847" s="44" t="s">
        <v>1892</v>
      </c>
      <c r="D1847" s="31"/>
      <c r="E1847" s="31"/>
      <c r="F1847" s="31"/>
    </row>
    <row r="1848" spans="1:6" x14ac:dyDescent="0.2">
      <c r="A1848" s="44">
        <v>40272</v>
      </c>
      <c r="B1848" s="43"/>
      <c r="C1848" s="44" t="s">
        <v>1893</v>
      </c>
      <c r="D1848" s="31"/>
      <c r="E1848" s="31"/>
      <c r="F1848" s="31"/>
    </row>
    <row r="1849" spans="1:6" x14ac:dyDescent="0.2">
      <c r="A1849" s="44">
        <v>40273</v>
      </c>
      <c r="B1849" s="43"/>
      <c r="C1849" s="44" t="s">
        <v>1894</v>
      </c>
      <c r="D1849" s="31"/>
      <c r="E1849" s="31"/>
      <c r="F1849" s="31"/>
    </row>
    <row r="1850" spans="1:6" x14ac:dyDescent="0.2">
      <c r="A1850" s="44">
        <v>40274</v>
      </c>
      <c r="B1850" s="43"/>
      <c r="C1850" s="44" t="s">
        <v>1895</v>
      </c>
      <c r="D1850" s="31"/>
      <c r="E1850" s="31"/>
      <c r="F1850" s="31"/>
    </row>
    <row r="1851" spans="1:6" x14ac:dyDescent="0.2">
      <c r="A1851" s="44">
        <v>40275</v>
      </c>
      <c r="B1851" s="43"/>
      <c r="C1851" s="44" t="s">
        <v>1896</v>
      </c>
      <c r="D1851" s="31"/>
      <c r="E1851" s="31"/>
      <c r="F1851" s="31"/>
    </row>
    <row r="1852" spans="1:6" x14ac:dyDescent="0.2">
      <c r="A1852" s="44">
        <v>40276</v>
      </c>
      <c r="B1852" s="43"/>
      <c r="C1852" s="44" t="s">
        <v>1897</v>
      </c>
      <c r="D1852" s="31"/>
      <c r="E1852" s="31"/>
      <c r="F1852" s="31"/>
    </row>
    <row r="1853" spans="1:6" x14ac:dyDescent="0.2">
      <c r="A1853" s="44">
        <v>40277</v>
      </c>
      <c r="B1853" s="43"/>
      <c r="C1853" s="44" t="s">
        <v>1898</v>
      </c>
      <c r="D1853" s="31"/>
      <c r="E1853" s="31"/>
      <c r="F1853" s="31"/>
    </row>
    <row r="1854" spans="1:6" x14ac:dyDescent="0.2">
      <c r="A1854" s="44">
        <v>40278</v>
      </c>
      <c r="B1854" s="43"/>
      <c r="C1854" s="44" t="s">
        <v>1899</v>
      </c>
      <c r="D1854" s="31"/>
      <c r="E1854" s="31"/>
      <c r="F1854" s="31"/>
    </row>
    <row r="1855" spans="1:6" x14ac:dyDescent="0.2">
      <c r="A1855" s="44">
        <v>40279</v>
      </c>
      <c r="B1855" s="43"/>
      <c r="C1855" s="44" t="s">
        <v>1900</v>
      </c>
      <c r="D1855" s="31"/>
      <c r="E1855" s="31"/>
      <c r="F1855" s="31"/>
    </row>
    <row r="1856" spans="1:6" x14ac:dyDescent="0.2">
      <c r="A1856" s="44">
        <v>40280</v>
      </c>
      <c r="B1856" s="43"/>
      <c r="C1856" s="44" t="s">
        <v>1901</v>
      </c>
      <c r="D1856" s="31"/>
      <c r="E1856" s="31"/>
      <c r="F1856" s="31"/>
    </row>
    <row r="1857" spans="1:6" x14ac:dyDescent="0.2">
      <c r="A1857" s="44">
        <v>40281</v>
      </c>
      <c r="B1857" s="43"/>
      <c r="C1857" s="44" t="s">
        <v>1902</v>
      </c>
      <c r="D1857" s="31"/>
      <c r="E1857" s="31"/>
      <c r="F1857" s="31"/>
    </row>
    <row r="1858" spans="1:6" x14ac:dyDescent="0.2">
      <c r="A1858" s="44">
        <v>40282</v>
      </c>
      <c r="B1858" s="43"/>
      <c r="C1858" s="44" t="s">
        <v>1903</v>
      </c>
      <c r="D1858" s="31"/>
      <c r="E1858" s="31"/>
      <c r="F1858" s="31"/>
    </row>
    <row r="1859" spans="1:6" x14ac:dyDescent="0.2">
      <c r="A1859" s="44">
        <v>40283</v>
      </c>
      <c r="B1859" s="43"/>
      <c r="C1859" s="44" t="s">
        <v>1904</v>
      </c>
      <c r="D1859" s="31"/>
      <c r="E1859" s="31"/>
      <c r="F1859" s="31"/>
    </row>
    <row r="1860" spans="1:6" x14ac:dyDescent="0.2">
      <c r="A1860" s="44">
        <v>40284</v>
      </c>
      <c r="B1860" s="43"/>
      <c r="C1860" s="44" t="s">
        <v>1905</v>
      </c>
      <c r="D1860" s="31"/>
      <c r="E1860" s="31"/>
      <c r="F1860" s="31"/>
    </row>
    <row r="1861" spans="1:6" x14ac:dyDescent="0.2">
      <c r="A1861" s="44">
        <v>40285</v>
      </c>
      <c r="B1861" s="43"/>
      <c r="C1861" s="44" t="s">
        <v>1906</v>
      </c>
      <c r="D1861" s="31"/>
      <c r="E1861" s="31"/>
      <c r="F1861" s="31"/>
    </row>
    <row r="1862" spans="1:6" x14ac:dyDescent="0.2">
      <c r="A1862" s="44">
        <v>40286</v>
      </c>
      <c r="B1862" s="43"/>
      <c r="C1862" s="44" t="s">
        <v>1907</v>
      </c>
      <c r="D1862" s="31"/>
      <c r="E1862" s="31"/>
      <c r="F1862" s="31"/>
    </row>
    <row r="1863" spans="1:6" x14ac:dyDescent="0.2">
      <c r="A1863" s="44">
        <v>40287</v>
      </c>
      <c r="B1863" s="43"/>
      <c r="C1863" s="44" t="s">
        <v>1908</v>
      </c>
      <c r="D1863" s="31"/>
      <c r="E1863" s="31"/>
      <c r="F1863" s="31"/>
    </row>
    <row r="1864" spans="1:6" x14ac:dyDescent="0.2">
      <c r="A1864" s="44">
        <v>41272</v>
      </c>
      <c r="B1864" s="43"/>
      <c r="C1864" s="44" t="s">
        <v>1909</v>
      </c>
      <c r="D1864" s="31"/>
      <c r="E1864" s="31"/>
      <c r="F1864" s="31"/>
    </row>
    <row r="1865" spans="1:6" x14ac:dyDescent="0.2">
      <c r="A1865" s="44">
        <v>41273</v>
      </c>
      <c r="B1865" s="43"/>
      <c r="C1865" s="44" t="s">
        <v>1910</v>
      </c>
      <c r="D1865" s="31"/>
      <c r="E1865" s="31"/>
      <c r="F1865" s="31"/>
    </row>
    <row r="1866" spans="1:6" x14ac:dyDescent="0.2">
      <c r="A1866" s="44">
        <v>41274</v>
      </c>
      <c r="B1866" s="43"/>
      <c r="C1866" s="44" t="s">
        <v>1911</v>
      </c>
      <c r="D1866" s="31"/>
      <c r="E1866" s="31"/>
      <c r="F1866" s="31"/>
    </row>
    <row r="1867" spans="1:6" x14ac:dyDescent="0.2">
      <c r="A1867" s="44">
        <v>41275</v>
      </c>
      <c r="B1867" s="43"/>
      <c r="C1867" s="44" t="s">
        <v>1912</v>
      </c>
      <c r="D1867" s="31"/>
      <c r="E1867" s="31"/>
      <c r="F1867" s="31"/>
    </row>
    <row r="1868" spans="1:6" x14ac:dyDescent="0.2">
      <c r="A1868" s="44">
        <v>41276</v>
      </c>
      <c r="B1868" s="43"/>
      <c r="C1868" s="44" t="s">
        <v>1913</v>
      </c>
      <c r="D1868" s="31"/>
      <c r="E1868" s="31"/>
      <c r="F1868" s="31"/>
    </row>
    <row r="1869" spans="1:6" x14ac:dyDescent="0.2">
      <c r="A1869" s="44">
        <v>41277</v>
      </c>
      <c r="B1869" s="43"/>
      <c r="C1869" s="44" t="s">
        <v>1914</v>
      </c>
      <c r="D1869" s="31"/>
      <c r="E1869" s="31"/>
      <c r="F1869" s="31"/>
    </row>
    <row r="1870" spans="1:6" x14ac:dyDescent="0.2">
      <c r="A1870" s="44">
        <v>41278</v>
      </c>
      <c r="B1870" s="43"/>
      <c r="C1870" s="44" t="s">
        <v>1915</v>
      </c>
      <c r="D1870" s="31"/>
      <c r="E1870" s="31"/>
      <c r="F1870" s="31"/>
    </row>
    <row r="1871" spans="1:6" x14ac:dyDescent="0.2">
      <c r="A1871" s="44">
        <v>41279</v>
      </c>
      <c r="B1871" s="43"/>
      <c r="C1871" s="44" t="s">
        <v>1916</v>
      </c>
      <c r="D1871" s="31"/>
      <c r="E1871" s="31"/>
      <c r="F1871" s="31"/>
    </row>
    <row r="1872" spans="1:6" x14ac:dyDescent="0.2">
      <c r="A1872" s="44">
        <v>41280</v>
      </c>
      <c r="B1872" s="43"/>
      <c r="C1872" s="44" t="s">
        <v>1917</v>
      </c>
      <c r="D1872" s="31"/>
      <c r="E1872" s="31"/>
      <c r="F1872" s="31"/>
    </row>
    <row r="1873" spans="1:6" x14ac:dyDescent="0.2">
      <c r="A1873" s="44">
        <v>41281</v>
      </c>
      <c r="B1873" s="43"/>
      <c r="C1873" s="44" t="s">
        <v>1918</v>
      </c>
      <c r="D1873" s="31"/>
      <c r="E1873" s="31"/>
      <c r="F1873" s="31"/>
    </row>
    <row r="1874" spans="1:6" x14ac:dyDescent="0.2">
      <c r="A1874" s="44">
        <v>41282</v>
      </c>
      <c r="B1874" s="43"/>
      <c r="C1874" s="44" t="s">
        <v>1919</v>
      </c>
      <c r="D1874" s="31"/>
      <c r="E1874" s="31"/>
      <c r="F1874" s="31"/>
    </row>
    <row r="1875" spans="1:6" x14ac:dyDescent="0.2">
      <c r="A1875" s="44">
        <v>41283</v>
      </c>
      <c r="B1875" s="43"/>
      <c r="C1875" s="44" t="s">
        <v>1920</v>
      </c>
      <c r="D1875" s="31"/>
      <c r="E1875" s="31"/>
      <c r="F1875" s="31"/>
    </row>
    <row r="1876" spans="1:6" x14ac:dyDescent="0.2">
      <c r="A1876" s="44">
        <v>41284</v>
      </c>
      <c r="B1876" s="43"/>
      <c r="C1876" s="44" t="s">
        <v>1921</v>
      </c>
      <c r="D1876" s="31"/>
      <c r="E1876" s="31"/>
      <c r="F1876" s="31"/>
    </row>
    <row r="1877" spans="1:6" x14ac:dyDescent="0.2">
      <c r="A1877" s="44">
        <v>41285</v>
      </c>
      <c r="B1877" s="43"/>
      <c r="C1877" s="44" t="s">
        <v>1922</v>
      </c>
      <c r="D1877" s="31"/>
      <c r="E1877" s="31"/>
      <c r="F1877" s="31"/>
    </row>
    <row r="1878" spans="1:6" x14ac:dyDescent="0.2">
      <c r="A1878" s="44">
        <v>41286</v>
      </c>
      <c r="B1878" s="43"/>
      <c r="C1878" s="44" t="s">
        <v>1923</v>
      </c>
      <c r="D1878" s="31"/>
      <c r="E1878" s="31"/>
      <c r="F1878" s="31"/>
    </row>
    <row r="1879" spans="1:6" x14ac:dyDescent="0.2">
      <c r="A1879" s="44">
        <v>41287</v>
      </c>
      <c r="B1879" s="43"/>
      <c r="C1879" s="44" t="s">
        <v>1924</v>
      </c>
      <c r="D1879" s="31"/>
      <c r="E1879" s="31"/>
      <c r="F1879" s="31"/>
    </row>
    <row r="1880" spans="1:6" x14ac:dyDescent="0.2">
      <c r="A1880" s="44">
        <v>42043</v>
      </c>
      <c r="B1880" s="43"/>
      <c r="C1880" s="44" t="s">
        <v>1925</v>
      </c>
      <c r="D1880" s="31"/>
      <c r="E1880" s="31"/>
      <c r="F1880" s="31"/>
    </row>
    <row r="1881" spans="1:6" x14ac:dyDescent="0.2">
      <c r="A1881" s="44">
        <v>42044</v>
      </c>
      <c r="B1881" s="43"/>
      <c r="C1881" s="44" t="s">
        <v>1926</v>
      </c>
      <c r="D1881" s="31"/>
      <c r="E1881" s="31"/>
      <c r="F1881" s="31"/>
    </row>
    <row r="1882" spans="1:6" x14ac:dyDescent="0.2">
      <c r="A1882" s="44">
        <v>42045</v>
      </c>
      <c r="B1882" s="43"/>
      <c r="C1882" s="44" t="s">
        <v>1927</v>
      </c>
      <c r="D1882" s="31"/>
      <c r="E1882" s="31"/>
      <c r="F1882" s="31"/>
    </row>
    <row r="1883" spans="1:6" x14ac:dyDescent="0.2">
      <c r="A1883" s="44">
        <v>42046</v>
      </c>
      <c r="B1883" s="43"/>
      <c r="C1883" s="44" t="s">
        <v>1928</v>
      </c>
      <c r="D1883" s="31"/>
      <c r="E1883" s="31"/>
      <c r="F1883" s="31"/>
    </row>
    <row r="1884" spans="1:6" x14ac:dyDescent="0.2">
      <c r="A1884" s="44">
        <v>43000</v>
      </c>
      <c r="B1884" s="43"/>
      <c r="C1884" s="44" t="s">
        <v>1929</v>
      </c>
      <c r="D1884" s="31"/>
      <c r="E1884" s="31"/>
      <c r="F1884" s="31"/>
    </row>
    <row r="1885" spans="1:6" x14ac:dyDescent="0.2">
      <c r="A1885" s="44">
        <v>50304</v>
      </c>
      <c r="B1885" s="43"/>
      <c r="C1885" s="44" t="s">
        <v>1930</v>
      </c>
      <c r="D1885" s="31"/>
      <c r="E1885" s="31"/>
      <c r="F1885" s="31"/>
    </row>
    <row r="1886" spans="1:6" x14ac:dyDescent="0.2">
      <c r="A1886" s="44">
        <v>50305</v>
      </c>
      <c r="B1886" s="43"/>
      <c r="C1886" s="44" t="s">
        <v>1931</v>
      </c>
      <c r="D1886" s="31"/>
      <c r="E1886" s="31"/>
      <c r="F1886" s="31"/>
    </row>
    <row r="1887" spans="1:6" x14ac:dyDescent="0.2">
      <c r="A1887" s="44">
        <v>50306</v>
      </c>
      <c r="B1887" s="43"/>
      <c r="C1887" s="44" t="s">
        <v>1932</v>
      </c>
      <c r="D1887" s="31"/>
      <c r="E1887" s="31"/>
      <c r="F1887" s="31"/>
    </row>
    <row r="1888" spans="1:6" x14ac:dyDescent="0.2">
      <c r="A1888" s="44">
        <v>50307</v>
      </c>
      <c r="B1888" s="43"/>
      <c r="C1888" s="44" t="s">
        <v>1933</v>
      </c>
      <c r="D1888" s="31"/>
      <c r="E1888" s="31"/>
      <c r="F1888" s="31"/>
    </row>
    <row r="1889" spans="1:6" x14ac:dyDescent="0.2">
      <c r="A1889" s="44">
        <v>50308</v>
      </c>
      <c r="B1889" s="43"/>
      <c r="C1889" s="44" t="s">
        <v>1934</v>
      </c>
      <c r="D1889" s="31"/>
      <c r="E1889" s="31"/>
      <c r="F1889" s="31"/>
    </row>
    <row r="1890" spans="1:6" x14ac:dyDescent="0.2">
      <c r="A1890" s="44">
        <v>50309</v>
      </c>
      <c r="B1890" s="43"/>
      <c r="C1890" s="44" t="s">
        <v>1935</v>
      </c>
      <c r="D1890" s="31"/>
      <c r="E1890" s="31"/>
      <c r="F1890" s="31"/>
    </row>
    <row r="1891" spans="1:6" x14ac:dyDescent="0.2">
      <c r="A1891" s="44">
        <v>50310</v>
      </c>
      <c r="B1891" s="43"/>
      <c r="C1891" s="44" t="s">
        <v>1936</v>
      </c>
      <c r="D1891" s="31"/>
      <c r="E1891" s="31"/>
      <c r="F1891" s="31"/>
    </row>
    <row r="1892" spans="1:6" x14ac:dyDescent="0.2">
      <c r="A1892" s="44">
        <v>50311</v>
      </c>
      <c r="B1892" s="43"/>
      <c r="C1892" s="44" t="s">
        <v>1937</v>
      </c>
      <c r="D1892" s="31"/>
      <c r="E1892" s="31"/>
      <c r="F1892" s="31"/>
    </row>
    <row r="1893" spans="1:6" x14ac:dyDescent="0.2">
      <c r="A1893" s="44">
        <v>50312</v>
      </c>
      <c r="B1893" s="43"/>
      <c r="C1893" s="44" t="s">
        <v>1938</v>
      </c>
      <c r="D1893" s="31"/>
      <c r="E1893" s="31"/>
      <c r="F1893" s="31"/>
    </row>
    <row r="1894" spans="1:6" x14ac:dyDescent="0.2">
      <c r="A1894" s="44">
        <v>50313</v>
      </c>
      <c r="B1894" s="43"/>
      <c r="C1894" s="44" t="s">
        <v>1939</v>
      </c>
      <c r="D1894" s="31"/>
      <c r="E1894" s="31"/>
      <c r="F1894" s="31"/>
    </row>
    <row r="1895" spans="1:6" x14ac:dyDescent="0.2">
      <c r="A1895" s="44">
        <v>50314</v>
      </c>
      <c r="B1895" s="43"/>
      <c r="C1895" s="44" t="s">
        <v>1940</v>
      </c>
      <c r="D1895" s="31"/>
      <c r="E1895" s="31"/>
      <c r="F1895" s="31"/>
    </row>
    <row r="1896" spans="1:6" x14ac:dyDescent="0.2">
      <c r="A1896" s="44">
        <v>50315</v>
      </c>
      <c r="B1896" s="43"/>
      <c r="C1896" s="44" t="s">
        <v>1941</v>
      </c>
      <c r="D1896" s="31"/>
      <c r="E1896" s="31"/>
      <c r="F1896" s="31"/>
    </row>
    <row r="1897" spans="1:6" x14ac:dyDescent="0.2">
      <c r="A1897" s="44">
        <v>50316</v>
      </c>
      <c r="B1897" s="43"/>
      <c r="C1897" s="44" t="s">
        <v>1942</v>
      </c>
      <c r="D1897" s="31"/>
      <c r="E1897" s="31"/>
      <c r="F1897" s="31"/>
    </row>
    <row r="1898" spans="1:6" x14ac:dyDescent="0.2">
      <c r="A1898" s="44">
        <v>50317</v>
      </c>
      <c r="B1898" s="43"/>
      <c r="C1898" s="44" t="s">
        <v>1943</v>
      </c>
      <c r="D1898" s="31"/>
      <c r="E1898" s="31"/>
      <c r="F1898" s="31"/>
    </row>
    <row r="1899" spans="1:6" x14ac:dyDescent="0.2">
      <c r="A1899" s="44">
        <v>50318</v>
      </c>
      <c r="B1899" s="43"/>
      <c r="C1899" s="44" t="s">
        <v>1944</v>
      </c>
      <c r="D1899" s="31"/>
      <c r="E1899" s="31"/>
      <c r="F1899" s="31"/>
    </row>
    <row r="1900" spans="1:6" x14ac:dyDescent="0.2">
      <c r="A1900" s="44">
        <v>50319</v>
      </c>
      <c r="B1900" s="43"/>
      <c r="C1900" s="44" t="s">
        <v>1945</v>
      </c>
      <c r="D1900" s="31"/>
      <c r="E1900" s="31"/>
      <c r="F1900" s="31"/>
    </row>
    <row r="1901" spans="1:6" x14ac:dyDescent="0.2">
      <c r="A1901" s="44">
        <v>50320</v>
      </c>
      <c r="B1901" s="43"/>
      <c r="C1901" s="44" t="s">
        <v>1946</v>
      </c>
      <c r="D1901" s="31"/>
      <c r="E1901" s="31"/>
      <c r="F1901" s="31"/>
    </row>
    <row r="1902" spans="1:6" x14ac:dyDescent="0.2">
      <c r="A1902" s="44">
        <v>50321</v>
      </c>
      <c r="B1902" s="43"/>
      <c r="C1902" s="44" t="s">
        <v>1947</v>
      </c>
      <c r="D1902" s="31"/>
      <c r="E1902" s="31"/>
      <c r="F1902" s="31"/>
    </row>
    <row r="1903" spans="1:6" x14ac:dyDescent="0.2">
      <c r="A1903" s="44">
        <v>50322</v>
      </c>
      <c r="B1903" s="43"/>
      <c r="C1903" s="44" t="s">
        <v>1948</v>
      </c>
      <c r="D1903" s="31"/>
      <c r="E1903" s="31"/>
      <c r="F1903" s="31"/>
    </row>
    <row r="1904" spans="1:6" x14ac:dyDescent="0.2">
      <c r="A1904" s="44">
        <v>50323</v>
      </c>
      <c r="B1904" s="43"/>
      <c r="C1904" s="44" t="s">
        <v>1949</v>
      </c>
      <c r="D1904" s="31"/>
      <c r="E1904" s="31"/>
      <c r="F1904" s="31"/>
    </row>
    <row r="1905" spans="1:6" x14ac:dyDescent="0.2">
      <c r="A1905" s="44">
        <v>50324</v>
      </c>
      <c r="B1905" s="43"/>
      <c r="C1905" s="44" t="s">
        <v>1950</v>
      </c>
      <c r="D1905" s="31"/>
      <c r="E1905" s="31"/>
      <c r="F1905" s="31"/>
    </row>
    <row r="1906" spans="1:6" x14ac:dyDescent="0.2">
      <c r="A1906" s="44">
        <v>50325</v>
      </c>
      <c r="B1906" s="43"/>
      <c r="C1906" s="44" t="s">
        <v>1951</v>
      </c>
      <c r="D1906" s="31"/>
      <c r="E1906" s="31"/>
      <c r="F1906" s="31"/>
    </row>
    <row r="1907" spans="1:6" x14ac:dyDescent="0.2">
      <c r="A1907" s="44">
        <v>50326</v>
      </c>
      <c r="B1907" s="43"/>
      <c r="C1907" s="44" t="s">
        <v>1952</v>
      </c>
      <c r="D1907" s="31"/>
      <c r="E1907" s="31"/>
      <c r="F1907" s="31"/>
    </row>
    <row r="1908" spans="1:6" x14ac:dyDescent="0.2">
      <c r="A1908" s="44">
        <v>50327</v>
      </c>
      <c r="B1908" s="43"/>
      <c r="C1908" s="44" t="s">
        <v>1953</v>
      </c>
      <c r="D1908" s="31"/>
      <c r="E1908" s="31"/>
      <c r="F1908" s="31"/>
    </row>
    <row r="1909" spans="1:6" x14ac:dyDescent="0.2">
      <c r="A1909" s="44">
        <v>50328</v>
      </c>
      <c r="B1909" s="43"/>
      <c r="C1909" s="44" t="s">
        <v>1954</v>
      </c>
      <c r="D1909" s="31"/>
      <c r="E1909" s="31"/>
      <c r="F1909" s="31"/>
    </row>
    <row r="1910" spans="1:6" x14ac:dyDescent="0.2">
      <c r="A1910" s="44">
        <v>50329</v>
      </c>
      <c r="B1910" s="43"/>
      <c r="C1910" s="44" t="s">
        <v>1955</v>
      </c>
      <c r="D1910" s="31"/>
      <c r="E1910" s="31"/>
      <c r="F1910" s="31"/>
    </row>
    <row r="1911" spans="1:6" x14ac:dyDescent="0.2">
      <c r="A1911" s="44">
        <v>50330</v>
      </c>
      <c r="B1911" s="43"/>
      <c r="C1911" s="44" t="s">
        <v>1956</v>
      </c>
      <c r="D1911" s="31"/>
      <c r="E1911" s="31"/>
      <c r="F1911" s="31"/>
    </row>
    <row r="1912" spans="1:6" x14ac:dyDescent="0.2">
      <c r="A1912" s="44">
        <v>50336</v>
      </c>
      <c r="B1912" s="43"/>
      <c r="C1912" s="44" t="s">
        <v>1957</v>
      </c>
      <c r="D1912" s="31"/>
      <c r="E1912" s="31"/>
      <c r="F1912" s="31"/>
    </row>
    <row r="1913" spans="1:6" x14ac:dyDescent="0.2">
      <c r="A1913" s="44">
        <v>50337</v>
      </c>
      <c r="B1913" s="43"/>
      <c r="C1913" s="44" t="s">
        <v>1958</v>
      </c>
      <c r="D1913" s="31"/>
      <c r="E1913" s="31"/>
      <c r="F1913" s="31"/>
    </row>
    <row r="1914" spans="1:6" x14ac:dyDescent="0.2">
      <c r="A1914" s="44">
        <v>50338</v>
      </c>
      <c r="B1914" s="43"/>
      <c r="C1914" s="44" t="s">
        <v>1959</v>
      </c>
      <c r="D1914" s="31"/>
      <c r="E1914" s="31"/>
      <c r="F1914" s="31"/>
    </row>
    <row r="1915" spans="1:6" x14ac:dyDescent="0.2">
      <c r="A1915" s="44">
        <v>50339</v>
      </c>
      <c r="B1915" s="43"/>
      <c r="C1915" s="44" t="s">
        <v>1960</v>
      </c>
      <c r="D1915" s="31"/>
      <c r="E1915" s="31"/>
      <c r="F1915" s="31"/>
    </row>
    <row r="1916" spans="1:6" x14ac:dyDescent="0.2">
      <c r="A1916" s="44">
        <v>50340</v>
      </c>
      <c r="B1916" s="43"/>
      <c r="C1916" s="44" t="s">
        <v>1961</v>
      </c>
      <c r="D1916" s="31"/>
      <c r="E1916" s="31"/>
      <c r="F1916" s="31"/>
    </row>
    <row r="1917" spans="1:6" x14ac:dyDescent="0.2">
      <c r="A1917" s="44">
        <v>50341</v>
      </c>
      <c r="B1917" s="43"/>
      <c r="C1917" s="44" t="s">
        <v>1962</v>
      </c>
      <c r="D1917" s="31"/>
      <c r="E1917" s="31"/>
      <c r="F1917" s="31"/>
    </row>
    <row r="1918" spans="1:6" x14ac:dyDescent="0.2">
      <c r="A1918" s="44">
        <v>50342</v>
      </c>
      <c r="B1918" s="43"/>
      <c r="C1918" s="44" t="s">
        <v>1963</v>
      </c>
      <c r="D1918" s="31"/>
      <c r="E1918" s="31"/>
      <c r="F1918" s="31"/>
    </row>
    <row r="1919" spans="1:6" x14ac:dyDescent="0.2">
      <c r="A1919" s="44">
        <v>50343</v>
      </c>
      <c r="B1919" s="43"/>
      <c r="C1919" s="44" t="s">
        <v>1964</v>
      </c>
      <c r="D1919" s="31"/>
      <c r="E1919" s="31"/>
      <c r="F1919" s="31"/>
    </row>
    <row r="1920" spans="1:6" x14ac:dyDescent="0.2">
      <c r="A1920" s="44">
        <v>50344</v>
      </c>
      <c r="B1920" s="43"/>
      <c r="C1920" s="44" t="s">
        <v>1965</v>
      </c>
      <c r="D1920" s="31"/>
      <c r="E1920" s="31"/>
      <c r="F1920" s="31"/>
    </row>
    <row r="1921" spans="1:6" x14ac:dyDescent="0.2">
      <c r="A1921" s="44">
        <v>50345</v>
      </c>
      <c r="B1921" s="43"/>
      <c r="C1921" s="44" t="s">
        <v>1966</v>
      </c>
      <c r="D1921" s="31"/>
      <c r="E1921" s="31"/>
      <c r="F1921" s="31"/>
    </row>
    <row r="1922" spans="1:6" x14ac:dyDescent="0.2">
      <c r="A1922" s="44">
        <v>50346</v>
      </c>
      <c r="B1922" s="43"/>
      <c r="C1922" s="44" t="s">
        <v>1967</v>
      </c>
      <c r="D1922" s="31"/>
      <c r="E1922" s="31"/>
      <c r="F1922" s="31"/>
    </row>
    <row r="1923" spans="1:6" x14ac:dyDescent="0.2">
      <c r="A1923" s="44">
        <v>50347</v>
      </c>
      <c r="B1923" s="43"/>
      <c r="C1923" s="44" t="s">
        <v>1968</v>
      </c>
      <c r="D1923" s="31"/>
      <c r="E1923" s="31"/>
      <c r="F1923" s="31"/>
    </row>
    <row r="1924" spans="1:6" x14ac:dyDescent="0.2">
      <c r="A1924" s="44">
        <v>51304</v>
      </c>
      <c r="B1924" s="43"/>
      <c r="C1924" s="44" t="s">
        <v>1969</v>
      </c>
      <c r="D1924" s="31"/>
      <c r="E1924" s="31"/>
      <c r="F1924" s="31"/>
    </row>
    <row r="1925" spans="1:6" x14ac:dyDescent="0.2">
      <c r="A1925" s="44">
        <v>51305</v>
      </c>
      <c r="B1925" s="43"/>
      <c r="C1925" s="44" t="s">
        <v>1970</v>
      </c>
      <c r="D1925" s="31"/>
      <c r="E1925" s="31"/>
      <c r="F1925" s="31"/>
    </row>
    <row r="1926" spans="1:6" x14ac:dyDescent="0.2">
      <c r="A1926" s="44">
        <v>51306</v>
      </c>
      <c r="B1926" s="43"/>
      <c r="C1926" s="44" t="s">
        <v>1971</v>
      </c>
      <c r="D1926" s="31"/>
      <c r="E1926" s="31"/>
      <c r="F1926" s="31"/>
    </row>
    <row r="1927" spans="1:6" x14ac:dyDescent="0.2">
      <c r="A1927" s="44">
        <v>51307</v>
      </c>
      <c r="B1927" s="43"/>
      <c r="C1927" s="44" t="s">
        <v>1972</v>
      </c>
      <c r="D1927" s="31"/>
      <c r="E1927" s="31"/>
      <c r="F1927" s="31"/>
    </row>
    <row r="1928" spans="1:6" x14ac:dyDescent="0.2">
      <c r="A1928" s="44">
        <v>51308</v>
      </c>
      <c r="B1928" s="43"/>
      <c r="C1928" s="44" t="s">
        <v>1973</v>
      </c>
      <c r="D1928" s="31"/>
      <c r="E1928" s="31"/>
      <c r="F1928" s="31"/>
    </row>
    <row r="1929" spans="1:6" x14ac:dyDescent="0.2">
      <c r="A1929" s="44">
        <v>51309</v>
      </c>
      <c r="B1929" s="43"/>
      <c r="C1929" s="44" t="s">
        <v>1974</v>
      </c>
      <c r="D1929" s="31"/>
      <c r="E1929" s="31"/>
      <c r="F1929" s="31"/>
    </row>
    <row r="1930" spans="1:6" x14ac:dyDescent="0.2">
      <c r="A1930" s="44">
        <v>51310</v>
      </c>
      <c r="B1930" s="43"/>
      <c r="C1930" s="44" t="s">
        <v>1975</v>
      </c>
      <c r="D1930" s="31"/>
      <c r="E1930" s="31"/>
      <c r="F1930" s="31"/>
    </row>
    <row r="1931" spans="1:6" x14ac:dyDescent="0.2">
      <c r="A1931" s="44">
        <v>51311</v>
      </c>
      <c r="B1931" s="43"/>
      <c r="C1931" s="44" t="s">
        <v>1976</v>
      </c>
      <c r="D1931" s="31"/>
      <c r="E1931" s="31"/>
      <c r="F1931" s="31"/>
    </row>
    <row r="1932" spans="1:6" x14ac:dyDescent="0.2">
      <c r="A1932" s="44">
        <v>51312</v>
      </c>
      <c r="B1932" s="43"/>
      <c r="C1932" s="44" t="s">
        <v>1977</v>
      </c>
      <c r="D1932" s="31"/>
      <c r="E1932" s="31"/>
      <c r="F1932" s="31"/>
    </row>
    <row r="1933" spans="1:6" x14ac:dyDescent="0.2">
      <c r="A1933" s="44">
        <v>51313</v>
      </c>
      <c r="B1933" s="43"/>
      <c r="C1933" s="44" t="s">
        <v>1978</v>
      </c>
      <c r="D1933" s="31"/>
      <c r="E1933" s="31"/>
      <c r="F1933" s="31"/>
    </row>
    <row r="1934" spans="1:6" x14ac:dyDescent="0.2">
      <c r="A1934" s="44">
        <v>51314</v>
      </c>
      <c r="B1934" s="43"/>
      <c r="C1934" s="44" t="s">
        <v>1979</v>
      </c>
      <c r="D1934" s="31"/>
      <c r="E1934" s="31"/>
      <c r="F1934" s="31"/>
    </row>
    <row r="1935" spans="1:6" x14ac:dyDescent="0.2">
      <c r="A1935" s="44">
        <v>51315</v>
      </c>
      <c r="B1935" s="43"/>
      <c r="C1935" s="44" t="s">
        <v>1980</v>
      </c>
      <c r="D1935" s="31"/>
      <c r="E1935" s="31"/>
      <c r="F1935" s="31"/>
    </row>
    <row r="1936" spans="1:6" x14ac:dyDescent="0.2">
      <c r="A1936" s="44">
        <v>51316</v>
      </c>
      <c r="B1936" s="43"/>
      <c r="C1936" s="44" t="s">
        <v>1981</v>
      </c>
      <c r="D1936" s="31"/>
      <c r="E1936" s="31"/>
      <c r="F1936" s="31"/>
    </row>
    <row r="1937" spans="1:6" x14ac:dyDescent="0.2">
      <c r="A1937" s="44">
        <v>51317</v>
      </c>
      <c r="B1937" s="43"/>
      <c r="C1937" s="44" t="s">
        <v>1982</v>
      </c>
      <c r="D1937" s="31"/>
      <c r="E1937" s="31"/>
      <c r="F1937" s="31"/>
    </row>
    <row r="1938" spans="1:6" x14ac:dyDescent="0.2">
      <c r="A1938" s="44">
        <v>51318</v>
      </c>
      <c r="B1938" s="43"/>
      <c r="C1938" s="44" t="s">
        <v>1983</v>
      </c>
      <c r="D1938" s="31"/>
      <c r="E1938" s="31"/>
      <c r="F1938" s="31"/>
    </row>
    <row r="1939" spans="1:6" x14ac:dyDescent="0.2">
      <c r="A1939" s="44">
        <v>51319</v>
      </c>
      <c r="B1939" s="43"/>
      <c r="C1939" s="44" t="s">
        <v>1984</v>
      </c>
      <c r="D1939" s="31"/>
      <c r="E1939" s="31"/>
      <c r="F1939" s="31"/>
    </row>
    <row r="1940" spans="1:6" x14ac:dyDescent="0.2">
      <c r="A1940" s="44">
        <v>51320</v>
      </c>
      <c r="B1940" s="43"/>
      <c r="C1940" s="44" t="s">
        <v>1985</v>
      </c>
      <c r="D1940" s="31"/>
      <c r="E1940" s="31"/>
      <c r="F1940" s="31"/>
    </row>
    <row r="1941" spans="1:6" x14ac:dyDescent="0.2">
      <c r="A1941" s="44">
        <v>51321</v>
      </c>
      <c r="B1941" s="43"/>
      <c r="C1941" s="44" t="s">
        <v>1986</v>
      </c>
      <c r="D1941" s="31"/>
      <c r="E1941" s="31"/>
      <c r="F1941" s="31"/>
    </row>
    <row r="1942" spans="1:6" x14ac:dyDescent="0.2">
      <c r="A1942" s="44">
        <v>51322</v>
      </c>
      <c r="B1942" s="43"/>
      <c r="C1942" s="44" t="s">
        <v>1987</v>
      </c>
      <c r="D1942" s="31"/>
      <c r="E1942" s="31"/>
      <c r="F1942" s="31"/>
    </row>
    <row r="1943" spans="1:6" x14ac:dyDescent="0.2">
      <c r="A1943" s="44">
        <v>51323</v>
      </c>
      <c r="B1943" s="43"/>
      <c r="C1943" s="44" t="s">
        <v>1988</v>
      </c>
      <c r="D1943" s="31"/>
      <c r="E1943" s="31"/>
      <c r="F1943" s="31"/>
    </row>
    <row r="1944" spans="1:6" x14ac:dyDescent="0.2">
      <c r="A1944" s="44">
        <v>51324</v>
      </c>
      <c r="B1944" s="43"/>
      <c r="C1944" s="44" t="s">
        <v>1989</v>
      </c>
      <c r="D1944" s="31"/>
      <c r="E1944" s="31"/>
      <c r="F1944" s="31"/>
    </row>
    <row r="1945" spans="1:6" x14ac:dyDescent="0.2">
      <c r="A1945" s="44">
        <v>51325</v>
      </c>
      <c r="B1945" s="43"/>
      <c r="C1945" s="44" t="s">
        <v>1990</v>
      </c>
      <c r="D1945" s="31"/>
      <c r="E1945" s="31"/>
      <c r="F1945" s="31"/>
    </row>
    <row r="1946" spans="1:6" x14ac:dyDescent="0.2">
      <c r="A1946" s="44">
        <v>51326</v>
      </c>
      <c r="B1946" s="43"/>
      <c r="C1946" s="44" t="s">
        <v>1991</v>
      </c>
      <c r="D1946" s="31"/>
      <c r="E1946" s="31"/>
      <c r="F1946" s="31"/>
    </row>
    <row r="1947" spans="1:6" x14ac:dyDescent="0.2">
      <c r="A1947" s="44">
        <v>51327</v>
      </c>
      <c r="B1947" s="43"/>
      <c r="C1947" s="44" t="s">
        <v>1992</v>
      </c>
      <c r="D1947" s="31"/>
      <c r="E1947" s="31"/>
      <c r="F1947" s="31"/>
    </row>
    <row r="1948" spans="1:6" x14ac:dyDescent="0.2">
      <c r="A1948" s="44">
        <v>51328</v>
      </c>
      <c r="B1948" s="43"/>
      <c r="C1948" s="44" t="s">
        <v>1993</v>
      </c>
      <c r="D1948" s="31"/>
      <c r="E1948" s="31"/>
      <c r="F1948" s="31"/>
    </row>
    <row r="1949" spans="1:6" x14ac:dyDescent="0.2">
      <c r="A1949" s="44">
        <v>51329</v>
      </c>
      <c r="B1949" s="43"/>
      <c r="C1949" s="44" t="s">
        <v>1994</v>
      </c>
      <c r="D1949" s="31"/>
      <c r="E1949" s="31"/>
      <c r="F1949" s="31"/>
    </row>
    <row r="1950" spans="1:6" x14ac:dyDescent="0.2">
      <c r="A1950" s="44">
        <v>51330</v>
      </c>
      <c r="B1950" s="43"/>
      <c r="C1950" s="44" t="s">
        <v>1995</v>
      </c>
      <c r="D1950" s="31"/>
      <c r="E1950" s="31"/>
      <c r="F1950" s="31"/>
    </row>
    <row r="1951" spans="1:6" x14ac:dyDescent="0.2">
      <c r="A1951" s="44">
        <v>51336</v>
      </c>
      <c r="B1951" s="43"/>
      <c r="C1951" s="44" t="s">
        <v>1996</v>
      </c>
      <c r="D1951" s="31"/>
      <c r="E1951" s="31"/>
      <c r="F1951" s="31"/>
    </row>
    <row r="1952" spans="1:6" x14ac:dyDescent="0.2">
      <c r="A1952" s="44">
        <v>51337</v>
      </c>
      <c r="B1952" s="43"/>
      <c r="C1952" s="44" t="s">
        <v>1997</v>
      </c>
      <c r="D1952" s="31"/>
      <c r="E1952" s="31"/>
      <c r="F1952" s="31"/>
    </row>
    <row r="1953" spans="1:6" x14ac:dyDescent="0.2">
      <c r="A1953" s="44">
        <v>51338</v>
      </c>
      <c r="B1953" s="43"/>
      <c r="C1953" s="44" t="s">
        <v>1998</v>
      </c>
      <c r="D1953" s="31"/>
      <c r="E1953" s="31"/>
      <c r="F1953" s="31"/>
    </row>
    <row r="1954" spans="1:6" x14ac:dyDescent="0.2">
      <c r="A1954" s="44">
        <v>51339</v>
      </c>
      <c r="B1954" s="43"/>
      <c r="C1954" s="44" t="s">
        <v>1999</v>
      </c>
      <c r="D1954" s="31"/>
      <c r="E1954" s="31"/>
      <c r="F1954" s="31"/>
    </row>
    <row r="1955" spans="1:6" x14ac:dyDescent="0.2">
      <c r="A1955" s="44">
        <v>51340</v>
      </c>
      <c r="B1955" s="43"/>
      <c r="C1955" s="44" t="s">
        <v>2000</v>
      </c>
      <c r="D1955" s="31"/>
      <c r="E1955" s="31"/>
      <c r="F1955" s="31"/>
    </row>
    <row r="1956" spans="1:6" x14ac:dyDescent="0.2">
      <c r="A1956" s="44">
        <v>51341</v>
      </c>
      <c r="B1956" s="43"/>
      <c r="C1956" s="44" t="s">
        <v>2001</v>
      </c>
      <c r="D1956" s="31"/>
      <c r="E1956" s="31"/>
      <c r="F1956" s="31"/>
    </row>
    <row r="1957" spans="1:6" x14ac:dyDescent="0.2">
      <c r="A1957" s="44">
        <v>51342</v>
      </c>
      <c r="B1957" s="43"/>
      <c r="C1957" s="44" t="s">
        <v>2002</v>
      </c>
      <c r="D1957" s="31"/>
      <c r="E1957" s="31"/>
      <c r="F1957" s="31"/>
    </row>
    <row r="1958" spans="1:6" x14ac:dyDescent="0.2">
      <c r="A1958" s="44">
        <v>51343</v>
      </c>
      <c r="B1958" s="43"/>
      <c r="C1958" s="44" t="s">
        <v>2003</v>
      </c>
      <c r="D1958" s="31"/>
      <c r="E1958" s="31"/>
      <c r="F1958" s="31"/>
    </row>
    <row r="1959" spans="1:6" x14ac:dyDescent="0.2">
      <c r="A1959" s="44">
        <v>51344</v>
      </c>
      <c r="B1959" s="43"/>
      <c r="C1959" s="44" t="s">
        <v>2004</v>
      </c>
      <c r="D1959" s="31"/>
      <c r="E1959" s="31"/>
      <c r="F1959" s="31"/>
    </row>
    <row r="1960" spans="1:6" x14ac:dyDescent="0.2">
      <c r="A1960" s="44">
        <v>51345</v>
      </c>
      <c r="B1960" s="43"/>
      <c r="C1960" s="44" t="s">
        <v>2005</v>
      </c>
      <c r="D1960" s="31"/>
      <c r="E1960" s="31"/>
      <c r="F1960" s="31"/>
    </row>
    <row r="1961" spans="1:6" x14ac:dyDescent="0.2">
      <c r="A1961" s="44">
        <v>51346</v>
      </c>
      <c r="B1961" s="43"/>
      <c r="C1961" s="44" t="s">
        <v>2006</v>
      </c>
      <c r="D1961" s="31"/>
      <c r="E1961" s="31"/>
      <c r="F1961" s="31"/>
    </row>
    <row r="1962" spans="1:6" x14ac:dyDescent="0.2">
      <c r="A1962" s="44">
        <v>51347</v>
      </c>
      <c r="B1962" s="43"/>
      <c r="C1962" s="44" t="s">
        <v>2007</v>
      </c>
      <c r="D1962" s="31"/>
      <c r="E1962" s="31"/>
      <c r="F1962" s="31"/>
    </row>
    <row r="1963" spans="1:6" x14ac:dyDescent="0.2">
      <c r="A1963" s="44">
        <v>52047</v>
      </c>
      <c r="B1963" s="43"/>
      <c r="C1963" s="44" t="s">
        <v>2008</v>
      </c>
      <c r="D1963" s="31"/>
      <c r="E1963" s="31"/>
      <c r="F1963" s="31"/>
    </row>
    <row r="1964" spans="1:6" x14ac:dyDescent="0.2">
      <c r="A1964" s="44">
        <v>52048</v>
      </c>
      <c r="B1964" s="43"/>
      <c r="C1964" s="44" t="s">
        <v>2009</v>
      </c>
      <c r="D1964" s="31"/>
      <c r="E1964" s="31"/>
      <c r="F1964" s="31"/>
    </row>
    <row r="1965" spans="1:6" x14ac:dyDescent="0.2">
      <c r="A1965" s="44">
        <v>52049</v>
      </c>
      <c r="B1965" s="43"/>
      <c r="C1965" s="44" t="s">
        <v>2010</v>
      </c>
      <c r="D1965" s="31"/>
      <c r="E1965" s="31"/>
      <c r="F1965" s="31"/>
    </row>
    <row r="1966" spans="1:6" x14ac:dyDescent="0.2">
      <c r="A1966" s="44">
        <v>52050</v>
      </c>
      <c r="B1966" s="43"/>
      <c r="C1966" s="44" t="s">
        <v>2011</v>
      </c>
      <c r="D1966" s="31"/>
      <c r="E1966" s="31"/>
      <c r="F1966" s="31"/>
    </row>
    <row r="1967" spans="1:6" x14ac:dyDescent="0.2">
      <c r="A1967" s="44">
        <v>52051</v>
      </c>
      <c r="B1967" s="43"/>
      <c r="C1967" s="44" t="s">
        <v>2012</v>
      </c>
      <c r="D1967" s="31"/>
      <c r="E1967" s="31"/>
      <c r="F1967" s="31"/>
    </row>
    <row r="1968" spans="1:6" x14ac:dyDescent="0.2">
      <c r="A1968" s="44">
        <v>52052</v>
      </c>
      <c r="B1968" s="43"/>
      <c r="C1968" s="44" t="s">
        <v>2013</v>
      </c>
      <c r="D1968" s="31"/>
      <c r="E1968" s="31"/>
      <c r="F1968" s="31"/>
    </row>
    <row r="1969" spans="1:6" x14ac:dyDescent="0.2">
      <c r="A1969" s="44">
        <v>52053</v>
      </c>
      <c r="B1969" s="43"/>
      <c r="C1969" s="44" t="s">
        <v>2014</v>
      </c>
      <c r="D1969" s="31"/>
      <c r="E1969" s="31"/>
      <c r="F1969" s="31"/>
    </row>
    <row r="1970" spans="1:6" x14ac:dyDescent="0.2">
      <c r="A1970" s="44">
        <v>52054</v>
      </c>
      <c r="B1970" s="43"/>
      <c r="C1970" s="44" t="s">
        <v>2015</v>
      </c>
      <c r="D1970" s="31"/>
      <c r="E1970" s="31"/>
      <c r="F1970" s="31"/>
    </row>
    <row r="1971" spans="1:6" x14ac:dyDescent="0.2">
      <c r="A1971" s="44">
        <v>53000</v>
      </c>
      <c r="B1971" s="43"/>
      <c r="C1971" s="44" t="s">
        <v>2016</v>
      </c>
      <c r="D1971" s="31"/>
      <c r="E1971" s="31"/>
      <c r="F1971" s="31"/>
    </row>
    <row r="1972" spans="1:6" x14ac:dyDescent="0.2">
      <c r="A1972" s="44">
        <v>53001</v>
      </c>
      <c r="B1972" s="43"/>
      <c r="C1972" s="44" t="s">
        <v>2017</v>
      </c>
      <c r="D1972" s="31"/>
      <c r="E1972" s="31"/>
      <c r="F1972" s="31"/>
    </row>
    <row r="1973" spans="1:6" x14ac:dyDescent="0.2">
      <c r="A1973" s="44">
        <v>53002</v>
      </c>
      <c r="B1973" s="43"/>
      <c r="C1973" s="44" t="s">
        <v>2018</v>
      </c>
      <c r="D1973" s="31"/>
      <c r="E1973" s="31"/>
      <c r="F1973" s="31"/>
    </row>
    <row r="1974" spans="1:6" x14ac:dyDescent="0.2">
      <c r="A1974" s="44">
        <v>53003</v>
      </c>
      <c r="B1974" s="43"/>
      <c r="C1974" s="44" t="s">
        <v>2019</v>
      </c>
      <c r="D1974" s="31"/>
      <c r="E1974" s="31"/>
      <c r="F1974" s="31"/>
    </row>
    <row r="1975" spans="1:6" x14ac:dyDescent="0.2">
      <c r="A1975" s="44">
        <v>60368</v>
      </c>
      <c r="B1975" s="43"/>
      <c r="C1975" s="44" t="s">
        <v>2020</v>
      </c>
      <c r="D1975" s="31"/>
      <c r="E1975" s="31"/>
      <c r="F1975" s="31"/>
    </row>
    <row r="1976" spans="1:6" x14ac:dyDescent="0.2">
      <c r="A1976" s="44">
        <v>60369</v>
      </c>
      <c r="B1976" s="43"/>
      <c r="C1976" s="44" t="s">
        <v>2021</v>
      </c>
      <c r="D1976" s="31"/>
      <c r="E1976" s="31"/>
      <c r="F1976" s="31"/>
    </row>
    <row r="1977" spans="1:6" x14ac:dyDescent="0.2">
      <c r="A1977" s="44">
        <v>60370</v>
      </c>
      <c r="B1977" s="43"/>
      <c r="C1977" s="44" t="s">
        <v>2022</v>
      </c>
      <c r="D1977" s="31"/>
      <c r="E1977" s="31"/>
      <c r="F1977" s="31"/>
    </row>
    <row r="1978" spans="1:6" x14ac:dyDescent="0.2">
      <c r="A1978" s="44">
        <v>60371</v>
      </c>
      <c r="B1978" s="43"/>
      <c r="C1978" s="44" t="s">
        <v>2023</v>
      </c>
      <c r="D1978" s="31"/>
      <c r="E1978" s="31"/>
      <c r="F1978" s="31"/>
    </row>
    <row r="1979" spans="1:6" x14ac:dyDescent="0.2">
      <c r="A1979" s="44">
        <v>60372</v>
      </c>
      <c r="B1979" s="43"/>
      <c r="C1979" s="44" t="s">
        <v>2024</v>
      </c>
      <c r="D1979" s="31"/>
      <c r="E1979" s="31"/>
      <c r="F1979" s="31"/>
    </row>
    <row r="1980" spans="1:6" x14ac:dyDescent="0.2">
      <c r="A1980" s="44">
        <v>60373</v>
      </c>
      <c r="B1980" s="43"/>
      <c r="C1980" s="44" t="s">
        <v>2025</v>
      </c>
      <c r="D1980" s="31"/>
      <c r="E1980" s="31"/>
      <c r="F1980" s="31"/>
    </row>
    <row r="1981" spans="1:6" x14ac:dyDescent="0.2">
      <c r="A1981" s="44">
        <v>60374</v>
      </c>
      <c r="B1981" s="43"/>
      <c r="C1981" s="44" t="s">
        <v>2026</v>
      </c>
      <c r="D1981" s="31"/>
      <c r="E1981" s="31"/>
      <c r="F1981" s="31"/>
    </row>
    <row r="1982" spans="1:6" x14ac:dyDescent="0.2">
      <c r="A1982" s="44">
        <v>60375</v>
      </c>
      <c r="B1982" s="43"/>
      <c r="C1982" s="44" t="s">
        <v>2027</v>
      </c>
      <c r="D1982" s="31"/>
      <c r="E1982" s="31"/>
      <c r="F1982" s="31"/>
    </row>
    <row r="1983" spans="1:6" x14ac:dyDescent="0.2">
      <c r="A1983" s="44">
        <v>60376</v>
      </c>
      <c r="B1983" s="43"/>
      <c r="C1983" s="44" t="s">
        <v>2028</v>
      </c>
      <c r="D1983" s="31"/>
      <c r="E1983" s="31"/>
      <c r="F1983" s="31"/>
    </row>
    <row r="1984" spans="1:6" x14ac:dyDescent="0.2">
      <c r="A1984" s="44">
        <v>60377</v>
      </c>
      <c r="B1984" s="43"/>
      <c r="C1984" s="44" t="s">
        <v>2029</v>
      </c>
      <c r="D1984" s="31"/>
      <c r="E1984" s="31"/>
      <c r="F1984" s="31"/>
    </row>
    <row r="1985" spans="1:6" x14ac:dyDescent="0.2">
      <c r="A1985" s="44">
        <v>60378</v>
      </c>
      <c r="B1985" s="43"/>
      <c r="C1985" s="44" t="s">
        <v>2030</v>
      </c>
      <c r="D1985" s="31"/>
      <c r="E1985" s="31"/>
      <c r="F1985" s="31"/>
    </row>
    <row r="1986" spans="1:6" x14ac:dyDescent="0.2">
      <c r="A1986" s="44">
        <v>60379</v>
      </c>
      <c r="B1986" s="43"/>
      <c r="C1986" s="44" t="s">
        <v>2031</v>
      </c>
      <c r="D1986" s="31"/>
      <c r="E1986" s="31"/>
      <c r="F1986" s="31"/>
    </row>
    <row r="1987" spans="1:6" x14ac:dyDescent="0.2">
      <c r="A1987" s="44">
        <v>60380</v>
      </c>
      <c r="B1987" s="43"/>
      <c r="C1987" s="44" t="s">
        <v>2032</v>
      </c>
      <c r="D1987" s="31"/>
      <c r="E1987" s="31"/>
      <c r="F1987" s="31"/>
    </row>
    <row r="1988" spans="1:6" x14ac:dyDescent="0.2">
      <c r="A1988" s="44">
        <v>60381</v>
      </c>
      <c r="B1988" s="43"/>
      <c r="C1988" s="44" t="s">
        <v>2033</v>
      </c>
      <c r="D1988" s="31"/>
      <c r="E1988" s="31"/>
      <c r="F1988" s="31"/>
    </row>
    <row r="1989" spans="1:6" x14ac:dyDescent="0.2">
      <c r="A1989" s="44">
        <v>60382</v>
      </c>
      <c r="B1989" s="43"/>
      <c r="C1989" s="44" t="s">
        <v>2034</v>
      </c>
      <c r="D1989" s="31"/>
      <c r="E1989" s="31"/>
      <c r="F1989" s="31"/>
    </row>
    <row r="1990" spans="1:6" x14ac:dyDescent="0.2">
      <c r="A1990" s="44">
        <v>60383</v>
      </c>
      <c r="B1990" s="43"/>
      <c r="C1990" s="44" t="s">
        <v>2035</v>
      </c>
      <c r="D1990" s="31"/>
      <c r="E1990" s="31"/>
      <c r="F1990" s="31"/>
    </row>
    <row r="1991" spans="1:6" x14ac:dyDescent="0.2">
      <c r="A1991" s="44">
        <v>60384</v>
      </c>
      <c r="B1991" s="43"/>
      <c r="C1991" s="44" t="s">
        <v>2036</v>
      </c>
      <c r="D1991" s="31"/>
      <c r="E1991" s="31"/>
      <c r="F1991" s="31"/>
    </row>
    <row r="1992" spans="1:6" x14ac:dyDescent="0.2">
      <c r="A1992" s="44">
        <v>60385</v>
      </c>
      <c r="B1992" s="43"/>
      <c r="C1992" s="44" t="s">
        <v>2037</v>
      </c>
      <c r="D1992" s="31"/>
      <c r="E1992" s="31"/>
      <c r="F1992" s="31"/>
    </row>
    <row r="1993" spans="1:6" x14ac:dyDescent="0.2">
      <c r="A1993" s="44">
        <v>60386</v>
      </c>
      <c r="B1993" s="43"/>
      <c r="C1993" s="44" t="s">
        <v>2038</v>
      </c>
      <c r="D1993" s="31"/>
      <c r="E1993" s="31"/>
      <c r="F1993" s="31"/>
    </row>
    <row r="1994" spans="1:6" x14ac:dyDescent="0.2">
      <c r="A1994" s="44">
        <v>60387</v>
      </c>
      <c r="B1994" s="43"/>
      <c r="C1994" s="44" t="s">
        <v>2039</v>
      </c>
      <c r="D1994" s="31"/>
      <c r="E1994" s="31"/>
      <c r="F1994" s="31"/>
    </row>
    <row r="1995" spans="1:6" x14ac:dyDescent="0.2">
      <c r="A1995" s="44">
        <v>60388</v>
      </c>
      <c r="B1995" s="43"/>
      <c r="C1995" s="44" t="s">
        <v>2040</v>
      </c>
      <c r="D1995" s="31"/>
      <c r="E1995" s="31"/>
      <c r="F1995" s="31"/>
    </row>
    <row r="1996" spans="1:6" x14ac:dyDescent="0.2">
      <c r="A1996" s="44">
        <v>60389</v>
      </c>
      <c r="B1996" s="43"/>
      <c r="C1996" s="44" t="s">
        <v>2041</v>
      </c>
      <c r="D1996" s="31"/>
      <c r="E1996" s="31"/>
      <c r="F1996" s="31"/>
    </row>
    <row r="1997" spans="1:6" x14ac:dyDescent="0.2">
      <c r="A1997" s="44">
        <v>60390</v>
      </c>
      <c r="B1997" s="43"/>
      <c r="C1997" s="44" t="s">
        <v>2042</v>
      </c>
      <c r="D1997" s="31"/>
      <c r="E1997" s="31"/>
      <c r="F1997" s="31"/>
    </row>
    <row r="1998" spans="1:6" x14ac:dyDescent="0.2">
      <c r="A1998" s="44">
        <v>60391</v>
      </c>
      <c r="B1998" s="43"/>
      <c r="C1998" s="44" t="s">
        <v>2043</v>
      </c>
      <c r="D1998" s="31"/>
      <c r="E1998" s="31"/>
      <c r="F1998" s="31"/>
    </row>
    <row r="1999" spans="1:6" x14ac:dyDescent="0.2">
      <c r="A1999" s="44">
        <v>60392</v>
      </c>
      <c r="B1999" s="43"/>
      <c r="C1999" s="44" t="s">
        <v>2044</v>
      </c>
      <c r="D1999" s="31"/>
      <c r="E1999" s="31"/>
      <c r="F1999" s="31"/>
    </row>
    <row r="2000" spans="1:6" x14ac:dyDescent="0.2">
      <c r="A2000" s="44">
        <v>60393</v>
      </c>
      <c r="B2000" s="43"/>
      <c r="C2000" s="44" t="s">
        <v>2045</v>
      </c>
      <c r="D2000" s="31"/>
      <c r="E2000" s="31"/>
      <c r="F2000" s="31"/>
    </row>
    <row r="2001" spans="1:6" x14ac:dyDescent="0.2">
      <c r="A2001" s="44">
        <v>60394</v>
      </c>
      <c r="B2001" s="43"/>
      <c r="C2001" s="44" t="s">
        <v>2046</v>
      </c>
      <c r="D2001" s="31"/>
      <c r="E2001" s="31"/>
      <c r="F2001" s="31"/>
    </row>
    <row r="2002" spans="1:6" x14ac:dyDescent="0.2">
      <c r="A2002" s="44">
        <v>60395</v>
      </c>
      <c r="B2002" s="43"/>
      <c r="C2002" s="44" t="s">
        <v>2047</v>
      </c>
      <c r="D2002" s="31"/>
      <c r="E2002" s="31"/>
      <c r="F2002" s="31"/>
    </row>
    <row r="2003" spans="1:6" x14ac:dyDescent="0.2">
      <c r="A2003" s="44">
        <v>61368</v>
      </c>
      <c r="B2003" s="43"/>
      <c r="C2003" s="44" t="s">
        <v>2048</v>
      </c>
      <c r="D2003" s="31"/>
      <c r="E2003" s="31"/>
      <c r="F2003" s="31"/>
    </row>
    <row r="2004" spans="1:6" x14ac:dyDescent="0.2">
      <c r="A2004" s="44">
        <v>61369</v>
      </c>
      <c r="B2004" s="43"/>
      <c r="C2004" s="44" t="s">
        <v>2049</v>
      </c>
      <c r="D2004" s="31"/>
      <c r="E2004" s="31"/>
      <c r="F2004" s="31"/>
    </row>
    <row r="2005" spans="1:6" x14ac:dyDescent="0.2">
      <c r="A2005" s="44">
        <v>61370</v>
      </c>
      <c r="B2005" s="43"/>
      <c r="C2005" s="44" t="s">
        <v>2050</v>
      </c>
      <c r="D2005" s="31"/>
      <c r="E2005" s="31"/>
      <c r="F2005" s="31"/>
    </row>
    <row r="2006" spans="1:6" x14ac:dyDescent="0.2">
      <c r="A2006" s="44">
        <v>61371</v>
      </c>
      <c r="B2006" s="43"/>
      <c r="C2006" s="44" t="s">
        <v>2051</v>
      </c>
      <c r="D2006" s="31"/>
      <c r="E2006" s="31"/>
      <c r="F2006" s="31"/>
    </row>
    <row r="2007" spans="1:6" x14ac:dyDescent="0.2">
      <c r="A2007" s="44">
        <v>61372</v>
      </c>
      <c r="B2007" s="43"/>
      <c r="C2007" s="44" t="s">
        <v>2052</v>
      </c>
      <c r="D2007" s="31"/>
      <c r="E2007" s="31"/>
      <c r="F2007" s="31"/>
    </row>
    <row r="2008" spans="1:6" x14ac:dyDescent="0.2">
      <c r="A2008" s="44">
        <v>61373</v>
      </c>
      <c r="B2008" s="43"/>
      <c r="C2008" s="44" t="s">
        <v>2053</v>
      </c>
      <c r="D2008" s="31"/>
      <c r="E2008" s="31"/>
      <c r="F2008" s="31"/>
    </row>
    <row r="2009" spans="1:6" x14ac:dyDescent="0.2">
      <c r="A2009" s="44">
        <v>61374</v>
      </c>
      <c r="B2009" s="43"/>
      <c r="C2009" s="44" t="s">
        <v>2054</v>
      </c>
      <c r="D2009" s="31"/>
      <c r="E2009" s="31"/>
      <c r="F2009" s="31"/>
    </row>
    <row r="2010" spans="1:6" x14ac:dyDescent="0.2">
      <c r="A2010" s="44">
        <v>61375</v>
      </c>
      <c r="B2010" s="43"/>
      <c r="C2010" s="44" t="s">
        <v>2055</v>
      </c>
      <c r="D2010" s="31"/>
      <c r="E2010" s="31"/>
      <c r="F2010" s="31"/>
    </row>
    <row r="2011" spans="1:6" x14ac:dyDescent="0.2">
      <c r="A2011" s="44">
        <v>61376</v>
      </c>
      <c r="B2011" s="43"/>
      <c r="C2011" s="44" t="s">
        <v>2056</v>
      </c>
      <c r="D2011" s="31"/>
      <c r="E2011" s="31"/>
      <c r="F2011" s="31"/>
    </row>
    <row r="2012" spans="1:6" x14ac:dyDescent="0.2">
      <c r="A2012" s="44">
        <v>61377</v>
      </c>
      <c r="B2012" s="43"/>
      <c r="C2012" s="44" t="s">
        <v>2057</v>
      </c>
      <c r="D2012" s="31"/>
      <c r="E2012" s="31"/>
      <c r="F2012" s="31"/>
    </row>
    <row r="2013" spans="1:6" x14ac:dyDescent="0.2">
      <c r="A2013" s="44">
        <v>61378</v>
      </c>
      <c r="B2013" s="43"/>
      <c r="C2013" s="44" t="s">
        <v>2058</v>
      </c>
      <c r="D2013" s="31"/>
      <c r="E2013" s="31"/>
      <c r="F2013" s="31"/>
    </row>
    <row r="2014" spans="1:6" x14ac:dyDescent="0.2">
      <c r="A2014" s="44">
        <v>61379</v>
      </c>
      <c r="B2014" s="43"/>
      <c r="C2014" s="44" t="s">
        <v>2059</v>
      </c>
      <c r="D2014" s="31"/>
      <c r="E2014" s="31"/>
      <c r="F2014" s="31"/>
    </row>
    <row r="2015" spans="1:6" x14ac:dyDescent="0.2">
      <c r="A2015" s="44">
        <v>61380</v>
      </c>
      <c r="B2015" s="43"/>
      <c r="C2015" s="44" t="s">
        <v>2060</v>
      </c>
      <c r="D2015" s="31"/>
      <c r="E2015" s="31"/>
      <c r="F2015" s="31"/>
    </row>
    <row r="2016" spans="1:6" x14ac:dyDescent="0.2">
      <c r="A2016" s="44">
        <v>61381</v>
      </c>
      <c r="B2016" s="43"/>
      <c r="C2016" s="44" t="s">
        <v>2061</v>
      </c>
      <c r="D2016" s="31"/>
      <c r="E2016" s="31"/>
      <c r="F2016" s="31"/>
    </row>
    <row r="2017" spans="1:6" x14ac:dyDescent="0.2">
      <c r="A2017" s="44">
        <v>61382</v>
      </c>
      <c r="B2017" s="43"/>
      <c r="C2017" s="44" t="s">
        <v>2062</v>
      </c>
      <c r="D2017" s="31"/>
      <c r="E2017" s="31"/>
      <c r="F2017" s="31"/>
    </row>
    <row r="2018" spans="1:6" x14ac:dyDescent="0.2">
      <c r="A2018" s="44">
        <v>61383</v>
      </c>
      <c r="B2018" s="43"/>
      <c r="C2018" s="44" t="s">
        <v>2063</v>
      </c>
      <c r="D2018" s="31"/>
      <c r="E2018" s="31"/>
      <c r="F2018" s="31"/>
    </row>
    <row r="2019" spans="1:6" x14ac:dyDescent="0.2">
      <c r="A2019" s="44">
        <v>61384</v>
      </c>
      <c r="B2019" s="43"/>
      <c r="C2019" s="44" t="s">
        <v>2064</v>
      </c>
      <c r="D2019" s="31"/>
      <c r="E2019" s="31"/>
      <c r="F2019" s="31"/>
    </row>
    <row r="2020" spans="1:6" x14ac:dyDescent="0.2">
      <c r="A2020" s="44">
        <v>61385</v>
      </c>
      <c r="B2020" s="43"/>
      <c r="C2020" s="44" t="s">
        <v>2065</v>
      </c>
      <c r="D2020" s="31"/>
      <c r="E2020" s="31"/>
      <c r="F2020" s="31"/>
    </row>
    <row r="2021" spans="1:6" x14ac:dyDescent="0.2">
      <c r="A2021" s="44">
        <v>61386</v>
      </c>
      <c r="B2021" s="43"/>
      <c r="C2021" s="44" t="s">
        <v>2066</v>
      </c>
      <c r="D2021" s="31"/>
      <c r="E2021" s="31"/>
      <c r="F2021" s="31"/>
    </row>
    <row r="2022" spans="1:6" x14ac:dyDescent="0.2">
      <c r="A2022" s="44">
        <v>61387</v>
      </c>
      <c r="B2022" s="43"/>
      <c r="C2022" s="44" t="s">
        <v>2067</v>
      </c>
      <c r="D2022" s="31"/>
      <c r="E2022" s="31"/>
      <c r="F2022" s="31"/>
    </row>
    <row r="2023" spans="1:6" x14ac:dyDescent="0.2">
      <c r="A2023" s="44">
        <v>61388</v>
      </c>
      <c r="B2023" s="43"/>
      <c r="C2023" s="44" t="s">
        <v>2068</v>
      </c>
      <c r="D2023" s="31"/>
      <c r="E2023" s="31"/>
      <c r="F2023" s="31"/>
    </row>
    <row r="2024" spans="1:6" x14ac:dyDescent="0.2">
      <c r="A2024" s="44">
        <v>61389</v>
      </c>
      <c r="B2024" s="43"/>
      <c r="C2024" s="44" t="s">
        <v>2069</v>
      </c>
      <c r="D2024" s="31"/>
      <c r="E2024" s="31"/>
      <c r="F2024" s="31"/>
    </row>
    <row r="2025" spans="1:6" x14ac:dyDescent="0.2">
      <c r="A2025" s="44">
        <v>61390</v>
      </c>
      <c r="B2025" s="43"/>
      <c r="C2025" s="44" t="s">
        <v>2070</v>
      </c>
      <c r="D2025" s="31"/>
      <c r="E2025" s="31"/>
      <c r="F2025" s="31"/>
    </row>
    <row r="2026" spans="1:6" x14ac:dyDescent="0.2">
      <c r="A2026" s="44">
        <v>61391</v>
      </c>
      <c r="B2026" s="43"/>
      <c r="C2026" s="44" t="s">
        <v>2071</v>
      </c>
      <c r="D2026" s="31"/>
      <c r="E2026" s="31"/>
      <c r="F2026" s="31"/>
    </row>
    <row r="2027" spans="1:6" x14ac:dyDescent="0.2">
      <c r="A2027" s="44">
        <v>61392</v>
      </c>
      <c r="B2027" s="43"/>
      <c r="C2027" s="44" t="s">
        <v>2072</v>
      </c>
      <c r="D2027" s="31"/>
      <c r="E2027" s="31"/>
      <c r="F2027" s="31"/>
    </row>
    <row r="2028" spans="1:6" x14ac:dyDescent="0.2">
      <c r="A2028" s="44">
        <v>61393</v>
      </c>
      <c r="B2028" s="43"/>
      <c r="C2028" s="44" t="s">
        <v>2073</v>
      </c>
      <c r="D2028" s="31"/>
      <c r="E2028" s="31"/>
      <c r="F2028" s="31"/>
    </row>
    <row r="2029" spans="1:6" x14ac:dyDescent="0.2">
      <c r="A2029" s="44">
        <v>61394</v>
      </c>
      <c r="B2029" s="43"/>
      <c r="C2029" s="44" t="s">
        <v>2074</v>
      </c>
      <c r="D2029" s="31"/>
      <c r="E2029" s="31"/>
      <c r="F2029" s="31"/>
    </row>
    <row r="2030" spans="1:6" x14ac:dyDescent="0.2">
      <c r="A2030" s="44">
        <v>61395</v>
      </c>
      <c r="B2030" s="43"/>
      <c r="C2030" s="44" t="s">
        <v>2075</v>
      </c>
      <c r="D2030" s="31"/>
      <c r="E2030" s="31"/>
      <c r="F2030" s="31"/>
    </row>
    <row r="2031" spans="1:6" x14ac:dyDescent="0.2">
      <c r="A2031" s="44">
        <v>62063</v>
      </c>
      <c r="B2031" s="43"/>
      <c r="C2031" s="44" t="s">
        <v>2076</v>
      </c>
      <c r="D2031" s="31"/>
      <c r="E2031" s="31"/>
      <c r="F2031" s="31"/>
    </row>
    <row r="2032" spans="1:6" x14ac:dyDescent="0.2">
      <c r="A2032" s="44">
        <v>62064</v>
      </c>
      <c r="B2032" s="43"/>
      <c r="C2032" s="44" t="s">
        <v>2077</v>
      </c>
      <c r="D2032" s="31"/>
      <c r="E2032" s="31"/>
      <c r="F2032" s="31"/>
    </row>
    <row r="2033" spans="1:6" x14ac:dyDescent="0.2">
      <c r="A2033" s="44">
        <v>62065</v>
      </c>
      <c r="B2033" s="43"/>
      <c r="C2033" s="44" t="s">
        <v>2078</v>
      </c>
      <c r="D2033" s="31"/>
      <c r="E2033" s="31"/>
      <c r="F2033" s="31"/>
    </row>
    <row r="2034" spans="1:6" x14ac:dyDescent="0.2">
      <c r="A2034" s="44">
        <v>62066</v>
      </c>
      <c r="B2034" s="43"/>
      <c r="C2034" s="44" t="s">
        <v>2079</v>
      </c>
      <c r="D2034" s="31"/>
      <c r="E2034" s="31"/>
      <c r="F2034" s="31"/>
    </row>
    <row r="2035" spans="1:6" x14ac:dyDescent="0.2">
      <c r="A2035" s="44">
        <v>62067</v>
      </c>
      <c r="B2035" s="43"/>
      <c r="C2035" s="44" t="s">
        <v>2080</v>
      </c>
      <c r="D2035" s="31"/>
      <c r="E2035" s="31"/>
      <c r="F2035" s="31"/>
    </row>
    <row r="2036" spans="1:6" x14ac:dyDescent="0.2">
      <c r="A2036" s="44">
        <v>62068</v>
      </c>
      <c r="B2036" s="43"/>
      <c r="C2036" s="44" t="s">
        <v>2081</v>
      </c>
      <c r="D2036" s="31"/>
      <c r="E2036" s="31"/>
      <c r="F2036" s="31"/>
    </row>
    <row r="2037" spans="1:6" x14ac:dyDescent="0.2">
      <c r="A2037" s="44">
        <v>62069</v>
      </c>
      <c r="B2037" s="43"/>
      <c r="C2037" s="44" t="s">
        <v>2082</v>
      </c>
      <c r="D2037" s="31"/>
      <c r="E2037" s="31"/>
      <c r="F2037" s="31"/>
    </row>
    <row r="2038" spans="1:6" x14ac:dyDescent="0.2">
      <c r="A2038" s="44">
        <v>62070</v>
      </c>
      <c r="B2038" s="43"/>
      <c r="C2038" s="44" t="s">
        <v>2083</v>
      </c>
      <c r="D2038" s="31"/>
      <c r="E2038" s="31"/>
      <c r="F2038" s="31"/>
    </row>
    <row r="2039" spans="1:6" x14ac:dyDescent="0.2">
      <c r="A2039" s="44">
        <v>62071</v>
      </c>
      <c r="B2039" s="43"/>
      <c r="C2039" s="44" t="s">
        <v>2084</v>
      </c>
      <c r="D2039" s="31"/>
      <c r="E2039" s="31"/>
      <c r="F2039" s="31"/>
    </row>
    <row r="2040" spans="1:6" x14ac:dyDescent="0.2">
      <c r="A2040" s="44">
        <v>63000</v>
      </c>
      <c r="B2040" s="43"/>
      <c r="C2040" s="44" t="s">
        <v>2085</v>
      </c>
      <c r="D2040" s="31"/>
      <c r="E2040" s="31"/>
      <c r="F2040" s="31"/>
    </row>
    <row r="2041" spans="1:6" x14ac:dyDescent="0.2">
      <c r="A2041" s="44">
        <v>63001</v>
      </c>
      <c r="B2041" s="43"/>
      <c r="C2041" s="44" t="s">
        <v>2086</v>
      </c>
      <c r="D2041" s="31"/>
      <c r="E2041" s="31"/>
      <c r="F2041" s="31"/>
    </row>
    <row r="2042" spans="1:6" x14ac:dyDescent="0.2">
      <c r="A2042" s="44">
        <v>63003</v>
      </c>
      <c r="B2042" s="43"/>
      <c r="C2042" s="44" t="s">
        <v>2087</v>
      </c>
      <c r="D2042" s="31"/>
      <c r="E2042" s="31"/>
      <c r="F2042" s="31"/>
    </row>
    <row r="2043" spans="1:6" x14ac:dyDescent="0.2">
      <c r="A2043" s="44">
        <v>63004</v>
      </c>
      <c r="B2043" s="43"/>
      <c r="C2043" s="44" t="s">
        <v>2088</v>
      </c>
      <c r="D2043" s="31"/>
      <c r="E2043" s="31"/>
      <c r="F2043" s="31"/>
    </row>
    <row r="2044" spans="1:6" x14ac:dyDescent="0.2">
      <c r="A2044" s="45">
        <v>63005</v>
      </c>
      <c r="B2044" s="43"/>
      <c r="C2044" s="45" t="s">
        <v>549</v>
      </c>
      <c r="D2044" s="31"/>
      <c r="E2044" s="31"/>
      <c r="F2044" s="31"/>
    </row>
    <row r="2045" spans="1:6" x14ac:dyDescent="0.2">
      <c r="A2045" s="45">
        <v>63013</v>
      </c>
      <c r="B2045" s="43"/>
      <c r="C2045" s="45" t="s">
        <v>2089</v>
      </c>
      <c r="D2045" s="31"/>
      <c r="E2045" s="31"/>
      <c r="F2045" s="31"/>
    </row>
    <row r="2046" spans="1:6" x14ac:dyDescent="0.2">
      <c r="A2046" s="45">
        <v>63015</v>
      </c>
      <c r="B2046" s="43"/>
      <c r="C2046" s="42" t="s">
        <v>552</v>
      </c>
      <c r="D2046" s="32"/>
      <c r="E2046" s="32"/>
      <c r="F2046" s="32"/>
    </row>
    <row r="2047" spans="1:6" x14ac:dyDescent="0.2">
      <c r="A2047" s="44">
        <v>70400</v>
      </c>
      <c r="B2047" s="43"/>
      <c r="C2047" s="44" t="s">
        <v>2090</v>
      </c>
      <c r="D2047" s="31"/>
      <c r="E2047" s="31"/>
      <c r="F2047" s="31"/>
    </row>
    <row r="2048" spans="1:6" x14ac:dyDescent="0.2">
      <c r="A2048" s="44">
        <v>70401</v>
      </c>
      <c r="B2048" s="43"/>
      <c r="C2048" s="44" t="s">
        <v>2091</v>
      </c>
      <c r="D2048" s="31"/>
      <c r="E2048" s="31"/>
      <c r="F2048" s="31"/>
    </row>
    <row r="2049" spans="1:6" x14ac:dyDescent="0.2">
      <c r="A2049" s="44">
        <v>70402</v>
      </c>
      <c r="B2049" s="43"/>
      <c r="C2049" s="44" t="s">
        <v>2092</v>
      </c>
      <c r="D2049" s="31"/>
      <c r="E2049" s="31"/>
      <c r="F2049" s="31"/>
    </row>
    <row r="2050" spans="1:6" x14ac:dyDescent="0.2">
      <c r="A2050" s="44">
        <v>70403</v>
      </c>
      <c r="B2050" s="43"/>
      <c r="C2050" s="44" t="s">
        <v>2093</v>
      </c>
      <c r="D2050" s="31"/>
      <c r="E2050" s="31"/>
      <c r="F2050" s="31"/>
    </row>
    <row r="2051" spans="1:6" x14ac:dyDescent="0.2">
      <c r="A2051" s="44">
        <v>70404</v>
      </c>
      <c r="B2051" s="43"/>
      <c r="C2051" s="44" t="s">
        <v>2094</v>
      </c>
      <c r="D2051" s="31"/>
      <c r="E2051" s="31"/>
      <c r="F2051" s="31"/>
    </row>
    <row r="2052" spans="1:6" x14ac:dyDescent="0.2">
      <c r="A2052" s="44">
        <v>70405</v>
      </c>
      <c r="B2052" s="43"/>
      <c r="C2052" s="44" t="s">
        <v>2095</v>
      </c>
      <c r="D2052" s="31"/>
      <c r="E2052" s="31"/>
      <c r="F2052" s="31"/>
    </row>
    <row r="2053" spans="1:6" x14ac:dyDescent="0.2">
      <c r="A2053" s="44">
        <v>70406</v>
      </c>
      <c r="B2053" s="43"/>
      <c r="C2053" s="44" t="s">
        <v>2096</v>
      </c>
      <c r="D2053" s="31"/>
      <c r="E2053" s="31"/>
      <c r="F2053" s="31"/>
    </row>
    <row r="2054" spans="1:6" x14ac:dyDescent="0.2">
      <c r="A2054" s="44">
        <v>70407</v>
      </c>
      <c r="B2054" s="43"/>
      <c r="C2054" s="44" t="s">
        <v>2097</v>
      </c>
      <c r="D2054" s="31"/>
      <c r="E2054" s="31"/>
      <c r="F2054" s="31"/>
    </row>
    <row r="2055" spans="1:6" x14ac:dyDescent="0.2">
      <c r="A2055" s="44">
        <v>70408</v>
      </c>
      <c r="B2055" s="43"/>
      <c r="C2055" s="44" t="s">
        <v>2098</v>
      </c>
      <c r="D2055" s="31"/>
      <c r="E2055" s="31"/>
      <c r="F2055" s="31"/>
    </row>
    <row r="2056" spans="1:6" x14ac:dyDescent="0.2">
      <c r="A2056" s="44">
        <v>70409</v>
      </c>
      <c r="B2056" s="43"/>
      <c r="C2056" s="44" t="s">
        <v>2099</v>
      </c>
      <c r="D2056" s="31"/>
      <c r="E2056" s="31"/>
      <c r="F2056" s="31"/>
    </row>
    <row r="2057" spans="1:6" x14ac:dyDescent="0.2">
      <c r="A2057" s="44">
        <v>70410</v>
      </c>
      <c r="B2057" s="43"/>
      <c r="C2057" s="44" t="s">
        <v>2100</v>
      </c>
      <c r="D2057" s="31"/>
      <c r="E2057" s="31"/>
      <c r="F2057" s="31"/>
    </row>
    <row r="2058" spans="1:6" x14ac:dyDescent="0.2">
      <c r="A2058" s="44">
        <v>70411</v>
      </c>
      <c r="B2058" s="43"/>
      <c r="C2058" s="44" t="s">
        <v>2101</v>
      </c>
      <c r="D2058" s="31"/>
      <c r="E2058" s="31"/>
      <c r="F2058" s="31"/>
    </row>
    <row r="2059" spans="1:6" x14ac:dyDescent="0.2">
      <c r="A2059" s="44">
        <v>70412</v>
      </c>
      <c r="B2059" s="43"/>
      <c r="C2059" s="44" t="s">
        <v>2102</v>
      </c>
      <c r="D2059" s="31"/>
      <c r="E2059" s="31"/>
      <c r="F2059" s="31"/>
    </row>
    <row r="2060" spans="1:6" x14ac:dyDescent="0.2">
      <c r="A2060" s="44">
        <v>70413</v>
      </c>
      <c r="B2060" s="43"/>
      <c r="C2060" s="44" t="s">
        <v>2103</v>
      </c>
      <c r="D2060" s="31"/>
      <c r="E2060" s="31"/>
      <c r="F2060" s="31"/>
    </row>
    <row r="2061" spans="1:6" x14ac:dyDescent="0.2">
      <c r="A2061" s="44">
        <v>70414</v>
      </c>
      <c r="B2061" s="43"/>
      <c r="C2061" s="44" t="s">
        <v>2104</v>
      </c>
      <c r="D2061" s="31"/>
      <c r="E2061" s="31"/>
      <c r="F2061" s="31"/>
    </row>
    <row r="2062" spans="1:6" x14ac:dyDescent="0.2">
      <c r="A2062" s="44">
        <v>70415</v>
      </c>
      <c r="B2062" s="43"/>
      <c r="C2062" s="44" t="s">
        <v>2105</v>
      </c>
      <c r="D2062" s="31"/>
      <c r="E2062" s="31"/>
      <c r="F2062" s="31"/>
    </row>
    <row r="2063" spans="1:6" x14ac:dyDescent="0.2">
      <c r="A2063" s="44">
        <v>70416</v>
      </c>
      <c r="B2063" s="43"/>
      <c r="C2063" s="44" t="s">
        <v>2106</v>
      </c>
      <c r="D2063" s="31"/>
      <c r="E2063" s="31"/>
      <c r="F2063" s="31"/>
    </row>
    <row r="2064" spans="1:6" x14ac:dyDescent="0.2">
      <c r="A2064" s="44">
        <v>70417</v>
      </c>
      <c r="B2064" s="43"/>
      <c r="C2064" s="44" t="s">
        <v>2107</v>
      </c>
      <c r="D2064" s="31"/>
      <c r="E2064" s="31"/>
      <c r="F2064" s="31"/>
    </row>
    <row r="2065" spans="1:6" x14ac:dyDescent="0.2">
      <c r="A2065" s="44">
        <v>70418</v>
      </c>
      <c r="B2065" s="43"/>
      <c r="C2065" s="44" t="s">
        <v>2108</v>
      </c>
      <c r="D2065" s="31"/>
      <c r="E2065" s="31"/>
      <c r="F2065" s="31"/>
    </row>
    <row r="2066" spans="1:6" x14ac:dyDescent="0.2">
      <c r="A2066" s="44">
        <v>70419</v>
      </c>
      <c r="B2066" s="43"/>
      <c r="C2066" s="44" t="s">
        <v>2109</v>
      </c>
      <c r="D2066" s="31"/>
      <c r="E2066" s="31"/>
      <c r="F2066" s="31"/>
    </row>
    <row r="2067" spans="1:6" x14ac:dyDescent="0.2">
      <c r="A2067" s="44">
        <v>70420</v>
      </c>
      <c r="B2067" s="43"/>
      <c r="C2067" s="44" t="s">
        <v>2110</v>
      </c>
      <c r="D2067" s="31"/>
      <c r="E2067" s="31"/>
      <c r="F2067" s="31"/>
    </row>
    <row r="2068" spans="1:6" x14ac:dyDescent="0.2">
      <c r="A2068" s="44">
        <v>70421</v>
      </c>
      <c r="B2068" s="43"/>
      <c r="C2068" s="44" t="s">
        <v>2111</v>
      </c>
      <c r="D2068" s="31"/>
      <c r="E2068" s="31"/>
      <c r="F2068" s="31"/>
    </row>
    <row r="2069" spans="1:6" x14ac:dyDescent="0.2">
      <c r="A2069" s="44">
        <v>70422</v>
      </c>
      <c r="B2069" s="43"/>
      <c r="C2069" s="44" t="s">
        <v>2112</v>
      </c>
      <c r="D2069" s="31"/>
      <c r="E2069" s="31"/>
      <c r="F2069" s="31"/>
    </row>
    <row r="2070" spans="1:6" x14ac:dyDescent="0.2">
      <c r="A2070" s="44">
        <v>70423</v>
      </c>
      <c r="B2070" s="43"/>
      <c r="C2070" s="44" t="s">
        <v>2113</v>
      </c>
      <c r="D2070" s="31"/>
      <c r="E2070" s="31"/>
      <c r="F2070" s="31"/>
    </row>
    <row r="2071" spans="1:6" x14ac:dyDescent="0.2">
      <c r="A2071" s="44">
        <v>70424</v>
      </c>
      <c r="B2071" s="43"/>
      <c r="C2071" s="44" t="s">
        <v>2114</v>
      </c>
      <c r="D2071" s="31"/>
      <c r="E2071" s="31"/>
      <c r="F2071" s="31"/>
    </row>
    <row r="2072" spans="1:6" x14ac:dyDescent="0.2">
      <c r="A2072" s="44">
        <v>70425</v>
      </c>
      <c r="B2072" s="43"/>
      <c r="C2072" s="44" t="s">
        <v>2115</v>
      </c>
      <c r="D2072" s="31"/>
      <c r="E2072" s="31"/>
      <c r="F2072" s="31"/>
    </row>
    <row r="2073" spans="1:6" x14ac:dyDescent="0.2">
      <c r="A2073" s="44">
        <v>70426</v>
      </c>
      <c r="B2073" s="43"/>
      <c r="C2073" s="44" t="s">
        <v>2116</v>
      </c>
      <c r="D2073" s="31"/>
      <c r="E2073" s="31"/>
      <c r="F2073" s="31"/>
    </row>
    <row r="2074" spans="1:6" x14ac:dyDescent="0.2">
      <c r="A2074" s="44">
        <v>70427</v>
      </c>
      <c r="B2074" s="43"/>
      <c r="C2074" s="44" t="s">
        <v>2117</v>
      </c>
      <c r="D2074" s="31"/>
      <c r="E2074" s="31"/>
      <c r="F2074" s="31"/>
    </row>
    <row r="2075" spans="1:6" x14ac:dyDescent="0.2">
      <c r="A2075" s="44">
        <v>71400</v>
      </c>
      <c r="B2075" s="43"/>
      <c r="C2075" s="44" t="s">
        <v>2118</v>
      </c>
      <c r="D2075" s="31"/>
      <c r="E2075" s="31"/>
      <c r="F2075" s="31"/>
    </row>
    <row r="2076" spans="1:6" x14ac:dyDescent="0.2">
      <c r="A2076" s="44">
        <v>71401</v>
      </c>
      <c r="B2076" s="43"/>
      <c r="C2076" s="44" t="s">
        <v>2119</v>
      </c>
      <c r="D2076" s="31"/>
      <c r="E2076" s="31"/>
      <c r="F2076" s="31"/>
    </row>
    <row r="2077" spans="1:6" x14ac:dyDescent="0.2">
      <c r="A2077" s="44">
        <v>71402</v>
      </c>
      <c r="B2077" s="43"/>
      <c r="C2077" s="44" t="s">
        <v>2120</v>
      </c>
      <c r="D2077" s="31"/>
      <c r="E2077" s="31"/>
      <c r="F2077" s="31"/>
    </row>
    <row r="2078" spans="1:6" x14ac:dyDescent="0.2">
      <c r="A2078" s="44">
        <v>71403</v>
      </c>
      <c r="B2078" s="43"/>
      <c r="C2078" s="44" t="s">
        <v>2121</v>
      </c>
      <c r="D2078" s="31"/>
      <c r="E2078" s="31"/>
      <c r="F2078" s="31"/>
    </row>
    <row r="2079" spans="1:6" x14ac:dyDescent="0.2">
      <c r="A2079" s="44">
        <v>71404</v>
      </c>
      <c r="B2079" s="43"/>
      <c r="C2079" s="44" t="s">
        <v>2122</v>
      </c>
      <c r="D2079" s="31"/>
      <c r="E2079" s="31"/>
      <c r="F2079" s="31"/>
    </row>
    <row r="2080" spans="1:6" x14ac:dyDescent="0.2">
      <c r="A2080" s="44">
        <v>71405</v>
      </c>
      <c r="B2080" s="43"/>
      <c r="C2080" s="44" t="s">
        <v>2123</v>
      </c>
      <c r="D2080" s="31"/>
      <c r="E2080" s="31"/>
      <c r="F2080" s="31"/>
    </row>
    <row r="2081" spans="1:6" x14ac:dyDescent="0.2">
      <c r="A2081" s="44">
        <v>71406</v>
      </c>
      <c r="B2081" s="43"/>
      <c r="C2081" s="44" t="s">
        <v>2124</v>
      </c>
      <c r="D2081" s="31"/>
      <c r="E2081" s="31"/>
      <c r="F2081" s="31"/>
    </row>
    <row r="2082" spans="1:6" x14ac:dyDescent="0.2">
      <c r="A2082" s="44">
        <v>71407</v>
      </c>
      <c r="B2082" s="43"/>
      <c r="C2082" s="44" t="s">
        <v>2125</v>
      </c>
      <c r="D2082" s="31"/>
      <c r="E2082" s="31"/>
      <c r="F2082" s="31"/>
    </row>
    <row r="2083" spans="1:6" x14ac:dyDescent="0.2">
      <c r="A2083" s="44">
        <v>71408</v>
      </c>
      <c r="B2083" s="43"/>
      <c r="C2083" s="44" t="s">
        <v>2126</v>
      </c>
      <c r="D2083" s="31"/>
      <c r="E2083" s="31"/>
      <c r="F2083" s="31"/>
    </row>
    <row r="2084" spans="1:6" x14ac:dyDescent="0.2">
      <c r="A2084" s="44">
        <v>71409</v>
      </c>
      <c r="B2084" s="43"/>
      <c r="C2084" s="44" t="s">
        <v>2127</v>
      </c>
      <c r="D2084" s="31"/>
      <c r="E2084" s="31"/>
      <c r="F2084" s="31"/>
    </row>
    <row r="2085" spans="1:6" x14ac:dyDescent="0.2">
      <c r="A2085" s="44">
        <v>71410</v>
      </c>
      <c r="B2085" s="43"/>
      <c r="C2085" s="44" t="s">
        <v>2128</v>
      </c>
      <c r="D2085" s="31"/>
      <c r="E2085" s="31"/>
      <c r="F2085" s="31"/>
    </row>
    <row r="2086" spans="1:6" x14ac:dyDescent="0.2">
      <c r="A2086" s="44">
        <v>71411</v>
      </c>
      <c r="B2086" s="43"/>
      <c r="C2086" s="44" t="s">
        <v>2129</v>
      </c>
      <c r="D2086" s="31"/>
      <c r="E2086" s="31"/>
      <c r="F2086" s="31"/>
    </row>
    <row r="2087" spans="1:6" x14ac:dyDescent="0.2">
      <c r="A2087" s="44">
        <v>71412</v>
      </c>
      <c r="B2087" s="43"/>
      <c r="C2087" s="44" t="s">
        <v>2130</v>
      </c>
      <c r="D2087" s="31"/>
      <c r="E2087" s="31"/>
      <c r="F2087" s="31"/>
    </row>
    <row r="2088" spans="1:6" x14ac:dyDescent="0.2">
      <c r="A2088" s="44">
        <v>71413</v>
      </c>
      <c r="B2088" s="43"/>
      <c r="C2088" s="44" t="s">
        <v>2131</v>
      </c>
      <c r="D2088" s="31"/>
      <c r="E2088" s="31"/>
      <c r="F2088" s="31"/>
    </row>
    <row r="2089" spans="1:6" x14ac:dyDescent="0.2">
      <c r="A2089" s="44">
        <v>71414</v>
      </c>
      <c r="B2089" s="43"/>
      <c r="C2089" s="44" t="s">
        <v>2132</v>
      </c>
      <c r="D2089" s="31"/>
      <c r="E2089" s="31"/>
      <c r="F2089" s="31"/>
    </row>
    <row r="2090" spans="1:6" x14ac:dyDescent="0.2">
      <c r="A2090" s="44">
        <v>71415</v>
      </c>
      <c r="B2090" s="43"/>
      <c r="C2090" s="44" t="s">
        <v>2133</v>
      </c>
      <c r="D2090" s="31"/>
      <c r="E2090" s="31"/>
      <c r="F2090" s="31"/>
    </row>
    <row r="2091" spans="1:6" x14ac:dyDescent="0.2">
      <c r="A2091" s="44">
        <v>71416</v>
      </c>
      <c r="B2091" s="43"/>
      <c r="C2091" s="44" t="s">
        <v>2134</v>
      </c>
      <c r="D2091" s="31"/>
      <c r="E2091" s="31"/>
      <c r="F2091" s="31"/>
    </row>
    <row r="2092" spans="1:6" x14ac:dyDescent="0.2">
      <c r="A2092" s="44">
        <v>71417</v>
      </c>
      <c r="B2092" s="43"/>
      <c r="C2092" s="44" t="s">
        <v>2135</v>
      </c>
      <c r="D2092" s="31"/>
      <c r="E2092" s="31"/>
      <c r="F2092" s="31"/>
    </row>
    <row r="2093" spans="1:6" x14ac:dyDescent="0.2">
      <c r="A2093" s="44">
        <v>71418</v>
      </c>
      <c r="B2093" s="43"/>
      <c r="C2093" s="44" t="s">
        <v>2136</v>
      </c>
      <c r="D2093" s="31"/>
      <c r="E2093" s="31"/>
      <c r="F2093" s="31"/>
    </row>
    <row r="2094" spans="1:6" x14ac:dyDescent="0.2">
      <c r="A2094" s="44">
        <v>71419</v>
      </c>
      <c r="B2094" s="43"/>
      <c r="C2094" s="44" t="s">
        <v>2137</v>
      </c>
      <c r="D2094" s="31"/>
      <c r="E2094" s="31"/>
      <c r="F2094" s="31"/>
    </row>
    <row r="2095" spans="1:6" x14ac:dyDescent="0.2">
      <c r="A2095" s="44">
        <v>71420</v>
      </c>
      <c r="B2095" s="43"/>
      <c r="C2095" s="44" t="s">
        <v>2138</v>
      </c>
      <c r="D2095" s="31"/>
      <c r="E2095" s="31"/>
      <c r="F2095" s="31"/>
    </row>
    <row r="2096" spans="1:6" x14ac:dyDescent="0.2">
      <c r="A2096" s="44">
        <v>71421</v>
      </c>
      <c r="B2096" s="43"/>
      <c r="C2096" s="44" t="s">
        <v>2139</v>
      </c>
      <c r="D2096" s="31"/>
      <c r="E2096" s="31"/>
      <c r="F2096" s="31"/>
    </row>
    <row r="2097" spans="1:6" x14ac:dyDescent="0.2">
      <c r="A2097" s="44">
        <v>71422</v>
      </c>
      <c r="B2097" s="43"/>
      <c r="C2097" s="44" t="s">
        <v>2140</v>
      </c>
      <c r="D2097" s="31"/>
      <c r="E2097" s="31"/>
      <c r="F2097" s="31"/>
    </row>
    <row r="2098" spans="1:6" x14ac:dyDescent="0.2">
      <c r="A2098" s="44">
        <v>71423</v>
      </c>
      <c r="B2098" s="43"/>
      <c r="C2098" s="44" t="s">
        <v>2141</v>
      </c>
      <c r="D2098" s="31"/>
      <c r="E2098" s="31"/>
      <c r="F2098" s="31"/>
    </row>
    <row r="2099" spans="1:6" x14ac:dyDescent="0.2">
      <c r="A2099" s="44">
        <v>71424</v>
      </c>
      <c r="B2099" s="43"/>
      <c r="C2099" s="44" t="s">
        <v>2142</v>
      </c>
      <c r="D2099" s="31"/>
      <c r="E2099" s="31"/>
      <c r="F2099" s="31"/>
    </row>
    <row r="2100" spans="1:6" x14ac:dyDescent="0.2">
      <c r="A2100" s="44">
        <v>71425</v>
      </c>
      <c r="B2100" s="43"/>
      <c r="C2100" s="44" t="s">
        <v>2143</v>
      </c>
      <c r="D2100" s="31"/>
      <c r="E2100" s="31"/>
      <c r="F2100" s="31"/>
    </row>
    <row r="2101" spans="1:6" x14ac:dyDescent="0.2">
      <c r="A2101" s="44">
        <v>71426</v>
      </c>
      <c r="B2101" s="43"/>
      <c r="C2101" s="44" t="s">
        <v>2144</v>
      </c>
      <c r="D2101" s="31"/>
      <c r="E2101" s="31"/>
      <c r="F2101" s="31"/>
    </row>
    <row r="2102" spans="1:6" x14ac:dyDescent="0.2">
      <c r="A2102" s="44">
        <v>71427</v>
      </c>
      <c r="B2102" s="43"/>
      <c r="C2102" s="44" t="s">
        <v>2145</v>
      </c>
      <c r="D2102" s="31"/>
      <c r="E2102" s="31"/>
      <c r="F2102" s="31"/>
    </row>
    <row r="2103" spans="1:6" x14ac:dyDescent="0.2">
      <c r="A2103" s="44">
        <v>72072</v>
      </c>
      <c r="B2103" s="43"/>
      <c r="C2103" s="44" t="s">
        <v>2146</v>
      </c>
      <c r="D2103" s="31"/>
      <c r="E2103" s="31"/>
      <c r="F2103" s="31"/>
    </row>
    <row r="2104" spans="1:6" x14ac:dyDescent="0.2">
      <c r="A2104" s="44">
        <v>72073</v>
      </c>
      <c r="B2104" s="43"/>
      <c r="C2104" s="44" t="s">
        <v>2147</v>
      </c>
      <c r="D2104" s="31"/>
      <c r="E2104" s="31"/>
      <c r="F2104" s="31"/>
    </row>
    <row r="2105" spans="1:6" x14ac:dyDescent="0.2">
      <c r="A2105" s="44">
        <v>72074</v>
      </c>
      <c r="B2105" s="43"/>
      <c r="C2105" s="44" t="s">
        <v>2148</v>
      </c>
      <c r="D2105" s="31"/>
      <c r="E2105" s="31"/>
      <c r="F2105" s="31"/>
    </row>
    <row r="2106" spans="1:6" x14ac:dyDescent="0.2">
      <c r="A2106" s="44">
        <v>72075</v>
      </c>
      <c r="B2106" s="43"/>
      <c r="C2106" s="44" t="s">
        <v>2149</v>
      </c>
      <c r="D2106" s="31"/>
      <c r="E2106" s="31"/>
      <c r="F2106" s="31"/>
    </row>
    <row r="2107" spans="1:6" x14ac:dyDescent="0.2">
      <c r="A2107" s="44">
        <v>72076</v>
      </c>
      <c r="B2107" s="43"/>
      <c r="C2107" s="44" t="s">
        <v>2150</v>
      </c>
      <c r="D2107" s="31"/>
      <c r="E2107" s="31"/>
      <c r="F2107" s="31"/>
    </row>
    <row r="2108" spans="1:6" x14ac:dyDescent="0.2">
      <c r="A2108" s="44">
        <v>72077</v>
      </c>
      <c r="B2108" s="43"/>
      <c r="C2108" s="44" t="s">
        <v>2151</v>
      </c>
      <c r="D2108" s="31"/>
      <c r="E2108" s="31"/>
      <c r="F2108" s="31"/>
    </row>
    <row r="2109" spans="1:6" x14ac:dyDescent="0.2">
      <c r="A2109" s="44">
        <v>72078</v>
      </c>
      <c r="B2109" s="43"/>
      <c r="C2109" s="44" t="s">
        <v>2152</v>
      </c>
      <c r="D2109" s="31"/>
      <c r="E2109" s="31"/>
      <c r="F2109" s="31"/>
    </row>
    <row r="2110" spans="1:6" x14ac:dyDescent="0.2">
      <c r="A2110" s="44">
        <v>72079</v>
      </c>
      <c r="B2110" s="43"/>
      <c r="C2110" s="44" t="s">
        <v>2153</v>
      </c>
      <c r="D2110" s="31"/>
      <c r="E2110" s="31"/>
      <c r="F2110" s="31"/>
    </row>
    <row r="2111" spans="1:6" x14ac:dyDescent="0.2">
      <c r="A2111" s="44">
        <v>72080</v>
      </c>
      <c r="B2111" s="43"/>
      <c r="C2111" s="44" t="s">
        <v>2154</v>
      </c>
      <c r="D2111" s="31"/>
      <c r="E2111" s="31"/>
      <c r="F2111" s="31"/>
    </row>
    <row r="2112" spans="1:6" x14ac:dyDescent="0.2">
      <c r="A2112" s="44">
        <v>72081</v>
      </c>
      <c r="B2112" s="43"/>
      <c r="C2112" s="44" t="s">
        <v>2155</v>
      </c>
      <c r="D2112" s="31"/>
      <c r="E2112" s="31"/>
      <c r="F2112" s="31"/>
    </row>
    <row r="2113" spans="1:6" x14ac:dyDescent="0.2">
      <c r="A2113" s="44">
        <v>72082</v>
      </c>
      <c r="B2113" s="43"/>
      <c r="C2113" s="44" t="s">
        <v>2156</v>
      </c>
      <c r="D2113" s="31"/>
      <c r="E2113" s="31"/>
      <c r="F2113" s="31"/>
    </row>
    <row r="2114" spans="1:6" x14ac:dyDescent="0.2">
      <c r="A2114" s="44">
        <v>72083</v>
      </c>
      <c r="B2114" s="43"/>
      <c r="C2114" s="44" t="s">
        <v>2157</v>
      </c>
      <c r="D2114" s="31"/>
      <c r="E2114" s="31"/>
      <c r="F2114" s="31"/>
    </row>
    <row r="2115" spans="1:6" x14ac:dyDescent="0.2">
      <c r="A2115" s="44">
        <v>72084</v>
      </c>
      <c r="B2115" s="43"/>
      <c r="C2115" s="44" t="s">
        <v>2158</v>
      </c>
      <c r="D2115" s="31"/>
      <c r="E2115" s="31"/>
      <c r="F2115" s="31"/>
    </row>
    <row r="2116" spans="1:6" x14ac:dyDescent="0.2">
      <c r="A2116" s="44">
        <v>72085</v>
      </c>
      <c r="B2116" s="43"/>
      <c r="C2116" s="44" t="s">
        <v>2159</v>
      </c>
      <c r="D2116" s="31"/>
      <c r="E2116" s="31"/>
      <c r="F2116" s="31"/>
    </row>
    <row r="2117" spans="1:6" x14ac:dyDescent="0.2">
      <c r="A2117" s="44">
        <v>72086</v>
      </c>
      <c r="B2117" s="43"/>
      <c r="C2117" s="44" t="s">
        <v>2160</v>
      </c>
      <c r="D2117" s="31"/>
      <c r="E2117" s="31"/>
      <c r="F2117" s="31"/>
    </row>
    <row r="2118" spans="1:6" x14ac:dyDescent="0.2">
      <c r="A2118" s="44">
        <v>72087</v>
      </c>
      <c r="B2118" s="43"/>
      <c r="C2118" s="44" t="s">
        <v>2161</v>
      </c>
      <c r="D2118" s="31"/>
      <c r="E2118" s="31"/>
      <c r="F2118" s="31"/>
    </row>
    <row r="2119" spans="1:6" x14ac:dyDescent="0.2">
      <c r="A2119" s="44">
        <v>72088</v>
      </c>
      <c r="B2119" s="43"/>
      <c r="C2119" s="44" t="s">
        <v>2162</v>
      </c>
      <c r="D2119" s="31"/>
      <c r="E2119" s="31"/>
      <c r="F2119" s="31"/>
    </row>
    <row r="2120" spans="1:6" x14ac:dyDescent="0.2">
      <c r="A2120" s="44">
        <v>73000</v>
      </c>
      <c r="B2120" s="43"/>
      <c r="C2120" s="44" t="s">
        <v>2163</v>
      </c>
      <c r="D2120" s="31"/>
      <c r="E2120" s="31"/>
      <c r="F2120" s="31"/>
    </row>
    <row r="2121" spans="1:6" x14ac:dyDescent="0.2">
      <c r="A2121" s="44">
        <v>73002</v>
      </c>
      <c r="B2121" s="43"/>
      <c r="C2121" s="44" t="s">
        <v>2164</v>
      </c>
      <c r="D2121" s="31"/>
      <c r="E2121" s="31"/>
      <c r="F2121" s="31"/>
    </row>
    <row r="2122" spans="1:6" x14ac:dyDescent="0.2">
      <c r="A2122" s="44">
        <v>73003</v>
      </c>
      <c r="B2122" s="43"/>
      <c r="C2122" s="44" t="s">
        <v>2165</v>
      </c>
      <c r="D2122" s="31"/>
      <c r="E2122" s="31"/>
      <c r="F2122" s="31"/>
    </row>
    <row r="2123" spans="1:6" x14ac:dyDescent="0.2">
      <c r="A2123" s="44">
        <v>80512</v>
      </c>
      <c r="B2123" s="43"/>
      <c r="C2123" s="44" t="s">
        <v>2166</v>
      </c>
      <c r="D2123" s="31"/>
      <c r="E2123" s="31"/>
      <c r="F2123" s="31"/>
    </row>
    <row r="2124" spans="1:6" x14ac:dyDescent="0.2">
      <c r="A2124" s="44">
        <v>80513</v>
      </c>
      <c r="B2124" s="43"/>
      <c r="C2124" s="44" t="s">
        <v>2167</v>
      </c>
      <c r="D2124" s="31"/>
      <c r="E2124" s="31"/>
      <c r="F2124" s="31"/>
    </row>
    <row r="2125" spans="1:6" x14ac:dyDescent="0.2">
      <c r="A2125" s="44">
        <v>80514</v>
      </c>
      <c r="B2125" s="43"/>
      <c r="C2125" s="44" t="s">
        <v>2168</v>
      </c>
      <c r="D2125" s="31"/>
      <c r="E2125" s="31"/>
      <c r="F2125" s="31"/>
    </row>
    <row r="2126" spans="1:6" x14ac:dyDescent="0.2">
      <c r="A2126" s="44">
        <v>80515</v>
      </c>
      <c r="B2126" s="43"/>
      <c r="C2126" s="44" t="s">
        <v>2169</v>
      </c>
      <c r="D2126" s="31"/>
      <c r="E2126" s="31"/>
      <c r="F2126" s="31"/>
    </row>
    <row r="2127" spans="1:6" x14ac:dyDescent="0.2">
      <c r="A2127" s="44">
        <v>80516</v>
      </c>
      <c r="B2127" s="43"/>
      <c r="C2127" s="44" t="s">
        <v>2170</v>
      </c>
      <c r="D2127" s="31"/>
      <c r="E2127" s="31"/>
      <c r="F2127" s="31"/>
    </row>
    <row r="2128" spans="1:6" x14ac:dyDescent="0.2">
      <c r="A2128" s="44">
        <v>80517</v>
      </c>
      <c r="B2128" s="43"/>
      <c r="C2128" s="44" t="s">
        <v>2171</v>
      </c>
      <c r="D2128" s="31"/>
      <c r="E2128" s="31"/>
      <c r="F2128" s="31"/>
    </row>
    <row r="2129" spans="1:6" x14ac:dyDescent="0.2">
      <c r="A2129" s="44">
        <v>80518</v>
      </c>
      <c r="B2129" s="43"/>
      <c r="C2129" s="44" t="s">
        <v>2172</v>
      </c>
      <c r="D2129" s="31"/>
      <c r="E2129" s="31"/>
      <c r="F2129" s="31"/>
    </row>
    <row r="2130" spans="1:6" x14ac:dyDescent="0.2">
      <c r="A2130" s="44">
        <v>80519</v>
      </c>
      <c r="B2130" s="43"/>
      <c r="C2130" s="44" t="s">
        <v>2173</v>
      </c>
      <c r="D2130" s="31"/>
      <c r="E2130" s="31"/>
      <c r="F2130" s="31"/>
    </row>
    <row r="2131" spans="1:6" x14ac:dyDescent="0.2">
      <c r="A2131" s="44">
        <v>80520</v>
      </c>
      <c r="B2131" s="43"/>
      <c r="C2131" s="44" t="s">
        <v>2174</v>
      </c>
      <c r="D2131" s="31"/>
      <c r="E2131" s="31"/>
      <c r="F2131" s="31"/>
    </row>
    <row r="2132" spans="1:6" x14ac:dyDescent="0.2">
      <c r="A2132" s="44">
        <v>80521</v>
      </c>
      <c r="B2132" s="43"/>
      <c r="C2132" s="44" t="s">
        <v>2175</v>
      </c>
      <c r="D2132" s="31"/>
      <c r="E2132" s="31"/>
      <c r="F2132" s="31"/>
    </row>
    <row r="2133" spans="1:6" x14ac:dyDescent="0.2">
      <c r="A2133" s="44">
        <v>80522</v>
      </c>
      <c r="B2133" s="43"/>
      <c r="C2133" s="44" t="s">
        <v>2176</v>
      </c>
      <c r="D2133" s="31"/>
      <c r="E2133" s="31"/>
      <c r="F2133" s="31"/>
    </row>
    <row r="2134" spans="1:6" x14ac:dyDescent="0.2">
      <c r="A2134" s="44">
        <v>80523</v>
      </c>
      <c r="B2134" s="43"/>
      <c r="C2134" s="44" t="s">
        <v>2177</v>
      </c>
      <c r="D2134" s="31"/>
      <c r="E2134" s="31"/>
      <c r="F2134" s="31"/>
    </row>
    <row r="2135" spans="1:6" x14ac:dyDescent="0.2">
      <c r="A2135" s="44">
        <v>80524</v>
      </c>
      <c r="B2135" s="43"/>
      <c r="C2135" s="44" t="s">
        <v>2178</v>
      </c>
      <c r="D2135" s="31"/>
      <c r="E2135" s="31"/>
      <c r="F2135" s="31"/>
    </row>
    <row r="2136" spans="1:6" x14ac:dyDescent="0.2">
      <c r="A2136" s="44">
        <v>80525</v>
      </c>
      <c r="B2136" s="43"/>
      <c r="C2136" s="44" t="s">
        <v>2179</v>
      </c>
      <c r="D2136" s="31"/>
      <c r="E2136" s="31"/>
      <c r="F2136" s="31"/>
    </row>
    <row r="2137" spans="1:6" x14ac:dyDescent="0.2">
      <c r="A2137" s="44">
        <v>80526</v>
      </c>
      <c r="B2137" s="43"/>
      <c r="C2137" s="44" t="s">
        <v>2180</v>
      </c>
      <c r="D2137" s="31"/>
      <c r="E2137" s="31"/>
      <c r="F2137" s="31"/>
    </row>
    <row r="2138" spans="1:6" x14ac:dyDescent="0.2">
      <c r="A2138" s="44">
        <v>80527</v>
      </c>
      <c r="B2138" s="43"/>
      <c r="C2138" s="44" t="s">
        <v>2181</v>
      </c>
      <c r="D2138" s="31"/>
      <c r="E2138" s="31"/>
      <c r="F2138" s="31"/>
    </row>
    <row r="2139" spans="1:6" x14ac:dyDescent="0.2">
      <c r="A2139" s="44">
        <v>80528</v>
      </c>
      <c r="B2139" s="43"/>
      <c r="C2139" s="44" t="s">
        <v>2182</v>
      </c>
      <c r="D2139" s="31"/>
      <c r="E2139" s="31"/>
      <c r="F2139" s="31"/>
    </row>
    <row r="2140" spans="1:6" x14ac:dyDescent="0.2">
      <c r="A2140" s="44">
        <v>80529</v>
      </c>
      <c r="B2140" s="43"/>
      <c r="C2140" s="44" t="s">
        <v>2183</v>
      </c>
      <c r="D2140" s="31"/>
      <c r="E2140" s="31"/>
      <c r="F2140" s="31"/>
    </row>
    <row r="2141" spans="1:6" x14ac:dyDescent="0.2">
      <c r="A2141" s="44">
        <v>80530</v>
      </c>
      <c r="B2141" s="43"/>
      <c r="C2141" s="44" t="s">
        <v>2184</v>
      </c>
      <c r="D2141" s="31"/>
      <c r="E2141" s="31"/>
      <c r="F2141" s="31"/>
    </row>
    <row r="2142" spans="1:6" x14ac:dyDescent="0.2">
      <c r="A2142" s="44">
        <v>80531</v>
      </c>
      <c r="B2142" s="43"/>
      <c r="C2142" s="44" t="s">
        <v>2185</v>
      </c>
      <c r="D2142" s="31"/>
      <c r="E2142" s="31"/>
      <c r="F2142" s="31"/>
    </row>
    <row r="2143" spans="1:6" x14ac:dyDescent="0.2">
      <c r="A2143" s="44">
        <v>80532</v>
      </c>
      <c r="B2143" s="43"/>
      <c r="C2143" s="44" t="s">
        <v>2186</v>
      </c>
      <c r="D2143" s="31"/>
      <c r="E2143" s="31"/>
      <c r="F2143" s="31"/>
    </row>
    <row r="2144" spans="1:6" x14ac:dyDescent="0.2">
      <c r="A2144" s="44">
        <v>80533</v>
      </c>
      <c r="B2144" s="43"/>
      <c r="C2144" s="44" t="s">
        <v>2187</v>
      </c>
      <c r="D2144" s="31"/>
      <c r="E2144" s="31"/>
      <c r="F2144" s="31"/>
    </row>
    <row r="2145" spans="1:6" x14ac:dyDescent="0.2">
      <c r="A2145" s="44">
        <v>80534</v>
      </c>
      <c r="B2145" s="43"/>
      <c r="C2145" s="44" t="s">
        <v>2188</v>
      </c>
      <c r="D2145" s="31"/>
      <c r="E2145" s="31"/>
      <c r="F2145" s="31"/>
    </row>
    <row r="2146" spans="1:6" x14ac:dyDescent="0.2">
      <c r="A2146" s="44">
        <v>80535</v>
      </c>
      <c r="B2146" s="43"/>
      <c r="C2146" s="44" t="s">
        <v>2189</v>
      </c>
      <c r="D2146" s="31"/>
      <c r="E2146" s="31"/>
      <c r="F2146" s="31"/>
    </row>
    <row r="2147" spans="1:6" x14ac:dyDescent="0.2">
      <c r="A2147" s="44">
        <v>80536</v>
      </c>
      <c r="B2147" s="43"/>
      <c r="C2147" s="44" t="s">
        <v>2190</v>
      </c>
      <c r="D2147" s="31"/>
      <c r="E2147" s="31"/>
      <c r="F2147" s="31"/>
    </row>
    <row r="2148" spans="1:6" x14ac:dyDescent="0.2">
      <c r="A2148" s="44">
        <v>80537</v>
      </c>
      <c r="B2148" s="43"/>
      <c r="C2148" s="44" t="s">
        <v>2191</v>
      </c>
      <c r="D2148" s="31"/>
      <c r="E2148" s="31"/>
      <c r="F2148" s="31"/>
    </row>
    <row r="2149" spans="1:6" x14ac:dyDescent="0.2">
      <c r="A2149" s="44">
        <v>80538</v>
      </c>
      <c r="B2149" s="43"/>
      <c r="C2149" s="44" t="s">
        <v>2192</v>
      </c>
      <c r="D2149" s="31"/>
      <c r="E2149" s="31"/>
      <c r="F2149" s="31"/>
    </row>
    <row r="2150" spans="1:6" x14ac:dyDescent="0.2">
      <c r="A2150" s="44">
        <v>80539</v>
      </c>
      <c r="B2150" s="43"/>
      <c r="C2150" s="44" t="s">
        <v>2193</v>
      </c>
      <c r="D2150" s="31"/>
      <c r="E2150" s="31"/>
      <c r="F2150" s="31"/>
    </row>
    <row r="2151" spans="1:6" x14ac:dyDescent="0.2">
      <c r="A2151" s="44">
        <v>80540</v>
      </c>
      <c r="B2151" s="43"/>
      <c r="C2151" s="44" t="s">
        <v>2194</v>
      </c>
      <c r="D2151" s="31"/>
      <c r="E2151" s="31"/>
      <c r="F2151" s="31"/>
    </row>
    <row r="2152" spans="1:6" x14ac:dyDescent="0.2">
      <c r="A2152" s="44">
        <v>80541</v>
      </c>
      <c r="B2152" s="43"/>
      <c r="C2152" s="44" t="s">
        <v>2195</v>
      </c>
      <c r="D2152" s="31"/>
      <c r="E2152" s="31"/>
      <c r="F2152" s="31"/>
    </row>
    <row r="2153" spans="1:6" x14ac:dyDescent="0.2">
      <c r="A2153" s="44">
        <v>80542</v>
      </c>
      <c r="B2153" s="43"/>
      <c r="C2153" s="44" t="s">
        <v>2196</v>
      </c>
      <c r="D2153" s="31"/>
      <c r="E2153" s="31"/>
      <c r="F2153" s="31"/>
    </row>
    <row r="2154" spans="1:6" x14ac:dyDescent="0.2">
      <c r="A2154" s="44">
        <v>80543</v>
      </c>
      <c r="B2154" s="43"/>
      <c r="C2154" s="44" t="s">
        <v>2197</v>
      </c>
      <c r="D2154" s="31"/>
      <c r="E2154" s="31"/>
      <c r="F2154" s="31"/>
    </row>
    <row r="2155" spans="1:6" x14ac:dyDescent="0.2">
      <c r="A2155" s="44">
        <v>80546</v>
      </c>
      <c r="B2155" s="43"/>
      <c r="C2155" s="44" t="s">
        <v>2198</v>
      </c>
      <c r="D2155" s="31"/>
      <c r="E2155" s="31"/>
      <c r="F2155" s="31"/>
    </row>
    <row r="2156" spans="1:6" x14ac:dyDescent="0.2">
      <c r="A2156" s="44">
        <v>80547</v>
      </c>
      <c r="B2156" s="43"/>
      <c r="C2156" s="44" t="s">
        <v>2199</v>
      </c>
      <c r="D2156" s="31"/>
      <c r="E2156" s="31"/>
      <c r="F2156" s="31"/>
    </row>
    <row r="2157" spans="1:6" x14ac:dyDescent="0.2">
      <c r="A2157" s="44">
        <v>80548</v>
      </c>
      <c r="B2157" s="43"/>
      <c r="C2157" s="44" t="s">
        <v>2200</v>
      </c>
      <c r="D2157" s="31"/>
      <c r="E2157" s="31"/>
      <c r="F2157" s="31"/>
    </row>
    <row r="2158" spans="1:6" x14ac:dyDescent="0.2">
      <c r="A2158" s="44">
        <v>80549</v>
      </c>
      <c r="B2158" s="43"/>
      <c r="C2158" s="44" t="s">
        <v>2201</v>
      </c>
      <c r="D2158" s="31"/>
      <c r="E2158" s="31"/>
      <c r="F2158" s="31"/>
    </row>
    <row r="2159" spans="1:6" x14ac:dyDescent="0.2">
      <c r="A2159" s="44">
        <v>80550</v>
      </c>
      <c r="B2159" s="43"/>
      <c r="C2159" s="44" t="s">
        <v>2202</v>
      </c>
      <c r="D2159" s="31"/>
      <c r="E2159" s="31"/>
      <c r="F2159" s="31"/>
    </row>
    <row r="2160" spans="1:6" x14ac:dyDescent="0.2">
      <c r="A2160" s="44">
        <v>80551</v>
      </c>
      <c r="B2160" s="43"/>
      <c r="C2160" s="44" t="s">
        <v>2203</v>
      </c>
      <c r="D2160" s="31"/>
      <c r="E2160" s="31"/>
      <c r="F2160" s="31"/>
    </row>
    <row r="2161" spans="1:6" x14ac:dyDescent="0.2">
      <c r="A2161" s="44">
        <v>80552</v>
      </c>
      <c r="B2161" s="43"/>
      <c r="C2161" s="44" t="s">
        <v>2204</v>
      </c>
      <c r="D2161" s="31"/>
      <c r="E2161" s="31"/>
      <c r="F2161" s="31"/>
    </row>
    <row r="2162" spans="1:6" x14ac:dyDescent="0.2">
      <c r="A2162" s="44">
        <v>80553</v>
      </c>
      <c r="B2162" s="43"/>
      <c r="C2162" s="44" t="s">
        <v>2205</v>
      </c>
      <c r="D2162" s="31"/>
      <c r="E2162" s="31"/>
      <c r="F2162" s="31"/>
    </row>
    <row r="2163" spans="1:6" x14ac:dyDescent="0.2">
      <c r="A2163" s="44">
        <v>80554</v>
      </c>
      <c r="B2163" s="43"/>
      <c r="C2163" s="44" t="s">
        <v>2206</v>
      </c>
      <c r="D2163" s="31"/>
      <c r="E2163" s="31"/>
      <c r="F2163" s="31"/>
    </row>
    <row r="2164" spans="1:6" x14ac:dyDescent="0.2">
      <c r="A2164" s="44">
        <v>80555</v>
      </c>
      <c r="B2164" s="43"/>
      <c r="C2164" s="44" t="s">
        <v>2207</v>
      </c>
      <c r="D2164" s="31"/>
      <c r="E2164" s="31"/>
      <c r="F2164" s="31"/>
    </row>
    <row r="2165" spans="1:6" x14ac:dyDescent="0.2">
      <c r="A2165" s="44">
        <v>80556</v>
      </c>
      <c r="B2165" s="43"/>
      <c r="C2165" s="44" t="s">
        <v>2208</v>
      </c>
      <c r="D2165" s="31"/>
      <c r="E2165" s="31"/>
      <c r="F2165" s="31"/>
    </row>
    <row r="2166" spans="1:6" x14ac:dyDescent="0.2">
      <c r="A2166" s="44">
        <v>80557</v>
      </c>
      <c r="B2166" s="43"/>
      <c r="C2166" s="44" t="s">
        <v>2209</v>
      </c>
      <c r="D2166" s="31"/>
      <c r="E2166" s="31"/>
      <c r="F2166" s="31"/>
    </row>
    <row r="2167" spans="1:6" x14ac:dyDescent="0.2">
      <c r="A2167" s="44">
        <v>80558</v>
      </c>
      <c r="B2167" s="43"/>
      <c r="C2167" s="44" t="s">
        <v>2210</v>
      </c>
      <c r="D2167" s="31"/>
      <c r="E2167" s="31"/>
      <c r="F2167" s="31"/>
    </row>
    <row r="2168" spans="1:6" x14ac:dyDescent="0.2">
      <c r="A2168" s="44">
        <v>80559</v>
      </c>
      <c r="B2168" s="43"/>
      <c r="C2168" s="44" t="s">
        <v>2211</v>
      </c>
      <c r="D2168" s="31"/>
      <c r="E2168" s="31"/>
      <c r="F2168" s="31"/>
    </row>
    <row r="2169" spans="1:6" x14ac:dyDescent="0.2">
      <c r="A2169" s="44">
        <v>80560</v>
      </c>
      <c r="B2169" s="43"/>
      <c r="C2169" s="44" t="s">
        <v>2212</v>
      </c>
      <c r="D2169" s="31"/>
      <c r="E2169" s="31"/>
      <c r="F2169" s="31"/>
    </row>
    <row r="2170" spans="1:6" x14ac:dyDescent="0.2">
      <c r="A2170" s="44">
        <v>80561</v>
      </c>
      <c r="B2170" s="43"/>
      <c r="C2170" s="44" t="s">
        <v>2213</v>
      </c>
      <c r="D2170" s="31"/>
      <c r="E2170" s="31"/>
      <c r="F2170" s="31"/>
    </row>
    <row r="2171" spans="1:6" x14ac:dyDescent="0.2">
      <c r="A2171" s="44">
        <v>80562</v>
      </c>
      <c r="B2171" s="43"/>
      <c r="C2171" s="44" t="s">
        <v>2214</v>
      </c>
      <c r="D2171" s="31"/>
      <c r="E2171" s="31"/>
      <c r="F2171" s="31"/>
    </row>
    <row r="2172" spans="1:6" x14ac:dyDescent="0.2">
      <c r="A2172" s="44">
        <v>80563</v>
      </c>
      <c r="B2172" s="43"/>
      <c r="C2172" s="44" t="s">
        <v>2215</v>
      </c>
      <c r="D2172" s="31"/>
      <c r="E2172" s="31"/>
      <c r="F2172" s="31"/>
    </row>
    <row r="2173" spans="1:6" x14ac:dyDescent="0.2">
      <c r="A2173" s="44">
        <v>80567</v>
      </c>
      <c r="B2173" s="43"/>
      <c r="C2173" s="44" t="s">
        <v>2216</v>
      </c>
      <c r="D2173" s="31"/>
      <c r="E2173" s="31"/>
      <c r="F2173" s="31"/>
    </row>
    <row r="2174" spans="1:6" x14ac:dyDescent="0.2">
      <c r="A2174" s="44">
        <v>80568</v>
      </c>
      <c r="B2174" s="43"/>
      <c r="C2174" s="44" t="s">
        <v>2217</v>
      </c>
      <c r="D2174" s="31"/>
      <c r="E2174" s="31"/>
      <c r="F2174" s="31"/>
    </row>
    <row r="2175" spans="1:6" x14ac:dyDescent="0.2">
      <c r="A2175" s="44">
        <v>80569</v>
      </c>
      <c r="B2175" s="43"/>
      <c r="C2175" s="44" t="s">
        <v>2218</v>
      </c>
      <c r="D2175" s="31"/>
      <c r="E2175" s="31"/>
      <c r="F2175" s="31"/>
    </row>
    <row r="2176" spans="1:6" x14ac:dyDescent="0.2">
      <c r="A2176" s="44">
        <v>80570</v>
      </c>
      <c r="B2176" s="43"/>
      <c r="C2176" s="44" t="s">
        <v>2219</v>
      </c>
      <c r="D2176" s="31"/>
      <c r="E2176" s="31"/>
      <c r="F2176" s="31"/>
    </row>
    <row r="2177" spans="1:6" x14ac:dyDescent="0.2">
      <c r="A2177" s="44">
        <v>80571</v>
      </c>
      <c r="B2177" s="43"/>
      <c r="C2177" s="44" t="s">
        <v>2220</v>
      </c>
      <c r="D2177" s="31"/>
      <c r="E2177" s="31"/>
      <c r="F2177" s="31"/>
    </row>
    <row r="2178" spans="1:6" x14ac:dyDescent="0.2">
      <c r="A2178" s="44">
        <v>80572</v>
      </c>
      <c r="B2178" s="43"/>
      <c r="C2178" s="44" t="s">
        <v>2221</v>
      </c>
      <c r="D2178" s="31"/>
      <c r="E2178" s="31"/>
      <c r="F2178" s="31"/>
    </row>
    <row r="2179" spans="1:6" x14ac:dyDescent="0.2">
      <c r="A2179" s="44">
        <v>80573</v>
      </c>
      <c r="B2179" s="43"/>
      <c r="C2179" s="44" t="s">
        <v>2222</v>
      </c>
      <c r="D2179" s="31"/>
      <c r="E2179" s="31"/>
      <c r="F2179" s="31"/>
    </row>
    <row r="2180" spans="1:6" x14ac:dyDescent="0.2">
      <c r="A2180" s="44">
        <v>80574</v>
      </c>
      <c r="B2180" s="43"/>
      <c r="C2180" s="44" t="s">
        <v>2223</v>
      </c>
      <c r="D2180" s="31"/>
      <c r="E2180" s="31"/>
      <c r="F2180" s="31"/>
    </row>
    <row r="2181" spans="1:6" x14ac:dyDescent="0.2">
      <c r="A2181" s="44">
        <v>80575</v>
      </c>
      <c r="B2181" s="43"/>
      <c r="C2181" s="44" t="s">
        <v>2224</v>
      </c>
      <c r="D2181" s="31"/>
      <c r="E2181" s="31"/>
      <c r="F2181" s="31"/>
    </row>
    <row r="2182" spans="1:6" x14ac:dyDescent="0.2">
      <c r="A2182" s="44">
        <v>80576</v>
      </c>
      <c r="B2182" s="43"/>
      <c r="C2182" s="44" t="s">
        <v>2212</v>
      </c>
      <c r="D2182" s="31"/>
      <c r="E2182" s="31"/>
      <c r="F2182" s="31"/>
    </row>
    <row r="2183" spans="1:6" x14ac:dyDescent="0.2">
      <c r="A2183" s="44">
        <v>80578</v>
      </c>
      <c r="B2183" s="43"/>
      <c r="C2183" s="44" t="s">
        <v>2225</v>
      </c>
      <c r="D2183" s="31"/>
      <c r="E2183" s="31"/>
      <c r="F2183" s="31"/>
    </row>
    <row r="2184" spans="1:6" x14ac:dyDescent="0.2">
      <c r="A2184" s="44">
        <v>80579</v>
      </c>
      <c r="B2184" s="43"/>
      <c r="C2184" s="44" t="s">
        <v>2226</v>
      </c>
      <c r="D2184" s="31"/>
      <c r="E2184" s="31"/>
      <c r="F2184" s="31"/>
    </row>
    <row r="2185" spans="1:6" x14ac:dyDescent="0.2">
      <c r="A2185" s="44">
        <v>80583</v>
      </c>
      <c r="B2185" s="43"/>
      <c r="C2185" s="44" t="s">
        <v>2227</v>
      </c>
      <c r="D2185" s="31"/>
      <c r="E2185" s="31"/>
      <c r="F2185" s="31"/>
    </row>
    <row r="2186" spans="1:6" x14ac:dyDescent="0.2">
      <c r="A2186" s="44">
        <v>80584</v>
      </c>
      <c r="B2186" s="43"/>
      <c r="C2186" s="44" t="s">
        <v>2228</v>
      </c>
      <c r="D2186" s="31"/>
      <c r="E2186" s="31"/>
      <c r="F2186" s="31"/>
    </row>
    <row r="2187" spans="1:6" x14ac:dyDescent="0.2">
      <c r="A2187" s="44">
        <v>80585</v>
      </c>
      <c r="B2187" s="43"/>
      <c r="C2187" s="44" t="s">
        <v>2229</v>
      </c>
      <c r="D2187" s="31"/>
      <c r="E2187" s="31"/>
      <c r="F2187" s="31"/>
    </row>
    <row r="2188" spans="1:6" x14ac:dyDescent="0.2">
      <c r="A2188" s="44">
        <v>80586</v>
      </c>
      <c r="B2188" s="43"/>
      <c r="C2188" s="44" t="s">
        <v>2230</v>
      </c>
      <c r="D2188" s="31"/>
      <c r="E2188" s="31"/>
      <c r="F2188" s="31"/>
    </row>
    <row r="2189" spans="1:6" x14ac:dyDescent="0.2">
      <c r="A2189" s="44">
        <v>80587</v>
      </c>
      <c r="B2189" s="43"/>
      <c r="C2189" s="44" t="s">
        <v>2231</v>
      </c>
      <c r="D2189" s="31"/>
      <c r="E2189" s="31"/>
      <c r="F2189" s="31"/>
    </row>
    <row r="2190" spans="1:6" x14ac:dyDescent="0.2">
      <c r="A2190" s="44">
        <v>80588</v>
      </c>
      <c r="B2190" s="43"/>
      <c r="C2190" s="44" t="s">
        <v>2232</v>
      </c>
      <c r="D2190" s="31"/>
      <c r="E2190" s="31"/>
      <c r="F2190" s="31"/>
    </row>
    <row r="2191" spans="1:6" x14ac:dyDescent="0.2">
      <c r="A2191" s="44">
        <v>80589</v>
      </c>
      <c r="B2191" s="43"/>
      <c r="C2191" s="44" t="s">
        <v>2233</v>
      </c>
      <c r="D2191" s="31"/>
      <c r="E2191" s="31"/>
      <c r="F2191" s="31"/>
    </row>
    <row r="2192" spans="1:6" x14ac:dyDescent="0.2">
      <c r="A2192" s="44">
        <v>80590</v>
      </c>
      <c r="B2192" s="43"/>
      <c r="C2192" s="44" t="s">
        <v>2234</v>
      </c>
      <c r="D2192" s="31"/>
      <c r="E2192" s="31"/>
      <c r="F2192" s="31"/>
    </row>
    <row r="2193" spans="1:6" x14ac:dyDescent="0.2">
      <c r="A2193" s="44">
        <v>80591</v>
      </c>
      <c r="B2193" s="43"/>
      <c r="C2193" s="44" t="s">
        <v>2235</v>
      </c>
      <c r="D2193" s="31"/>
      <c r="E2193" s="31"/>
      <c r="F2193" s="31"/>
    </row>
    <row r="2194" spans="1:6" x14ac:dyDescent="0.2">
      <c r="A2194" s="44">
        <v>80704</v>
      </c>
      <c r="B2194" s="43"/>
      <c r="C2194" s="44" t="s">
        <v>2236</v>
      </c>
      <c r="D2194" s="31"/>
      <c r="E2194" s="31"/>
      <c r="F2194" s="31"/>
    </row>
    <row r="2195" spans="1:6" x14ac:dyDescent="0.2">
      <c r="A2195" s="44">
        <v>80705</v>
      </c>
      <c r="B2195" s="43"/>
      <c r="C2195" s="44" t="s">
        <v>2237</v>
      </c>
      <c r="D2195" s="31"/>
      <c r="E2195" s="31"/>
      <c r="F2195" s="31"/>
    </row>
    <row r="2196" spans="1:6" x14ac:dyDescent="0.2">
      <c r="A2196" s="44">
        <v>80706</v>
      </c>
      <c r="B2196" s="43"/>
      <c r="C2196" s="44" t="s">
        <v>2238</v>
      </c>
      <c r="D2196" s="31"/>
      <c r="E2196" s="31"/>
      <c r="F2196" s="31"/>
    </row>
    <row r="2197" spans="1:6" x14ac:dyDescent="0.2">
      <c r="A2197" s="44">
        <v>80707</v>
      </c>
      <c r="B2197" s="43"/>
      <c r="C2197" s="44" t="s">
        <v>2239</v>
      </c>
      <c r="D2197" s="31"/>
      <c r="E2197" s="31"/>
      <c r="F2197" s="31"/>
    </row>
    <row r="2198" spans="1:6" x14ac:dyDescent="0.2">
      <c r="A2198" s="44">
        <v>80756</v>
      </c>
      <c r="B2198" s="43"/>
      <c r="C2198" s="44" t="s">
        <v>2240</v>
      </c>
      <c r="D2198" s="31"/>
      <c r="E2198" s="31"/>
      <c r="F2198" s="31"/>
    </row>
    <row r="2199" spans="1:6" x14ac:dyDescent="0.2">
      <c r="A2199" s="44">
        <v>80757</v>
      </c>
      <c r="B2199" s="43"/>
      <c r="C2199" s="44" t="s">
        <v>2241</v>
      </c>
      <c r="D2199" s="31"/>
      <c r="E2199" s="31"/>
      <c r="F2199" s="31"/>
    </row>
    <row r="2200" spans="1:6" x14ac:dyDescent="0.2">
      <c r="A2200" s="44">
        <v>80758</v>
      </c>
      <c r="B2200" s="43"/>
      <c r="C2200" s="44" t="s">
        <v>2242</v>
      </c>
      <c r="D2200" s="31"/>
      <c r="E2200" s="31"/>
      <c r="F2200" s="31"/>
    </row>
    <row r="2201" spans="1:6" x14ac:dyDescent="0.2">
      <c r="A2201" s="44">
        <v>81512</v>
      </c>
      <c r="B2201" s="43"/>
      <c r="C2201" s="44" t="s">
        <v>2243</v>
      </c>
      <c r="D2201" s="31"/>
      <c r="E2201" s="31"/>
      <c r="F2201" s="31"/>
    </row>
    <row r="2202" spans="1:6" x14ac:dyDescent="0.2">
      <c r="A2202" s="44">
        <v>81513</v>
      </c>
      <c r="B2202" s="43"/>
      <c r="C2202" s="44" t="s">
        <v>2244</v>
      </c>
      <c r="D2202" s="31"/>
      <c r="E2202" s="31"/>
      <c r="F2202" s="31"/>
    </row>
    <row r="2203" spans="1:6" x14ac:dyDescent="0.2">
      <c r="A2203" s="44">
        <v>81514</v>
      </c>
      <c r="B2203" s="43"/>
      <c r="C2203" s="44" t="s">
        <v>2245</v>
      </c>
      <c r="D2203" s="31"/>
      <c r="E2203" s="31"/>
      <c r="F2203" s="31"/>
    </row>
    <row r="2204" spans="1:6" x14ac:dyDescent="0.2">
      <c r="A2204" s="44">
        <v>81515</v>
      </c>
      <c r="B2204" s="43"/>
      <c r="C2204" s="44" t="s">
        <v>2246</v>
      </c>
      <c r="D2204" s="31"/>
      <c r="E2204" s="31"/>
      <c r="F2204" s="31"/>
    </row>
    <row r="2205" spans="1:6" x14ac:dyDescent="0.2">
      <c r="A2205" s="44">
        <v>81516</v>
      </c>
      <c r="B2205" s="43"/>
      <c r="C2205" s="44" t="s">
        <v>2247</v>
      </c>
      <c r="D2205" s="31"/>
      <c r="E2205" s="31"/>
      <c r="F2205" s="31"/>
    </row>
    <row r="2206" spans="1:6" x14ac:dyDescent="0.2">
      <c r="A2206" s="44">
        <v>81517</v>
      </c>
      <c r="B2206" s="43"/>
      <c r="C2206" s="44" t="s">
        <v>2248</v>
      </c>
      <c r="D2206" s="31"/>
      <c r="E2206" s="31"/>
      <c r="F2206" s="31"/>
    </row>
    <row r="2207" spans="1:6" x14ac:dyDescent="0.2">
      <c r="A2207" s="44">
        <v>81518</v>
      </c>
      <c r="B2207" s="43"/>
      <c r="C2207" s="44" t="s">
        <v>2249</v>
      </c>
      <c r="D2207" s="31"/>
      <c r="E2207" s="31"/>
      <c r="F2207" s="31"/>
    </row>
    <row r="2208" spans="1:6" x14ac:dyDescent="0.2">
      <c r="A2208" s="44">
        <v>81519</v>
      </c>
      <c r="B2208" s="43"/>
      <c r="C2208" s="44" t="s">
        <v>2250</v>
      </c>
      <c r="D2208" s="31"/>
      <c r="E2208" s="31"/>
      <c r="F2208" s="31"/>
    </row>
    <row r="2209" spans="1:6" x14ac:dyDescent="0.2">
      <c r="A2209" s="44">
        <v>81520</v>
      </c>
      <c r="B2209" s="43"/>
      <c r="C2209" s="44" t="s">
        <v>2251</v>
      </c>
      <c r="D2209" s="31"/>
      <c r="E2209" s="31"/>
      <c r="F2209" s="31"/>
    </row>
    <row r="2210" spans="1:6" x14ac:dyDescent="0.2">
      <c r="A2210" s="44">
        <v>81521</v>
      </c>
      <c r="B2210" s="43"/>
      <c r="C2210" s="44" t="s">
        <v>2252</v>
      </c>
      <c r="D2210" s="31"/>
      <c r="E2210" s="31"/>
      <c r="F2210" s="31"/>
    </row>
    <row r="2211" spans="1:6" x14ac:dyDescent="0.2">
      <c r="A2211" s="44">
        <v>81522</v>
      </c>
      <c r="B2211" s="43"/>
      <c r="C2211" s="44" t="s">
        <v>2253</v>
      </c>
      <c r="D2211" s="31"/>
      <c r="E2211" s="31"/>
      <c r="F2211" s="31"/>
    </row>
    <row r="2212" spans="1:6" x14ac:dyDescent="0.2">
      <c r="A2212" s="44">
        <v>81523</v>
      </c>
      <c r="B2212" s="43"/>
      <c r="C2212" s="44" t="s">
        <v>2254</v>
      </c>
      <c r="D2212" s="31"/>
      <c r="E2212" s="31"/>
      <c r="F2212" s="31"/>
    </row>
    <row r="2213" spans="1:6" x14ac:dyDescent="0.2">
      <c r="A2213" s="44">
        <v>81524</v>
      </c>
      <c r="B2213" s="43"/>
      <c r="C2213" s="44" t="s">
        <v>2255</v>
      </c>
      <c r="D2213" s="31"/>
      <c r="E2213" s="31"/>
      <c r="F2213" s="31"/>
    </row>
    <row r="2214" spans="1:6" x14ac:dyDescent="0.2">
      <c r="A2214" s="44">
        <v>81525</v>
      </c>
      <c r="B2214" s="43"/>
      <c r="C2214" s="44" t="s">
        <v>2256</v>
      </c>
      <c r="D2214" s="31"/>
      <c r="E2214" s="31"/>
      <c r="F2214" s="31"/>
    </row>
    <row r="2215" spans="1:6" x14ac:dyDescent="0.2">
      <c r="A2215" s="44">
        <v>81526</v>
      </c>
      <c r="B2215" s="43"/>
      <c r="C2215" s="44" t="s">
        <v>2257</v>
      </c>
      <c r="D2215" s="31"/>
      <c r="E2215" s="31"/>
      <c r="F2215" s="31"/>
    </row>
    <row r="2216" spans="1:6" x14ac:dyDescent="0.2">
      <c r="A2216" s="44">
        <v>81527</v>
      </c>
      <c r="B2216" s="43"/>
      <c r="C2216" s="44" t="s">
        <v>2258</v>
      </c>
      <c r="D2216" s="31"/>
      <c r="E2216" s="31"/>
      <c r="F2216" s="31"/>
    </row>
    <row r="2217" spans="1:6" x14ac:dyDescent="0.2">
      <c r="A2217" s="44">
        <v>81528</v>
      </c>
      <c r="B2217" s="43"/>
      <c r="C2217" s="44" t="s">
        <v>2259</v>
      </c>
      <c r="D2217" s="31"/>
      <c r="E2217" s="31"/>
      <c r="F2217" s="31"/>
    </row>
    <row r="2218" spans="1:6" x14ac:dyDescent="0.2">
      <c r="A2218" s="44">
        <v>81529</v>
      </c>
      <c r="B2218" s="43"/>
      <c r="C2218" s="44" t="s">
        <v>2260</v>
      </c>
      <c r="D2218" s="31"/>
      <c r="E2218" s="31"/>
      <c r="F2218" s="31"/>
    </row>
    <row r="2219" spans="1:6" x14ac:dyDescent="0.2">
      <c r="A2219" s="44">
        <v>81530</v>
      </c>
      <c r="B2219" s="43"/>
      <c r="C2219" s="44" t="s">
        <v>2261</v>
      </c>
      <c r="D2219" s="31"/>
      <c r="E2219" s="31"/>
      <c r="F2219" s="31"/>
    </row>
    <row r="2220" spans="1:6" x14ac:dyDescent="0.2">
      <c r="A2220" s="44">
        <v>81531</v>
      </c>
      <c r="B2220" s="43"/>
      <c r="C2220" s="44" t="s">
        <v>2262</v>
      </c>
      <c r="D2220" s="31"/>
      <c r="E2220" s="31"/>
      <c r="F2220" s="31"/>
    </row>
    <row r="2221" spans="1:6" x14ac:dyDescent="0.2">
      <c r="A2221" s="44">
        <v>81532</v>
      </c>
      <c r="B2221" s="43"/>
      <c r="C2221" s="44" t="s">
        <v>2263</v>
      </c>
      <c r="D2221" s="31"/>
      <c r="E2221" s="31"/>
      <c r="F2221" s="31"/>
    </row>
    <row r="2222" spans="1:6" x14ac:dyDescent="0.2">
      <c r="A2222" s="44">
        <v>81533</v>
      </c>
      <c r="B2222" s="43"/>
      <c r="C2222" s="44" t="s">
        <v>2264</v>
      </c>
      <c r="D2222" s="31"/>
      <c r="E2222" s="31"/>
      <c r="F2222" s="31"/>
    </row>
    <row r="2223" spans="1:6" x14ac:dyDescent="0.2">
      <c r="A2223" s="44">
        <v>81534</v>
      </c>
      <c r="B2223" s="43"/>
      <c r="C2223" s="44" t="s">
        <v>2265</v>
      </c>
      <c r="D2223" s="31"/>
      <c r="E2223" s="31"/>
      <c r="F2223" s="31"/>
    </row>
    <row r="2224" spans="1:6" x14ac:dyDescent="0.2">
      <c r="A2224" s="44">
        <v>81535</v>
      </c>
      <c r="B2224" s="43"/>
      <c r="C2224" s="44" t="s">
        <v>2266</v>
      </c>
      <c r="D2224" s="31"/>
      <c r="E2224" s="31"/>
      <c r="F2224" s="31"/>
    </row>
    <row r="2225" spans="1:6" x14ac:dyDescent="0.2">
      <c r="A2225" s="44">
        <v>81536</v>
      </c>
      <c r="B2225" s="43"/>
      <c r="C2225" s="44" t="s">
        <v>2267</v>
      </c>
      <c r="D2225" s="31"/>
      <c r="E2225" s="31"/>
      <c r="F2225" s="31"/>
    </row>
    <row r="2226" spans="1:6" x14ac:dyDescent="0.2">
      <c r="A2226" s="44">
        <v>81537</v>
      </c>
      <c r="B2226" s="43"/>
      <c r="C2226" s="44" t="s">
        <v>2268</v>
      </c>
      <c r="D2226" s="31"/>
      <c r="E2226" s="31"/>
      <c r="F2226" s="31"/>
    </row>
    <row r="2227" spans="1:6" x14ac:dyDescent="0.2">
      <c r="A2227" s="44">
        <v>81538</v>
      </c>
      <c r="B2227" s="43"/>
      <c r="C2227" s="44" t="s">
        <v>2269</v>
      </c>
      <c r="D2227" s="31"/>
      <c r="E2227" s="31"/>
      <c r="F2227" s="31"/>
    </row>
    <row r="2228" spans="1:6" x14ac:dyDescent="0.2">
      <c r="A2228" s="44">
        <v>81539</v>
      </c>
      <c r="B2228" s="43"/>
      <c r="C2228" s="44" t="s">
        <v>2270</v>
      </c>
      <c r="D2228" s="31"/>
      <c r="E2228" s="31"/>
      <c r="F2228" s="31"/>
    </row>
    <row r="2229" spans="1:6" x14ac:dyDescent="0.2">
      <c r="A2229" s="44">
        <v>81540</v>
      </c>
      <c r="B2229" s="43"/>
      <c r="C2229" s="44" t="s">
        <v>2271</v>
      </c>
      <c r="D2229" s="31"/>
      <c r="E2229" s="31"/>
      <c r="F2229" s="31"/>
    </row>
    <row r="2230" spans="1:6" x14ac:dyDescent="0.2">
      <c r="A2230" s="44">
        <v>81541</v>
      </c>
      <c r="B2230" s="43"/>
      <c r="C2230" s="44" t="s">
        <v>2272</v>
      </c>
      <c r="D2230" s="31"/>
      <c r="E2230" s="31"/>
      <c r="F2230" s="31"/>
    </row>
    <row r="2231" spans="1:6" x14ac:dyDescent="0.2">
      <c r="A2231" s="44">
        <v>81542</v>
      </c>
      <c r="B2231" s="43"/>
      <c r="C2231" s="44" t="s">
        <v>2273</v>
      </c>
      <c r="D2231" s="31"/>
      <c r="E2231" s="31"/>
      <c r="F2231" s="31"/>
    </row>
    <row r="2232" spans="1:6" x14ac:dyDescent="0.2">
      <c r="A2232" s="44">
        <v>81543</v>
      </c>
      <c r="B2232" s="43"/>
      <c r="C2232" s="44" t="s">
        <v>2274</v>
      </c>
      <c r="D2232" s="31"/>
      <c r="E2232" s="31"/>
      <c r="F2232" s="31"/>
    </row>
    <row r="2233" spans="1:6" x14ac:dyDescent="0.2">
      <c r="A2233" s="44">
        <v>81546</v>
      </c>
      <c r="B2233" s="43"/>
      <c r="C2233" s="44" t="s">
        <v>2275</v>
      </c>
      <c r="D2233" s="31"/>
      <c r="E2233" s="31"/>
      <c r="F2233" s="31"/>
    </row>
    <row r="2234" spans="1:6" x14ac:dyDescent="0.2">
      <c r="A2234" s="44">
        <v>81547</v>
      </c>
      <c r="B2234" s="43"/>
      <c r="C2234" s="44" t="s">
        <v>2276</v>
      </c>
      <c r="D2234" s="31"/>
      <c r="E2234" s="31"/>
      <c r="F2234" s="31"/>
    </row>
    <row r="2235" spans="1:6" x14ac:dyDescent="0.2">
      <c r="A2235" s="44">
        <v>81548</v>
      </c>
      <c r="B2235" s="43"/>
      <c r="C2235" s="44" t="s">
        <v>2277</v>
      </c>
      <c r="D2235" s="31"/>
      <c r="E2235" s="31"/>
      <c r="F2235" s="31"/>
    </row>
    <row r="2236" spans="1:6" x14ac:dyDescent="0.2">
      <c r="A2236" s="44">
        <v>81549</v>
      </c>
      <c r="B2236" s="43"/>
      <c r="C2236" s="44" t="s">
        <v>2278</v>
      </c>
      <c r="D2236" s="31"/>
      <c r="E2236" s="31"/>
      <c r="F2236" s="31"/>
    </row>
    <row r="2237" spans="1:6" x14ac:dyDescent="0.2">
      <c r="A2237" s="44">
        <v>81550</v>
      </c>
      <c r="B2237" s="43"/>
      <c r="C2237" s="44" t="s">
        <v>2279</v>
      </c>
      <c r="D2237" s="31"/>
      <c r="E2237" s="31"/>
      <c r="F2237" s="31"/>
    </row>
    <row r="2238" spans="1:6" x14ac:dyDescent="0.2">
      <c r="A2238" s="44">
        <v>81551</v>
      </c>
      <c r="B2238" s="43"/>
      <c r="C2238" s="44" t="s">
        <v>2280</v>
      </c>
      <c r="D2238" s="31"/>
      <c r="E2238" s="31"/>
      <c r="F2238" s="31"/>
    </row>
    <row r="2239" spans="1:6" x14ac:dyDescent="0.2">
      <c r="A2239" s="44">
        <v>81552</v>
      </c>
      <c r="B2239" s="43"/>
      <c r="C2239" s="44" t="s">
        <v>2281</v>
      </c>
      <c r="D2239" s="31"/>
      <c r="E2239" s="31"/>
      <c r="F2239" s="31"/>
    </row>
    <row r="2240" spans="1:6" x14ac:dyDescent="0.2">
      <c r="A2240" s="44">
        <v>81553</v>
      </c>
      <c r="B2240" s="43"/>
      <c r="C2240" s="44" t="s">
        <v>2282</v>
      </c>
      <c r="D2240" s="31"/>
      <c r="E2240" s="31"/>
      <c r="F2240" s="31"/>
    </row>
    <row r="2241" spans="1:6" x14ac:dyDescent="0.2">
      <c r="A2241" s="44">
        <v>81554</v>
      </c>
      <c r="B2241" s="43"/>
      <c r="C2241" s="44" t="s">
        <v>2283</v>
      </c>
      <c r="D2241" s="31"/>
      <c r="E2241" s="31"/>
      <c r="F2241" s="31"/>
    </row>
    <row r="2242" spans="1:6" x14ac:dyDescent="0.2">
      <c r="A2242" s="44">
        <v>81555</v>
      </c>
      <c r="B2242" s="43"/>
      <c r="C2242" s="44" t="s">
        <v>2284</v>
      </c>
      <c r="D2242" s="31"/>
      <c r="E2242" s="31"/>
      <c r="F2242" s="31"/>
    </row>
    <row r="2243" spans="1:6" x14ac:dyDescent="0.2">
      <c r="A2243" s="44">
        <v>81556</v>
      </c>
      <c r="B2243" s="43"/>
      <c r="C2243" s="44" t="s">
        <v>2285</v>
      </c>
      <c r="D2243" s="31"/>
      <c r="E2243" s="31"/>
      <c r="F2243" s="31"/>
    </row>
    <row r="2244" spans="1:6" x14ac:dyDescent="0.2">
      <c r="A2244" s="44">
        <v>81557</v>
      </c>
      <c r="B2244" s="43"/>
      <c r="C2244" s="44" t="s">
        <v>2286</v>
      </c>
      <c r="D2244" s="31"/>
      <c r="E2244" s="31"/>
      <c r="F2244" s="31"/>
    </row>
    <row r="2245" spans="1:6" x14ac:dyDescent="0.2">
      <c r="A2245" s="44">
        <v>81558</v>
      </c>
      <c r="B2245" s="43"/>
      <c r="C2245" s="44" t="s">
        <v>2287</v>
      </c>
      <c r="D2245" s="31"/>
      <c r="E2245" s="31"/>
      <c r="F2245" s="31"/>
    </row>
    <row r="2246" spans="1:6" x14ac:dyDescent="0.2">
      <c r="A2246" s="44">
        <v>81559</v>
      </c>
      <c r="B2246" s="43"/>
      <c r="C2246" s="44" t="s">
        <v>2288</v>
      </c>
      <c r="D2246" s="31"/>
      <c r="E2246" s="31"/>
      <c r="F2246" s="31"/>
    </row>
    <row r="2247" spans="1:6" x14ac:dyDescent="0.2">
      <c r="A2247" s="44">
        <v>81560</v>
      </c>
      <c r="B2247" s="43"/>
      <c r="C2247" s="44" t="s">
        <v>2289</v>
      </c>
      <c r="D2247" s="31"/>
      <c r="E2247" s="31"/>
      <c r="F2247" s="31"/>
    </row>
    <row r="2248" spans="1:6" x14ac:dyDescent="0.2">
      <c r="A2248" s="44">
        <v>81561</v>
      </c>
      <c r="B2248" s="43"/>
      <c r="C2248" s="44" t="s">
        <v>2290</v>
      </c>
      <c r="D2248" s="31"/>
      <c r="E2248" s="31"/>
      <c r="F2248" s="31"/>
    </row>
    <row r="2249" spans="1:6" x14ac:dyDescent="0.2">
      <c r="A2249" s="44">
        <v>81562</v>
      </c>
      <c r="B2249" s="43"/>
      <c r="C2249" s="44" t="s">
        <v>2291</v>
      </c>
      <c r="D2249" s="31"/>
      <c r="E2249" s="31"/>
      <c r="F2249" s="31"/>
    </row>
    <row r="2250" spans="1:6" x14ac:dyDescent="0.2">
      <c r="A2250" s="44">
        <v>81563</v>
      </c>
      <c r="B2250" s="43"/>
      <c r="C2250" s="44" t="s">
        <v>2292</v>
      </c>
      <c r="D2250" s="31"/>
      <c r="E2250" s="31"/>
      <c r="F2250" s="31"/>
    </row>
    <row r="2251" spans="1:6" x14ac:dyDescent="0.2">
      <c r="A2251" s="44">
        <v>81567</v>
      </c>
      <c r="B2251" s="43"/>
      <c r="C2251" s="44" t="s">
        <v>2293</v>
      </c>
      <c r="D2251" s="31"/>
      <c r="E2251" s="31"/>
      <c r="F2251" s="31"/>
    </row>
    <row r="2252" spans="1:6" x14ac:dyDescent="0.2">
      <c r="A2252" s="44">
        <v>81568</v>
      </c>
      <c r="B2252" s="43"/>
      <c r="C2252" s="44" t="s">
        <v>2294</v>
      </c>
      <c r="D2252" s="31"/>
      <c r="E2252" s="31"/>
      <c r="F2252" s="31"/>
    </row>
    <row r="2253" spans="1:6" x14ac:dyDescent="0.2">
      <c r="A2253" s="44">
        <v>81569</v>
      </c>
      <c r="B2253" s="43"/>
      <c r="C2253" s="44" t="s">
        <v>2295</v>
      </c>
      <c r="D2253" s="31"/>
      <c r="E2253" s="31"/>
      <c r="F2253" s="31"/>
    </row>
    <row r="2254" spans="1:6" x14ac:dyDescent="0.2">
      <c r="A2254" s="44">
        <v>81570</v>
      </c>
      <c r="B2254" s="43"/>
      <c r="C2254" s="44" t="s">
        <v>2296</v>
      </c>
      <c r="D2254" s="31"/>
      <c r="E2254" s="31"/>
      <c r="F2254" s="31"/>
    </row>
    <row r="2255" spans="1:6" x14ac:dyDescent="0.2">
      <c r="A2255" s="44">
        <v>81571</v>
      </c>
      <c r="B2255" s="43"/>
      <c r="C2255" s="44" t="s">
        <v>2297</v>
      </c>
      <c r="D2255" s="31"/>
      <c r="E2255" s="31"/>
      <c r="F2255" s="31"/>
    </row>
    <row r="2256" spans="1:6" x14ac:dyDescent="0.2">
      <c r="A2256" s="44">
        <v>81572</v>
      </c>
      <c r="B2256" s="43"/>
      <c r="C2256" s="44" t="s">
        <v>2298</v>
      </c>
      <c r="D2256" s="31"/>
      <c r="E2256" s="31"/>
      <c r="F2256" s="31"/>
    </row>
    <row r="2257" spans="1:6" x14ac:dyDescent="0.2">
      <c r="A2257" s="44">
        <v>81573</v>
      </c>
      <c r="B2257" s="43"/>
      <c r="C2257" s="44" t="s">
        <v>2299</v>
      </c>
      <c r="D2257" s="31"/>
      <c r="E2257" s="31"/>
      <c r="F2257" s="31"/>
    </row>
    <row r="2258" spans="1:6" x14ac:dyDescent="0.2">
      <c r="A2258" s="44">
        <v>81574</v>
      </c>
      <c r="B2258" s="43"/>
      <c r="C2258" s="44" t="s">
        <v>2300</v>
      </c>
      <c r="D2258" s="31"/>
      <c r="E2258" s="31"/>
      <c r="F2258" s="31"/>
    </row>
    <row r="2259" spans="1:6" x14ac:dyDescent="0.2">
      <c r="A2259" s="44">
        <v>81575</v>
      </c>
      <c r="B2259" s="43"/>
      <c r="C2259" s="44" t="s">
        <v>2301</v>
      </c>
      <c r="D2259" s="31"/>
      <c r="E2259" s="31"/>
      <c r="F2259" s="31"/>
    </row>
    <row r="2260" spans="1:6" x14ac:dyDescent="0.2">
      <c r="A2260" s="44">
        <v>81576</v>
      </c>
      <c r="B2260" s="43"/>
      <c r="C2260" s="44" t="s">
        <v>2302</v>
      </c>
      <c r="D2260" s="31"/>
      <c r="E2260" s="31"/>
      <c r="F2260" s="31"/>
    </row>
    <row r="2261" spans="1:6" x14ac:dyDescent="0.2">
      <c r="A2261" s="44">
        <v>81577</v>
      </c>
      <c r="B2261" s="43"/>
      <c r="C2261" s="44" t="s">
        <v>2303</v>
      </c>
      <c r="D2261" s="31"/>
      <c r="E2261" s="31"/>
      <c r="F2261" s="31"/>
    </row>
    <row r="2262" spans="1:6" x14ac:dyDescent="0.2">
      <c r="A2262" s="44">
        <v>81578</v>
      </c>
      <c r="B2262" s="43"/>
      <c r="C2262" s="44" t="s">
        <v>2304</v>
      </c>
      <c r="D2262" s="31"/>
      <c r="E2262" s="31"/>
      <c r="F2262" s="31"/>
    </row>
    <row r="2263" spans="1:6" x14ac:dyDescent="0.2">
      <c r="A2263" s="44">
        <v>81579</v>
      </c>
      <c r="B2263" s="43"/>
      <c r="C2263" s="44" t="s">
        <v>2305</v>
      </c>
      <c r="D2263" s="31"/>
      <c r="E2263" s="31"/>
      <c r="F2263" s="31"/>
    </row>
    <row r="2264" spans="1:6" x14ac:dyDescent="0.2">
      <c r="A2264" s="44">
        <v>81583</v>
      </c>
      <c r="B2264" s="43"/>
      <c r="C2264" s="44" t="s">
        <v>2306</v>
      </c>
      <c r="D2264" s="31"/>
      <c r="E2264" s="31"/>
      <c r="F2264" s="31"/>
    </row>
    <row r="2265" spans="1:6" x14ac:dyDescent="0.2">
      <c r="A2265" s="44">
        <v>81584</v>
      </c>
      <c r="B2265" s="43"/>
      <c r="C2265" s="44" t="s">
        <v>2307</v>
      </c>
      <c r="D2265" s="31"/>
      <c r="E2265" s="31"/>
      <c r="F2265" s="31"/>
    </row>
    <row r="2266" spans="1:6" x14ac:dyDescent="0.2">
      <c r="A2266" s="44">
        <v>81585</v>
      </c>
      <c r="B2266" s="43"/>
      <c r="C2266" s="44" t="s">
        <v>2308</v>
      </c>
      <c r="D2266" s="31"/>
      <c r="E2266" s="31"/>
      <c r="F2266" s="31"/>
    </row>
    <row r="2267" spans="1:6" x14ac:dyDescent="0.2">
      <c r="A2267" s="44">
        <v>81586</v>
      </c>
      <c r="B2267" s="43"/>
      <c r="C2267" s="44" t="s">
        <v>2309</v>
      </c>
      <c r="D2267" s="31"/>
      <c r="E2267" s="31"/>
      <c r="F2267" s="31"/>
    </row>
    <row r="2268" spans="1:6" x14ac:dyDescent="0.2">
      <c r="A2268" s="44">
        <v>81587</v>
      </c>
      <c r="B2268" s="43"/>
      <c r="C2268" s="44" t="s">
        <v>2310</v>
      </c>
      <c r="D2268" s="31"/>
      <c r="E2268" s="31"/>
      <c r="F2268" s="31"/>
    </row>
    <row r="2269" spans="1:6" x14ac:dyDescent="0.2">
      <c r="A2269" s="44">
        <v>81588</v>
      </c>
      <c r="B2269" s="43"/>
      <c r="C2269" s="44" t="s">
        <v>2311</v>
      </c>
      <c r="D2269" s="31"/>
      <c r="E2269" s="31"/>
      <c r="F2269" s="31"/>
    </row>
    <row r="2270" spans="1:6" x14ac:dyDescent="0.2">
      <c r="A2270" s="44">
        <v>81589</v>
      </c>
      <c r="B2270" s="43"/>
      <c r="C2270" s="44" t="s">
        <v>2312</v>
      </c>
      <c r="D2270" s="31"/>
      <c r="E2270" s="31"/>
      <c r="F2270" s="31"/>
    </row>
    <row r="2271" spans="1:6" x14ac:dyDescent="0.2">
      <c r="A2271" s="44">
        <v>81590</v>
      </c>
      <c r="B2271" s="43"/>
      <c r="C2271" s="44" t="s">
        <v>2313</v>
      </c>
      <c r="D2271" s="31"/>
      <c r="E2271" s="31"/>
      <c r="F2271" s="31"/>
    </row>
    <row r="2272" spans="1:6" x14ac:dyDescent="0.2">
      <c r="A2272" s="44">
        <v>81591</v>
      </c>
      <c r="B2272" s="43"/>
      <c r="C2272" s="44" t="s">
        <v>2314</v>
      </c>
      <c r="D2272" s="31"/>
      <c r="E2272" s="31"/>
      <c r="F2272" s="31"/>
    </row>
    <row r="2273" spans="1:6" x14ac:dyDescent="0.2">
      <c r="A2273" s="44">
        <v>81704</v>
      </c>
      <c r="B2273" s="43"/>
      <c r="C2273" s="44" t="s">
        <v>2315</v>
      </c>
      <c r="D2273" s="31"/>
      <c r="E2273" s="31"/>
      <c r="F2273" s="31"/>
    </row>
    <row r="2274" spans="1:6" x14ac:dyDescent="0.2">
      <c r="A2274" s="44">
        <v>81705</v>
      </c>
      <c r="B2274" s="43"/>
      <c r="C2274" s="44" t="s">
        <v>2316</v>
      </c>
      <c r="D2274" s="31"/>
      <c r="E2274" s="31"/>
      <c r="F2274" s="31"/>
    </row>
    <row r="2275" spans="1:6" x14ac:dyDescent="0.2">
      <c r="A2275" s="44">
        <v>81706</v>
      </c>
      <c r="B2275" s="43"/>
      <c r="C2275" s="44" t="s">
        <v>2317</v>
      </c>
      <c r="D2275" s="31"/>
      <c r="E2275" s="31"/>
      <c r="F2275" s="31"/>
    </row>
    <row r="2276" spans="1:6" x14ac:dyDescent="0.2">
      <c r="A2276" s="44">
        <v>81707</v>
      </c>
      <c r="B2276" s="43"/>
      <c r="C2276" s="44" t="s">
        <v>2318</v>
      </c>
      <c r="D2276" s="31"/>
      <c r="E2276" s="31"/>
      <c r="F2276" s="31"/>
    </row>
    <row r="2277" spans="1:6" x14ac:dyDescent="0.2">
      <c r="A2277" s="44">
        <v>81756</v>
      </c>
      <c r="B2277" s="43"/>
      <c r="C2277" s="44" t="s">
        <v>2319</v>
      </c>
      <c r="D2277" s="31"/>
      <c r="E2277" s="31"/>
      <c r="F2277" s="31"/>
    </row>
    <row r="2278" spans="1:6" x14ac:dyDescent="0.2">
      <c r="A2278" s="44">
        <v>81757</v>
      </c>
      <c r="B2278" s="43"/>
      <c r="C2278" s="44" t="s">
        <v>2320</v>
      </c>
      <c r="D2278" s="31"/>
      <c r="E2278" s="31"/>
      <c r="F2278" s="31"/>
    </row>
    <row r="2279" spans="1:6" x14ac:dyDescent="0.2">
      <c r="A2279" s="44">
        <v>81758</v>
      </c>
      <c r="B2279" s="43"/>
      <c r="C2279" s="44" t="s">
        <v>2321</v>
      </c>
      <c r="D2279" s="31"/>
      <c r="E2279" s="31"/>
      <c r="F2279" s="31"/>
    </row>
    <row r="2280" spans="1:6" x14ac:dyDescent="0.2">
      <c r="A2280" s="44">
        <v>82089</v>
      </c>
      <c r="B2280" s="43"/>
      <c r="C2280" s="44" t="s">
        <v>2322</v>
      </c>
      <c r="D2280" s="31"/>
      <c r="E2280" s="31"/>
      <c r="F2280" s="31"/>
    </row>
    <row r="2281" spans="1:6" x14ac:dyDescent="0.2">
      <c r="A2281" s="44">
        <v>82090</v>
      </c>
      <c r="B2281" s="43"/>
      <c r="C2281" s="44" t="s">
        <v>2323</v>
      </c>
      <c r="D2281" s="31"/>
      <c r="E2281" s="31"/>
      <c r="F2281" s="31"/>
    </row>
    <row r="2282" spans="1:6" x14ac:dyDescent="0.2">
      <c r="A2282" s="44">
        <v>82091</v>
      </c>
      <c r="B2282" s="43"/>
      <c r="C2282" s="44" t="s">
        <v>2324</v>
      </c>
      <c r="D2282" s="31"/>
      <c r="E2282" s="31"/>
      <c r="F2282" s="31"/>
    </row>
    <row r="2283" spans="1:6" x14ac:dyDescent="0.2">
      <c r="A2283" s="44">
        <v>82092</v>
      </c>
      <c r="B2283" s="43"/>
      <c r="C2283" s="44" t="s">
        <v>2325</v>
      </c>
      <c r="D2283" s="31"/>
      <c r="E2283" s="31"/>
      <c r="F2283" s="31"/>
    </row>
    <row r="2284" spans="1:6" x14ac:dyDescent="0.2">
      <c r="A2284" s="44">
        <v>82093</v>
      </c>
      <c r="B2284" s="43"/>
      <c r="C2284" s="44" t="s">
        <v>2326</v>
      </c>
      <c r="D2284" s="31"/>
      <c r="E2284" s="31"/>
      <c r="F2284" s="31"/>
    </row>
    <row r="2285" spans="1:6" x14ac:dyDescent="0.2">
      <c r="A2285" s="44">
        <v>82094</v>
      </c>
      <c r="B2285" s="43"/>
      <c r="C2285" s="44" t="s">
        <v>2327</v>
      </c>
      <c r="D2285" s="31"/>
      <c r="E2285" s="31"/>
      <c r="F2285" s="31"/>
    </row>
    <row r="2286" spans="1:6" x14ac:dyDescent="0.2">
      <c r="A2286" s="44">
        <v>82095</v>
      </c>
      <c r="B2286" s="43"/>
      <c r="C2286" s="44" t="s">
        <v>2328</v>
      </c>
      <c r="D2286" s="31"/>
      <c r="E2286" s="31"/>
      <c r="F2286" s="31"/>
    </row>
    <row r="2287" spans="1:6" x14ac:dyDescent="0.2">
      <c r="A2287" s="44">
        <v>82096</v>
      </c>
      <c r="B2287" s="43"/>
      <c r="C2287" s="44" t="s">
        <v>2329</v>
      </c>
      <c r="D2287" s="31"/>
      <c r="E2287" s="31"/>
      <c r="F2287" s="31"/>
    </row>
    <row r="2288" spans="1:6" x14ac:dyDescent="0.2">
      <c r="A2288" s="44">
        <v>82097</v>
      </c>
      <c r="B2288" s="43"/>
      <c r="C2288" s="44" t="s">
        <v>2330</v>
      </c>
      <c r="D2288" s="31"/>
      <c r="E2288" s="31"/>
      <c r="F2288" s="31"/>
    </row>
    <row r="2289" spans="1:6" x14ac:dyDescent="0.2">
      <c r="A2289" s="44">
        <v>82098</v>
      </c>
      <c r="B2289" s="43"/>
      <c r="C2289" s="44" t="s">
        <v>2331</v>
      </c>
      <c r="D2289" s="31"/>
      <c r="E2289" s="31"/>
      <c r="F2289" s="31"/>
    </row>
    <row r="2290" spans="1:6" x14ac:dyDescent="0.2">
      <c r="A2290" s="44">
        <v>82099</v>
      </c>
      <c r="B2290" s="43"/>
      <c r="C2290" s="44" t="s">
        <v>2332</v>
      </c>
      <c r="D2290" s="31"/>
      <c r="E2290" s="31"/>
      <c r="F2290" s="31"/>
    </row>
    <row r="2291" spans="1:6" x14ac:dyDescent="0.2">
      <c r="A2291" s="44">
        <v>82100</v>
      </c>
      <c r="B2291" s="43"/>
      <c r="C2291" s="44" t="s">
        <v>2333</v>
      </c>
      <c r="D2291" s="31"/>
      <c r="E2291" s="31"/>
      <c r="F2291" s="31"/>
    </row>
    <row r="2292" spans="1:6" x14ac:dyDescent="0.2">
      <c r="A2292" s="44">
        <v>82101</v>
      </c>
      <c r="B2292" s="43"/>
      <c r="C2292" s="44" t="s">
        <v>2334</v>
      </c>
      <c r="D2292" s="31"/>
      <c r="E2292" s="31"/>
      <c r="F2292" s="31"/>
    </row>
    <row r="2293" spans="1:6" x14ac:dyDescent="0.2">
      <c r="A2293" s="44">
        <v>82102</v>
      </c>
      <c r="B2293" s="43"/>
      <c r="C2293" s="44" t="s">
        <v>2335</v>
      </c>
      <c r="D2293" s="31"/>
      <c r="E2293" s="31"/>
      <c r="F2293" s="31"/>
    </row>
    <row r="2294" spans="1:6" x14ac:dyDescent="0.2">
      <c r="A2294" s="44">
        <v>82103</v>
      </c>
      <c r="B2294" s="43"/>
      <c r="C2294" s="44" t="s">
        <v>2336</v>
      </c>
      <c r="D2294" s="31"/>
      <c r="E2294" s="31"/>
      <c r="F2294" s="31"/>
    </row>
    <row r="2295" spans="1:6" x14ac:dyDescent="0.2">
      <c r="A2295" s="44">
        <v>82104</v>
      </c>
      <c r="B2295" s="43"/>
      <c r="C2295" s="44" t="s">
        <v>2337</v>
      </c>
      <c r="D2295" s="31"/>
      <c r="E2295" s="31"/>
      <c r="F2295" s="31"/>
    </row>
    <row r="2296" spans="1:6" x14ac:dyDescent="0.2">
      <c r="A2296" s="44">
        <v>82105</v>
      </c>
      <c r="B2296" s="43"/>
      <c r="C2296" s="44" t="s">
        <v>2338</v>
      </c>
      <c r="D2296" s="31"/>
      <c r="E2296" s="31"/>
      <c r="F2296" s="31"/>
    </row>
    <row r="2297" spans="1:6" x14ac:dyDescent="0.2">
      <c r="A2297" s="44">
        <v>82106</v>
      </c>
      <c r="B2297" s="43"/>
      <c r="C2297" s="44" t="s">
        <v>2339</v>
      </c>
      <c r="D2297" s="31"/>
      <c r="E2297" s="31"/>
      <c r="F2297" s="31"/>
    </row>
    <row r="2298" spans="1:6" x14ac:dyDescent="0.2">
      <c r="A2298" s="44">
        <v>82107</v>
      </c>
      <c r="B2298" s="43"/>
      <c r="C2298" s="44" t="s">
        <v>2340</v>
      </c>
      <c r="D2298" s="31"/>
      <c r="E2298" s="31"/>
      <c r="F2298" s="31"/>
    </row>
    <row r="2299" spans="1:6" x14ac:dyDescent="0.2">
      <c r="A2299" s="44">
        <v>83000</v>
      </c>
      <c r="B2299" s="43"/>
      <c r="C2299" s="44" t="s">
        <v>2340</v>
      </c>
      <c r="D2299" s="31"/>
      <c r="E2299" s="31"/>
      <c r="F2299" s="31"/>
    </row>
    <row r="2300" spans="1:6" x14ac:dyDescent="0.2">
      <c r="A2300" s="44">
        <v>90648</v>
      </c>
      <c r="B2300" s="43"/>
      <c r="C2300" s="44" t="s">
        <v>2341</v>
      </c>
      <c r="D2300" s="31"/>
      <c r="E2300" s="31"/>
      <c r="F2300" s="31"/>
    </row>
    <row r="2301" spans="1:6" x14ac:dyDescent="0.2">
      <c r="A2301" s="44">
        <v>90649</v>
      </c>
      <c r="B2301" s="43"/>
      <c r="C2301" s="44" t="s">
        <v>2342</v>
      </c>
      <c r="D2301" s="31"/>
      <c r="E2301" s="31"/>
      <c r="F2301" s="31"/>
    </row>
    <row r="2302" spans="1:6" x14ac:dyDescent="0.2">
      <c r="A2302" s="44">
        <v>90650</v>
      </c>
      <c r="B2302" s="43"/>
      <c r="C2302" s="44" t="s">
        <v>2343</v>
      </c>
      <c r="D2302" s="31"/>
      <c r="E2302" s="31"/>
      <c r="F2302" s="31"/>
    </row>
    <row r="2303" spans="1:6" x14ac:dyDescent="0.2">
      <c r="A2303" s="44">
        <v>90651</v>
      </c>
      <c r="B2303" s="43"/>
      <c r="C2303" s="44" t="s">
        <v>2344</v>
      </c>
      <c r="D2303" s="31"/>
      <c r="E2303" s="31"/>
      <c r="F2303" s="31"/>
    </row>
    <row r="2304" spans="1:6" x14ac:dyDescent="0.2">
      <c r="A2304" s="44">
        <v>90664</v>
      </c>
      <c r="B2304" s="43"/>
      <c r="C2304" s="44" t="s">
        <v>2345</v>
      </c>
      <c r="D2304" s="31"/>
      <c r="E2304" s="31"/>
      <c r="F2304" s="31"/>
    </row>
    <row r="2305" spans="1:6" x14ac:dyDescent="0.2">
      <c r="A2305" s="44">
        <v>90665</v>
      </c>
      <c r="B2305" s="43"/>
      <c r="C2305" s="44" t="s">
        <v>2346</v>
      </c>
      <c r="D2305" s="31"/>
      <c r="E2305" s="31"/>
      <c r="F2305" s="31"/>
    </row>
    <row r="2306" spans="1:6" x14ac:dyDescent="0.2">
      <c r="A2306" s="44">
        <v>90666</v>
      </c>
      <c r="B2306" s="43"/>
      <c r="C2306" s="44" t="s">
        <v>2347</v>
      </c>
      <c r="D2306" s="31"/>
      <c r="E2306" s="31"/>
      <c r="F2306" s="31"/>
    </row>
    <row r="2307" spans="1:6" x14ac:dyDescent="0.2">
      <c r="A2307" s="44">
        <v>90667</v>
      </c>
      <c r="B2307" s="43"/>
      <c r="C2307" s="44" t="s">
        <v>2348</v>
      </c>
      <c r="D2307" s="31"/>
      <c r="E2307" s="31"/>
      <c r="F2307" s="31"/>
    </row>
    <row r="2308" spans="1:6" x14ac:dyDescent="0.2">
      <c r="A2308" s="44">
        <v>90672</v>
      </c>
      <c r="B2308" s="43"/>
      <c r="C2308" s="44" t="s">
        <v>2349</v>
      </c>
      <c r="D2308" s="31"/>
      <c r="E2308" s="31"/>
      <c r="F2308" s="31"/>
    </row>
    <row r="2309" spans="1:6" x14ac:dyDescent="0.2">
      <c r="A2309" s="44">
        <v>90673</v>
      </c>
      <c r="B2309" s="43"/>
      <c r="C2309" s="44" t="s">
        <v>2350</v>
      </c>
      <c r="D2309" s="31"/>
      <c r="E2309" s="31"/>
      <c r="F2309" s="31"/>
    </row>
    <row r="2310" spans="1:6" x14ac:dyDescent="0.2">
      <c r="A2310" s="44">
        <v>90674</v>
      </c>
      <c r="B2310" s="43"/>
      <c r="C2310" s="44" t="s">
        <v>2351</v>
      </c>
      <c r="D2310" s="31"/>
      <c r="E2310" s="31"/>
      <c r="F2310" s="31"/>
    </row>
    <row r="2311" spans="1:6" x14ac:dyDescent="0.2">
      <c r="A2311" s="44">
        <v>90675</v>
      </c>
      <c r="B2311" s="43"/>
      <c r="C2311" s="44" t="s">
        <v>2352</v>
      </c>
      <c r="D2311" s="31"/>
      <c r="E2311" s="31"/>
      <c r="F2311" s="31"/>
    </row>
    <row r="2312" spans="1:6" x14ac:dyDescent="0.2">
      <c r="A2312" s="44">
        <v>90676</v>
      </c>
      <c r="B2312" s="43"/>
      <c r="C2312" s="44" t="s">
        <v>2353</v>
      </c>
      <c r="D2312" s="31"/>
      <c r="E2312" s="31"/>
      <c r="F2312" s="31"/>
    </row>
    <row r="2313" spans="1:6" x14ac:dyDescent="0.2">
      <c r="A2313" s="44">
        <v>90708</v>
      </c>
      <c r="B2313" s="43"/>
      <c r="C2313" s="44" t="s">
        <v>2354</v>
      </c>
      <c r="D2313" s="31"/>
      <c r="E2313" s="31"/>
      <c r="F2313" s="31"/>
    </row>
    <row r="2314" spans="1:6" x14ac:dyDescent="0.2">
      <c r="A2314" s="44">
        <v>90709</v>
      </c>
      <c r="B2314" s="43"/>
      <c r="C2314" s="44" t="s">
        <v>2355</v>
      </c>
      <c r="D2314" s="31"/>
      <c r="E2314" s="31"/>
      <c r="F2314" s="31"/>
    </row>
    <row r="2315" spans="1:6" x14ac:dyDescent="0.2">
      <c r="A2315" s="44">
        <v>90710</v>
      </c>
      <c r="B2315" s="43"/>
      <c r="C2315" s="44" t="s">
        <v>2356</v>
      </c>
      <c r="D2315" s="31"/>
      <c r="E2315" s="31"/>
      <c r="F2315" s="31"/>
    </row>
    <row r="2316" spans="1:6" x14ac:dyDescent="0.2">
      <c r="A2316" s="44">
        <v>90711</v>
      </c>
      <c r="B2316" s="43"/>
      <c r="C2316" s="44" t="s">
        <v>2357</v>
      </c>
      <c r="D2316" s="31"/>
      <c r="E2316" s="31"/>
      <c r="F2316" s="31"/>
    </row>
    <row r="2317" spans="1:6" x14ac:dyDescent="0.2">
      <c r="A2317" s="44">
        <v>90712</v>
      </c>
      <c r="B2317" s="43"/>
      <c r="C2317" s="44" t="s">
        <v>2358</v>
      </c>
      <c r="D2317" s="31"/>
      <c r="E2317" s="31"/>
      <c r="F2317" s="31"/>
    </row>
    <row r="2318" spans="1:6" x14ac:dyDescent="0.2">
      <c r="A2318" s="44">
        <v>90713</v>
      </c>
      <c r="B2318" s="43"/>
      <c r="C2318" s="44" t="s">
        <v>2359</v>
      </c>
      <c r="D2318" s="31"/>
      <c r="E2318" s="31"/>
      <c r="F2318" s="31"/>
    </row>
    <row r="2319" spans="1:6" x14ac:dyDescent="0.2">
      <c r="A2319" s="44">
        <v>90714</v>
      </c>
      <c r="B2319" s="43"/>
      <c r="C2319" s="44" t="s">
        <v>2360</v>
      </c>
      <c r="D2319" s="31"/>
      <c r="E2319" s="31"/>
      <c r="F2319" s="31"/>
    </row>
    <row r="2320" spans="1:6" x14ac:dyDescent="0.2">
      <c r="A2320" s="44">
        <v>90715</v>
      </c>
      <c r="B2320" s="43"/>
      <c r="C2320" s="44" t="s">
        <v>2361</v>
      </c>
      <c r="D2320" s="31"/>
      <c r="E2320" s="31"/>
      <c r="F2320" s="31"/>
    </row>
    <row r="2321" spans="1:6" x14ac:dyDescent="0.2">
      <c r="A2321" s="44">
        <v>90716</v>
      </c>
      <c r="B2321" s="43"/>
      <c r="C2321" s="44" t="s">
        <v>2362</v>
      </c>
      <c r="D2321" s="31"/>
      <c r="E2321" s="31"/>
      <c r="F2321" s="31"/>
    </row>
    <row r="2322" spans="1:6" x14ac:dyDescent="0.2">
      <c r="A2322" s="44">
        <v>90717</v>
      </c>
      <c r="B2322" s="43"/>
      <c r="C2322" s="44" t="s">
        <v>2363</v>
      </c>
      <c r="D2322" s="31"/>
      <c r="E2322" s="31"/>
      <c r="F2322" s="31"/>
    </row>
    <row r="2323" spans="1:6" x14ac:dyDescent="0.2">
      <c r="A2323" s="44">
        <v>90718</v>
      </c>
      <c r="B2323" s="43"/>
      <c r="C2323" s="44" t="s">
        <v>2364</v>
      </c>
      <c r="D2323" s="31"/>
      <c r="E2323" s="31"/>
      <c r="F2323" s="31"/>
    </row>
    <row r="2324" spans="1:6" x14ac:dyDescent="0.2">
      <c r="A2324" s="44">
        <v>90719</v>
      </c>
      <c r="B2324" s="43"/>
      <c r="C2324" s="44" t="s">
        <v>2365</v>
      </c>
      <c r="D2324" s="31"/>
      <c r="E2324" s="31"/>
      <c r="F2324" s="31"/>
    </row>
    <row r="2325" spans="1:6" x14ac:dyDescent="0.2">
      <c r="A2325" s="44">
        <v>90720</v>
      </c>
      <c r="B2325" s="43"/>
      <c r="C2325" s="44" t="s">
        <v>2366</v>
      </c>
      <c r="D2325" s="31"/>
      <c r="E2325" s="31"/>
      <c r="F2325" s="31"/>
    </row>
    <row r="2326" spans="1:6" x14ac:dyDescent="0.2">
      <c r="A2326" s="44">
        <v>90721</v>
      </c>
      <c r="B2326" s="43"/>
      <c r="C2326" s="44" t="s">
        <v>2367</v>
      </c>
      <c r="D2326" s="31"/>
      <c r="E2326" s="31"/>
      <c r="F2326" s="31"/>
    </row>
    <row r="2327" spans="1:6" x14ac:dyDescent="0.2">
      <c r="A2327" s="44">
        <v>90722</v>
      </c>
      <c r="B2327" s="43"/>
      <c r="C2327" s="44" t="s">
        <v>2368</v>
      </c>
      <c r="D2327" s="31"/>
      <c r="E2327" s="31"/>
      <c r="F2327" s="31"/>
    </row>
    <row r="2328" spans="1:6" x14ac:dyDescent="0.2">
      <c r="A2328" s="44">
        <v>90723</v>
      </c>
      <c r="B2328" s="43"/>
      <c r="C2328" s="44" t="s">
        <v>2369</v>
      </c>
      <c r="D2328" s="31"/>
      <c r="E2328" s="31"/>
      <c r="F2328" s="31"/>
    </row>
    <row r="2329" spans="1:6" x14ac:dyDescent="0.2">
      <c r="A2329" s="44">
        <v>90724</v>
      </c>
      <c r="B2329" s="43"/>
      <c r="C2329" s="44" t="s">
        <v>2370</v>
      </c>
      <c r="D2329" s="31"/>
      <c r="E2329" s="31"/>
      <c r="F2329" s="31"/>
    </row>
    <row r="2330" spans="1:6" x14ac:dyDescent="0.2">
      <c r="A2330" s="44">
        <v>90725</v>
      </c>
      <c r="B2330" s="43"/>
      <c r="C2330" s="44" t="s">
        <v>2371</v>
      </c>
      <c r="D2330" s="31"/>
      <c r="E2330" s="31"/>
      <c r="F2330" s="31"/>
    </row>
    <row r="2331" spans="1:6" x14ac:dyDescent="0.2">
      <c r="A2331" s="44">
        <v>90726</v>
      </c>
      <c r="B2331" s="43"/>
      <c r="C2331" s="44" t="s">
        <v>2372</v>
      </c>
      <c r="D2331" s="31"/>
      <c r="E2331" s="31"/>
      <c r="F2331" s="31"/>
    </row>
    <row r="2332" spans="1:6" x14ac:dyDescent="0.2">
      <c r="A2332" s="44">
        <v>90727</v>
      </c>
      <c r="B2332" s="43"/>
      <c r="C2332" s="44" t="s">
        <v>2373</v>
      </c>
      <c r="D2332" s="31"/>
      <c r="E2332" s="31"/>
      <c r="F2332" s="31"/>
    </row>
    <row r="2333" spans="1:6" x14ac:dyDescent="0.2">
      <c r="A2333" s="44">
        <v>90759</v>
      </c>
      <c r="B2333" s="43"/>
      <c r="C2333" s="44" t="s">
        <v>2374</v>
      </c>
      <c r="D2333" s="31"/>
      <c r="E2333" s="31"/>
      <c r="F2333" s="31"/>
    </row>
    <row r="2334" spans="1:6" x14ac:dyDescent="0.2">
      <c r="A2334" s="44">
        <v>91648</v>
      </c>
      <c r="B2334" s="43"/>
      <c r="C2334" s="44" t="s">
        <v>2375</v>
      </c>
      <c r="D2334" s="31"/>
      <c r="E2334" s="31"/>
      <c r="F2334" s="31"/>
    </row>
    <row r="2335" spans="1:6" x14ac:dyDescent="0.2">
      <c r="A2335" s="44">
        <v>91649</v>
      </c>
      <c r="B2335" s="43"/>
      <c r="C2335" s="44" t="s">
        <v>2376</v>
      </c>
      <c r="D2335" s="31"/>
      <c r="E2335" s="31"/>
      <c r="F2335" s="31"/>
    </row>
    <row r="2336" spans="1:6" x14ac:dyDescent="0.2">
      <c r="A2336" s="44">
        <v>91650</v>
      </c>
      <c r="B2336" s="43"/>
      <c r="C2336" s="44" t="s">
        <v>2377</v>
      </c>
      <c r="D2336" s="31"/>
      <c r="E2336" s="31"/>
      <c r="F2336" s="31"/>
    </row>
    <row r="2337" spans="1:6" x14ac:dyDescent="0.2">
      <c r="A2337" s="44">
        <v>91651</v>
      </c>
      <c r="B2337" s="43"/>
      <c r="C2337" s="44" t="s">
        <v>2378</v>
      </c>
      <c r="D2337" s="31"/>
      <c r="E2337" s="31"/>
      <c r="F2337" s="31"/>
    </row>
    <row r="2338" spans="1:6" x14ac:dyDescent="0.2">
      <c r="A2338" s="44">
        <v>91664</v>
      </c>
      <c r="B2338" s="43"/>
      <c r="C2338" s="44" t="s">
        <v>2379</v>
      </c>
      <c r="D2338" s="31"/>
      <c r="E2338" s="31"/>
      <c r="F2338" s="31"/>
    </row>
    <row r="2339" spans="1:6" x14ac:dyDescent="0.2">
      <c r="A2339" s="44">
        <v>91665</v>
      </c>
      <c r="B2339" s="43"/>
      <c r="C2339" s="44" t="s">
        <v>2380</v>
      </c>
      <c r="D2339" s="31"/>
      <c r="E2339" s="31"/>
      <c r="F2339" s="31"/>
    </row>
    <row r="2340" spans="1:6" x14ac:dyDescent="0.2">
      <c r="A2340" s="44">
        <v>91666</v>
      </c>
      <c r="B2340" s="43"/>
      <c r="C2340" s="44" t="s">
        <v>2381</v>
      </c>
      <c r="D2340" s="31"/>
      <c r="E2340" s="31"/>
      <c r="F2340" s="31"/>
    </row>
    <row r="2341" spans="1:6" x14ac:dyDescent="0.2">
      <c r="A2341" s="44">
        <v>91667</v>
      </c>
      <c r="B2341" s="43"/>
      <c r="C2341" s="44" t="s">
        <v>2382</v>
      </c>
      <c r="D2341" s="31"/>
      <c r="E2341" s="31"/>
      <c r="F2341" s="31"/>
    </row>
    <row r="2342" spans="1:6" x14ac:dyDescent="0.2">
      <c r="A2342" s="44">
        <v>91672</v>
      </c>
      <c r="B2342" s="43"/>
      <c r="C2342" s="44" t="s">
        <v>2383</v>
      </c>
      <c r="D2342" s="31"/>
      <c r="E2342" s="31"/>
      <c r="F2342" s="31"/>
    </row>
    <row r="2343" spans="1:6" x14ac:dyDescent="0.2">
      <c r="A2343" s="44">
        <v>91673</v>
      </c>
      <c r="B2343" s="43"/>
      <c r="C2343" s="44" t="s">
        <v>2384</v>
      </c>
      <c r="D2343" s="31"/>
      <c r="E2343" s="31"/>
      <c r="F2343" s="31"/>
    </row>
    <row r="2344" spans="1:6" x14ac:dyDescent="0.2">
      <c r="A2344" s="44">
        <v>91674</v>
      </c>
      <c r="B2344" s="43"/>
      <c r="C2344" s="44" t="s">
        <v>2385</v>
      </c>
      <c r="D2344" s="31"/>
      <c r="E2344" s="31"/>
      <c r="F2344" s="31"/>
    </row>
    <row r="2345" spans="1:6" x14ac:dyDescent="0.2">
      <c r="A2345" s="44">
        <v>91675</v>
      </c>
      <c r="B2345" s="43"/>
      <c r="C2345" s="44" t="s">
        <v>2386</v>
      </c>
      <c r="D2345" s="31"/>
      <c r="E2345" s="31"/>
      <c r="F2345" s="31"/>
    </row>
    <row r="2346" spans="1:6" x14ac:dyDescent="0.2">
      <c r="A2346" s="44">
        <v>91676</v>
      </c>
      <c r="B2346" s="43"/>
      <c r="C2346" s="44" t="s">
        <v>2387</v>
      </c>
      <c r="D2346" s="31"/>
      <c r="E2346" s="31"/>
      <c r="F2346" s="31"/>
    </row>
    <row r="2347" spans="1:6" x14ac:dyDescent="0.2">
      <c r="A2347" s="44">
        <v>91678</v>
      </c>
      <c r="B2347" s="44"/>
      <c r="C2347" s="42" t="s">
        <v>2388</v>
      </c>
      <c r="D2347" s="32"/>
      <c r="E2347" s="32"/>
      <c r="F2347" s="32"/>
    </row>
    <row r="2348" spans="1:6" x14ac:dyDescent="0.2">
      <c r="A2348" s="44">
        <v>91708</v>
      </c>
      <c r="B2348" s="43"/>
      <c r="C2348" s="44" t="s">
        <v>2389</v>
      </c>
      <c r="D2348" s="31"/>
      <c r="E2348" s="31"/>
      <c r="F2348" s="31"/>
    </row>
    <row r="2349" spans="1:6" x14ac:dyDescent="0.2">
      <c r="A2349" s="44">
        <v>91709</v>
      </c>
      <c r="B2349" s="43"/>
      <c r="C2349" s="44" t="s">
        <v>2390</v>
      </c>
      <c r="D2349" s="31"/>
      <c r="E2349" s="31"/>
      <c r="F2349" s="31"/>
    </row>
    <row r="2350" spans="1:6" x14ac:dyDescent="0.2">
      <c r="A2350" s="44">
        <v>91710</v>
      </c>
      <c r="B2350" s="43"/>
      <c r="C2350" s="44" t="s">
        <v>2391</v>
      </c>
      <c r="D2350" s="31"/>
      <c r="E2350" s="31"/>
      <c r="F2350" s="31"/>
    </row>
    <row r="2351" spans="1:6" x14ac:dyDescent="0.2">
      <c r="A2351" s="44">
        <v>91711</v>
      </c>
      <c r="B2351" s="43"/>
      <c r="C2351" s="44" t="s">
        <v>2392</v>
      </c>
      <c r="D2351" s="31"/>
      <c r="E2351" s="31"/>
      <c r="F2351" s="31"/>
    </row>
    <row r="2352" spans="1:6" x14ac:dyDescent="0.2">
      <c r="A2352" s="44">
        <v>91712</v>
      </c>
      <c r="B2352" s="43"/>
      <c r="C2352" s="44" t="s">
        <v>2393</v>
      </c>
      <c r="D2352" s="31"/>
      <c r="E2352" s="31"/>
      <c r="F2352" s="31"/>
    </row>
    <row r="2353" spans="1:6" x14ac:dyDescent="0.2">
      <c r="A2353" s="44">
        <v>91713</v>
      </c>
      <c r="B2353" s="43"/>
      <c r="C2353" s="44" t="s">
        <v>2394</v>
      </c>
      <c r="D2353" s="31"/>
      <c r="E2353" s="31"/>
      <c r="F2353" s="31"/>
    </row>
    <row r="2354" spans="1:6" x14ac:dyDescent="0.2">
      <c r="A2354" s="44">
        <v>91714</v>
      </c>
      <c r="B2354" s="43"/>
      <c r="C2354" s="44" t="s">
        <v>2395</v>
      </c>
      <c r="D2354" s="31"/>
      <c r="E2354" s="31"/>
      <c r="F2354" s="31"/>
    </row>
    <row r="2355" spans="1:6" x14ac:dyDescent="0.2">
      <c r="A2355" s="44">
        <v>91715</v>
      </c>
      <c r="B2355" s="43"/>
      <c r="C2355" s="44" t="s">
        <v>2396</v>
      </c>
      <c r="D2355" s="31"/>
      <c r="E2355" s="31"/>
      <c r="F2355" s="31"/>
    </row>
    <row r="2356" spans="1:6" x14ac:dyDescent="0.2">
      <c r="A2356" s="44">
        <v>91716</v>
      </c>
      <c r="B2356" s="43"/>
      <c r="C2356" s="44" t="s">
        <v>2397</v>
      </c>
      <c r="D2356" s="31"/>
      <c r="E2356" s="31"/>
      <c r="F2356" s="31"/>
    </row>
    <row r="2357" spans="1:6" x14ac:dyDescent="0.2">
      <c r="A2357" s="44">
        <v>91717</v>
      </c>
      <c r="B2357" s="43"/>
      <c r="C2357" s="44" t="s">
        <v>2398</v>
      </c>
      <c r="D2357" s="31"/>
      <c r="E2357" s="31"/>
      <c r="F2357" s="31"/>
    </row>
    <row r="2358" spans="1:6" x14ac:dyDescent="0.2">
      <c r="A2358" s="44">
        <v>91718</v>
      </c>
      <c r="B2358" s="43"/>
      <c r="C2358" s="44" t="s">
        <v>2399</v>
      </c>
      <c r="D2358" s="31"/>
      <c r="E2358" s="31"/>
      <c r="F2358" s="31"/>
    </row>
    <row r="2359" spans="1:6" x14ac:dyDescent="0.2">
      <c r="A2359" s="44">
        <v>91719</v>
      </c>
      <c r="B2359" s="43"/>
      <c r="C2359" s="44" t="s">
        <v>2400</v>
      </c>
      <c r="D2359" s="31"/>
      <c r="E2359" s="31"/>
      <c r="F2359" s="31"/>
    </row>
    <row r="2360" spans="1:6" x14ac:dyDescent="0.2">
      <c r="A2360" s="44">
        <v>91720</v>
      </c>
      <c r="B2360" s="43"/>
      <c r="C2360" s="44" t="s">
        <v>2401</v>
      </c>
      <c r="D2360" s="31"/>
      <c r="E2360" s="31"/>
      <c r="F2360" s="31"/>
    </row>
    <row r="2361" spans="1:6" x14ac:dyDescent="0.2">
      <c r="A2361" s="44">
        <v>91721</v>
      </c>
      <c r="B2361" s="43"/>
      <c r="C2361" s="44" t="s">
        <v>2402</v>
      </c>
      <c r="D2361" s="31"/>
      <c r="E2361" s="31"/>
      <c r="F2361" s="31"/>
    </row>
    <row r="2362" spans="1:6" x14ac:dyDescent="0.2">
      <c r="A2362" s="44">
        <v>91722</v>
      </c>
      <c r="B2362" s="43"/>
      <c r="C2362" s="44" t="s">
        <v>2403</v>
      </c>
      <c r="D2362" s="31"/>
      <c r="E2362" s="31"/>
      <c r="F2362" s="31"/>
    </row>
    <row r="2363" spans="1:6" x14ac:dyDescent="0.2">
      <c r="A2363" s="44">
        <v>91723</v>
      </c>
      <c r="B2363" s="43"/>
      <c r="C2363" s="44" t="s">
        <v>2404</v>
      </c>
      <c r="D2363" s="31"/>
      <c r="E2363" s="31"/>
      <c r="F2363" s="31"/>
    </row>
    <row r="2364" spans="1:6" x14ac:dyDescent="0.2">
      <c r="A2364" s="44">
        <v>91724</v>
      </c>
      <c r="B2364" s="43"/>
      <c r="C2364" s="44" t="s">
        <v>2405</v>
      </c>
      <c r="D2364" s="31"/>
      <c r="E2364" s="31"/>
      <c r="F2364" s="31"/>
    </row>
    <row r="2365" spans="1:6" x14ac:dyDescent="0.2">
      <c r="A2365" s="44">
        <v>91725</v>
      </c>
      <c r="B2365" s="43"/>
      <c r="C2365" s="44" t="s">
        <v>2406</v>
      </c>
      <c r="D2365" s="31"/>
      <c r="E2365" s="31"/>
      <c r="F2365" s="31"/>
    </row>
    <row r="2366" spans="1:6" x14ac:dyDescent="0.2">
      <c r="A2366" s="44">
        <v>91726</v>
      </c>
      <c r="B2366" s="43"/>
      <c r="C2366" s="44" t="s">
        <v>2407</v>
      </c>
      <c r="D2366" s="31"/>
      <c r="E2366" s="31"/>
      <c r="F2366" s="31"/>
    </row>
    <row r="2367" spans="1:6" x14ac:dyDescent="0.2">
      <c r="A2367" s="44">
        <v>91727</v>
      </c>
      <c r="B2367" s="43"/>
      <c r="C2367" s="44" t="s">
        <v>2408</v>
      </c>
      <c r="D2367" s="31"/>
      <c r="E2367" s="31"/>
      <c r="F2367" s="31"/>
    </row>
    <row r="2368" spans="1:6" x14ac:dyDescent="0.2">
      <c r="A2368" s="44">
        <v>91759</v>
      </c>
      <c r="B2368" s="43"/>
      <c r="C2368" s="44" t="s">
        <v>2409</v>
      </c>
      <c r="D2368" s="31"/>
      <c r="E2368" s="31"/>
      <c r="F2368" s="31"/>
    </row>
    <row r="2369" spans="1:6" x14ac:dyDescent="0.2">
      <c r="A2369" s="44">
        <v>92108</v>
      </c>
      <c r="B2369" s="43"/>
      <c r="C2369" s="44" t="s">
        <v>2410</v>
      </c>
      <c r="D2369" s="31"/>
      <c r="E2369" s="31"/>
      <c r="F2369" s="31"/>
    </row>
    <row r="2370" spans="1:6" x14ac:dyDescent="0.2">
      <c r="A2370" s="44">
        <v>92109</v>
      </c>
      <c r="B2370" s="43"/>
      <c r="C2370" s="44" t="s">
        <v>2411</v>
      </c>
      <c r="D2370" s="31"/>
      <c r="E2370" s="31"/>
      <c r="F2370" s="31"/>
    </row>
    <row r="2371" spans="1:6" x14ac:dyDescent="0.2">
      <c r="A2371" s="44">
        <v>92110</v>
      </c>
      <c r="B2371" s="43"/>
      <c r="C2371" s="44" t="s">
        <v>2412</v>
      </c>
      <c r="D2371" s="31"/>
      <c r="E2371" s="31"/>
      <c r="F2371" s="31"/>
    </row>
    <row r="2372" spans="1:6" x14ac:dyDescent="0.2">
      <c r="A2372" s="44">
        <v>92111</v>
      </c>
      <c r="B2372" s="43"/>
      <c r="C2372" s="44" t="s">
        <v>2413</v>
      </c>
      <c r="D2372" s="31"/>
      <c r="E2372" s="31"/>
      <c r="F2372" s="31"/>
    </row>
    <row r="2373" spans="1:6" x14ac:dyDescent="0.2">
      <c r="A2373" s="44">
        <v>92112</v>
      </c>
      <c r="B2373" s="43"/>
      <c r="C2373" s="44" t="s">
        <v>2414</v>
      </c>
      <c r="D2373" s="31"/>
      <c r="E2373" s="31"/>
      <c r="F2373" s="31"/>
    </row>
    <row r="2374" spans="1:6" x14ac:dyDescent="0.2">
      <c r="A2374" s="44">
        <v>92113</v>
      </c>
      <c r="B2374" s="43"/>
      <c r="C2374" s="44" t="s">
        <v>2415</v>
      </c>
      <c r="D2374" s="31"/>
      <c r="E2374" s="31"/>
      <c r="F2374" s="31"/>
    </row>
    <row r="2375" spans="1:6" x14ac:dyDescent="0.2">
      <c r="A2375" s="44">
        <v>92114</v>
      </c>
      <c r="B2375" s="43"/>
      <c r="C2375" s="44" t="s">
        <v>2416</v>
      </c>
      <c r="D2375" s="31"/>
      <c r="E2375" s="31"/>
      <c r="F2375" s="31"/>
    </row>
    <row r="2376" spans="1:6" x14ac:dyDescent="0.2">
      <c r="A2376" s="44">
        <v>93000</v>
      </c>
      <c r="B2376" s="43"/>
      <c r="C2376" s="44" t="s">
        <v>2417</v>
      </c>
      <c r="D2376" s="31"/>
      <c r="E2376" s="31"/>
      <c r="F2376" s="31"/>
    </row>
    <row r="2377" spans="1:6" x14ac:dyDescent="0.2">
      <c r="A2377" s="44">
        <v>93001</v>
      </c>
      <c r="B2377" s="43"/>
      <c r="C2377" s="44" t="s">
        <v>2418</v>
      </c>
      <c r="D2377" s="31"/>
      <c r="E2377" s="31"/>
      <c r="F2377" s="31"/>
    </row>
    <row r="2378" spans="1:6" x14ac:dyDescent="0.2">
      <c r="A2378" s="44">
        <v>100592</v>
      </c>
      <c r="B2378" s="43"/>
      <c r="C2378" s="44" t="s">
        <v>2419</v>
      </c>
      <c r="D2378" s="31"/>
      <c r="E2378" s="31"/>
      <c r="F2378" s="31"/>
    </row>
    <row r="2379" spans="1:6" x14ac:dyDescent="0.2">
      <c r="A2379" s="44">
        <v>100593</v>
      </c>
      <c r="B2379" s="43"/>
      <c r="C2379" s="44" t="s">
        <v>2420</v>
      </c>
      <c r="D2379" s="31"/>
      <c r="E2379" s="31"/>
      <c r="F2379" s="31"/>
    </row>
    <row r="2380" spans="1:6" x14ac:dyDescent="0.2">
      <c r="A2380" s="44">
        <v>100594</v>
      </c>
      <c r="B2380" s="43"/>
      <c r="C2380" s="44" t="s">
        <v>2421</v>
      </c>
      <c r="D2380" s="31"/>
      <c r="E2380" s="31"/>
      <c r="F2380" s="31"/>
    </row>
    <row r="2381" spans="1:6" x14ac:dyDescent="0.2">
      <c r="A2381" s="44">
        <v>100595</v>
      </c>
      <c r="B2381" s="43"/>
      <c r="C2381" s="44" t="s">
        <v>2422</v>
      </c>
      <c r="D2381" s="31"/>
      <c r="E2381" s="31"/>
      <c r="F2381" s="31"/>
    </row>
    <row r="2382" spans="1:6" x14ac:dyDescent="0.2">
      <c r="A2382" s="44">
        <v>100596</v>
      </c>
      <c r="B2382" s="43"/>
      <c r="C2382" s="44" t="s">
        <v>2423</v>
      </c>
      <c r="D2382" s="31"/>
      <c r="E2382" s="31"/>
      <c r="F2382" s="31"/>
    </row>
    <row r="2383" spans="1:6" x14ac:dyDescent="0.2">
      <c r="A2383" s="44">
        <v>100597</v>
      </c>
      <c r="B2383" s="43"/>
      <c r="C2383" s="44" t="s">
        <v>2424</v>
      </c>
      <c r="D2383" s="31"/>
      <c r="E2383" s="31"/>
      <c r="F2383" s="31"/>
    </row>
    <row r="2384" spans="1:6" x14ac:dyDescent="0.2">
      <c r="A2384" s="44">
        <v>100598</v>
      </c>
      <c r="B2384" s="43"/>
      <c r="C2384" s="44" t="s">
        <v>2425</v>
      </c>
      <c r="D2384" s="31"/>
      <c r="E2384" s="31"/>
      <c r="F2384" s="31"/>
    </row>
    <row r="2385" spans="1:6" x14ac:dyDescent="0.2">
      <c r="A2385" s="44">
        <v>100599</v>
      </c>
      <c r="B2385" s="43"/>
      <c r="C2385" s="44" t="s">
        <v>2426</v>
      </c>
      <c r="D2385" s="31"/>
      <c r="E2385" s="31"/>
      <c r="F2385" s="31"/>
    </row>
    <row r="2386" spans="1:6" x14ac:dyDescent="0.2">
      <c r="A2386" s="44">
        <v>100600</v>
      </c>
      <c r="B2386" s="43"/>
      <c r="C2386" s="44" t="s">
        <v>2427</v>
      </c>
      <c r="D2386" s="31"/>
      <c r="E2386" s="31"/>
      <c r="F2386" s="31"/>
    </row>
    <row r="2387" spans="1:6" x14ac:dyDescent="0.2">
      <c r="A2387" s="44">
        <v>100601</v>
      </c>
      <c r="B2387" s="43"/>
      <c r="C2387" s="44" t="s">
        <v>2428</v>
      </c>
      <c r="D2387" s="31"/>
      <c r="E2387" s="31"/>
      <c r="F2387" s="31"/>
    </row>
    <row r="2388" spans="1:6" x14ac:dyDescent="0.2">
      <c r="A2388" s="44">
        <v>100602</v>
      </c>
      <c r="B2388" s="43"/>
      <c r="C2388" s="44" t="s">
        <v>2429</v>
      </c>
      <c r="D2388" s="31"/>
      <c r="E2388" s="31"/>
      <c r="F2388" s="31"/>
    </row>
    <row r="2389" spans="1:6" x14ac:dyDescent="0.2">
      <c r="A2389" s="44">
        <v>100603</v>
      </c>
      <c r="B2389" s="43"/>
      <c r="C2389" s="44" t="s">
        <v>2430</v>
      </c>
      <c r="D2389" s="31"/>
      <c r="E2389" s="31"/>
      <c r="F2389" s="31"/>
    </row>
    <row r="2390" spans="1:6" x14ac:dyDescent="0.2">
      <c r="A2390" s="44">
        <v>100604</v>
      </c>
      <c r="B2390" s="43"/>
      <c r="C2390" s="44" t="s">
        <v>2431</v>
      </c>
      <c r="D2390" s="31"/>
      <c r="E2390" s="31"/>
      <c r="F2390" s="31"/>
    </row>
    <row r="2391" spans="1:6" x14ac:dyDescent="0.2">
      <c r="A2391" s="44">
        <v>100605</v>
      </c>
      <c r="B2391" s="43"/>
      <c r="C2391" s="44" t="s">
        <v>2432</v>
      </c>
      <c r="D2391" s="31"/>
      <c r="E2391" s="31"/>
      <c r="F2391" s="31"/>
    </row>
    <row r="2392" spans="1:6" x14ac:dyDescent="0.2">
      <c r="A2392" s="44">
        <v>100606</v>
      </c>
      <c r="B2392" s="43"/>
      <c r="C2392" s="44" t="s">
        <v>2433</v>
      </c>
      <c r="D2392" s="31"/>
      <c r="E2392" s="31"/>
      <c r="F2392" s="31"/>
    </row>
    <row r="2393" spans="1:6" x14ac:dyDescent="0.2">
      <c r="A2393" s="44">
        <v>100607</v>
      </c>
      <c r="B2393" s="43"/>
      <c r="C2393" s="44" t="s">
        <v>2434</v>
      </c>
      <c r="D2393" s="31"/>
      <c r="E2393" s="31"/>
      <c r="F2393" s="31"/>
    </row>
    <row r="2394" spans="1:6" x14ac:dyDescent="0.2">
      <c r="A2394" s="44">
        <v>100608</v>
      </c>
      <c r="B2394" s="43"/>
      <c r="C2394" s="44" t="s">
        <v>2435</v>
      </c>
      <c r="D2394" s="31"/>
      <c r="E2394" s="31"/>
      <c r="F2394" s="31"/>
    </row>
    <row r="2395" spans="1:6" x14ac:dyDescent="0.2">
      <c r="A2395" s="44">
        <v>100609</v>
      </c>
      <c r="B2395" s="43"/>
      <c r="C2395" s="44" t="s">
        <v>2436</v>
      </c>
      <c r="D2395" s="31"/>
      <c r="E2395" s="31"/>
      <c r="F2395" s="31"/>
    </row>
    <row r="2396" spans="1:6" x14ac:dyDescent="0.2">
      <c r="A2396" s="44">
        <v>100610</v>
      </c>
      <c r="B2396" s="43"/>
      <c r="C2396" s="44" t="s">
        <v>2437</v>
      </c>
      <c r="D2396" s="31"/>
      <c r="E2396" s="31"/>
      <c r="F2396" s="31"/>
    </row>
    <row r="2397" spans="1:6" x14ac:dyDescent="0.2">
      <c r="A2397" s="44">
        <v>100611</v>
      </c>
      <c r="B2397" s="43"/>
      <c r="C2397" s="44" t="s">
        <v>2438</v>
      </c>
      <c r="D2397" s="31"/>
      <c r="E2397" s="31"/>
      <c r="F2397" s="31"/>
    </row>
    <row r="2398" spans="1:6" x14ac:dyDescent="0.2">
      <c r="A2398" s="44">
        <v>100612</v>
      </c>
      <c r="B2398" s="43"/>
      <c r="C2398" s="44" t="s">
        <v>2439</v>
      </c>
      <c r="D2398" s="31"/>
      <c r="E2398" s="31"/>
      <c r="F2398" s="31"/>
    </row>
    <row r="2399" spans="1:6" x14ac:dyDescent="0.2">
      <c r="A2399" s="44">
        <v>100613</v>
      </c>
      <c r="B2399" s="43"/>
      <c r="C2399" s="44" t="s">
        <v>2440</v>
      </c>
      <c r="D2399" s="31"/>
      <c r="E2399" s="31"/>
      <c r="F2399" s="31"/>
    </row>
    <row r="2400" spans="1:6" x14ac:dyDescent="0.2">
      <c r="A2400" s="44">
        <v>100614</v>
      </c>
      <c r="B2400" s="43"/>
      <c r="C2400" s="44" t="s">
        <v>2441</v>
      </c>
      <c r="D2400" s="31"/>
      <c r="E2400" s="31"/>
      <c r="F2400" s="31"/>
    </row>
    <row r="2401" spans="1:6" x14ac:dyDescent="0.2">
      <c r="A2401" s="44">
        <v>100615</v>
      </c>
      <c r="B2401" s="43"/>
      <c r="C2401" s="44" t="s">
        <v>2442</v>
      </c>
      <c r="D2401" s="31"/>
      <c r="E2401" s="31"/>
      <c r="F2401" s="31"/>
    </row>
    <row r="2402" spans="1:6" x14ac:dyDescent="0.2">
      <c r="A2402" s="44">
        <v>100616</v>
      </c>
      <c r="B2402" s="43"/>
      <c r="C2402" s="44" t="s">
        <v>2443</v>
      </c>
      <c r="D2402" s="31"/>
      <c r="E2402" s="31"/>
      <c r="F2402" s="31"/>
    </row>
    <row r="2403" spans="1:6" x14ac:dyDescent="0.2">
      <c r="A2403" s="44">
        <v>100617</v>
      </c>
      <c r="B2403" s="43"/>
      <c r="C2403" s="44" t="s">
        <v>2444</v>
      </c>
      <c r="D2403" s="31"/>
      <c r="E2403" s="31"/>
      <c r="F2403" s="31"/>
    </row>
    <row r="2404" spans="1:6" x14ac:dyDescent="0.2">
      <c r="A2404" s="44">
        <v>100618</v>
      </c>
      <c r="B2404" s="43"/>
      <c r="C2404" s="44" t="s">
        <v>2445</v>
      </c>
      <c r="D2404" s="31"/>
      <c r="E2404" s="31"/>
      <c r="F2404" s="31"/>
    </row>
    <row r="2405" spans="1:6" x14ac:dyDescent="0.2">
      <c r="A2405" s="44">
        <v>100619</v>
      </c>
      <c r="B2405" s="43"/>
      <c r="C2405" s="44" t="s">
        <v>2446</v>
      </c>
      <c r="D2405" s="31"/>
      <c r="E2405" s="31"/>
      <c r="F2405" s="31"/>
    </row>
    <row r="2406" spans="1:6" x14ac:dyDescent="0.2">
      <c r="A2406" s="44">
        <v>100620</v>
      </c>
      <c r="B2406" s="43"/>
      <c r="C2406" s="44" t="s">
        <v>2447</v>
      </c>
      <c r="D2406" s="31"/>
      <c r="E2406" s="31"/>
      <c r="F2406" s="31"/>
    </row>
    <row r="2407" spans="1:6" x14ac:dyDescent="0.2">
      <c r="A2407" s="44">
        <v>100621</v>
      </c>
      <c r="B2407" s="43"/>
      <c r="C2407" s="44" t="s">
        <v>2448</v>
      </c>
      <c r="D2407" s="31"/>
      <c r="E2407" s="31"/>
      <c r="F2407" s="31"/>
    </row>
    <row r="2408" spans="1:6" x14ac:dyDescent="0.2">
      <c r="A2408" s="44">
        <v>100622</v>
      </c>
      <c r="B2408" s="43"/>
      <c r="C2408" s="44" t="s">
        <v>2449</v>
      </c>
      <c r="D2408" s="31"/>
      <c r="E2408" s="31"/>
      <c r="F2408" s="31"/>
    </row>
    <row r="2409" spans="1:6" x14ac:dyDescent="0.2">
      <c r="A2409" s="44">
        <v>100623</v>
      </c>
      <c r="B2409" s="43"/>
      <c r="C2409" s="44" t="s">
        <v>2450</v>
      </c>
      <c r="D2409" s="31"/>
      <c r="E2409" s="31"/>
      <c r="F2409" s="31"/>
    </row>
    <row r="2410" spans="1:6" x14ac:dyDescent="0.2">
      <c r="A2410" s="44">
        <v>100624</v>
      </c>
      <c r="B2410" s="43"/>
      <c r="C2410" s="44" t="s">
        <v>2451</v>
      </c>
      <c r="D2410" s="31"/>
      <c r="E2410" s="31"/>
      <c r="F2410" s="31"/>
    </row>
    <row r="2411" spans="1:6" x14ac:dyDescent="0.2">
      <c r="A2411" s="44">
        <v>100625</v>
      </c>
      <c r="B2411" s="43"/>
      <c r="C2411" s="44" t="s">
        <v>2452</v>
      </c>
      <c r="D2411" s="31"/>
      <c r="E2411" s="31"/>
      <c r="F2411" s="31"/>
    </row>
    <row r="2412" spans="1:6" x14ac:dyDescent="0.2">
      <c r="A2412" s="44">
        <v>100626</v>
      </c>
      <c r="B2412" s="43"/>
      <c r="C2412" s="44" t="s">
        <v>2453</v>
      </c>
      <c r="D2412" s="31"/>
      <c r="E2412" s="31"/>
      <c r="F2412" s="31"/>
    </row>
    <row r="2413" spans="1:6" x14ac:dyDescent="0.2">
      <c r="A2413" s="44">
        <v>100627</v>
      </c>
      <c r="B2413" s="43"/>
      <c r="C2413" s="44" t="s">
        <v>2454</v>
      </c>
      <c r="D2413" s="31"/>
      <c r="E2413" s="31"/>
      <c r="F2413" s="31"/>
    </row>
    <row r="2414" spans="1:6" x14ac:dyDescent="0.2">
      <c r="A2414" s="44">
        <v>100628</v>
      </c>
      <c r="B2414" s="43"/>
      <c r="C2414" s="44" t="s">
        <v>2455</v>
      </c>
      <c r="D2414" s="31"/>
      <c r="E2414" s="31"/>
      <c r="F2414" s="31"/>
    </row>
    <row r="2415" spans="1:6" x14ac:dyDescent="0.2">
      <c r="A2415" s="44">
        <v>100629</v>
      </c>
      <c r="B2415" s="43"/>
      <c r="C2415" s="44" t="s">
        <v>2456</v>
      </c>
      <c r="D2415" s="31"/>
      <c r="E2415" s="31"/>
      <c r="F2415" s="31"/>
    </row>
    <row r="2416" spans="1:6" x14ac:dyDescent="0.2">
      <c r="A2416" s="44">
        <v>100630</v>
      </c>
      <c r="B2416" s="43"/>
      <c r="C2416" s="44" t="s">
        <v>2457</v>
      </c>
      <c r="D2416" s="31"/>
      <c r="E2416" s="31"/>
      <c r="F2416" s="31"/>
    </row>
    <row r="2417" spans="1:6" x14ac:dyDescent="0.2">
      <c r="A2417" s="44">
        <v>100631</v>
      </c>
      <c r="B2417" s="43"/>
      <c r="C2417" s="44" t="s">
        <v>2458</v>
      </c>
      <c r="D2417" s="31"/>
      <c r="E2417" s="31"/>
      <c r="F2417" s="31"/>
    </row>
    <row r="2418" spans="1:6" x14ac:dyDescent="0.2">
      <c r="A2418" s="44">
        <v>100632</v>
      </c>
      <c r="B2418" s="43"/>
      <c r="C2418" s="44" t="s">
        <v>2459</v>
      </c>
      <c r="D2418" s="31"/>
      <c r="E2418" s="31"/>
      <c r="F2418" s="31"/>
    </row>
    <row r="2419" spans="1:6" x14ac:dyDescent="0.2">
      <c r="A2419" s="44">
        <v>100633</v>
      </c>
      <c r="B2419" s="43"/>
      <c r="C2419" s="44" t="s">
        <v>2460</v>
      </c>
      <c r="D2419" s="31"/>
      <c r="E2419" s="31"/>
      <c r="F2419" s="31"/>
    </row>
    <row r="2420" spans="1:6" x14ac:dyDescent="0.2">
      <c r="A2420" s="44">
        <v>100634</v>
      </c>
      <c r="B2420" s="43"/>
      <c r="C2420" s="44" t="s">
        <v>2461</v>
      </c>
      <c r="D2420" s="31"/>
      <c r="E2420" s="31"/>
      <c r="F2420" s="31"/>
    </row>
    <row r="2421" spans="1:6" x14ac:dyDescent="0.2">
      <c r="A2421" s="44">
        <v>100635</v>
      </c>
      <c r="B2421" s="43"/>
      <c r="C2421" s="44" t="s">
        <v>2462</v>
      </c>
      <c r="D2421" s="31"/>
      <c r="E2421" s="31"/>
      <c r="F2421" s="31"/>
    </row>
    <row r="2422" spans="1:6" x14ac:dyDescent="0.2">
      <c r="A2422" s="44">
        <v>100636</v>
      </c>
      <c r="B2422" s="43"/>
      <c r="C2422" s="44" t="s">
        <v>2463</v>
      </c>
      <c r="D2422" s="31"/>
      <c r="E2422" s="31"/>
      <c r="F2422" s="31"/>
    </row>
    <row r="2423" spans="1:6" x14ac:dyDescent="0.2">
      <c r="A2423" s="44">
        <v>100637</v>
      </c>
      <c r="B2423" s="43"/>
      <c r="C2423" s="44" t="s">
        <v>2464</v>
      </c>
      <c r="D2423" s="31"/>
      <c r="E2423" s="31"/>
      <c r="F2423" s="31"/>
    </row>
    <row r="2424" spans="1:6" x14ac:dyDescent="0.2">
      <c r="A2424" s="44">
        <v>100638</v>
      </c>
      <c r="B2424" s="43"/>
      <c r="C2424" s="44" t="s">
        <v>2465</v>
      </c>
      <c r="D2424" s="31"/>
      <c r="E2424" s="31"/>
      <c r="F2424" s="31"/>
    </row>
    <row r="2425" spans="1:6" x14ac:dyDescent="0.2">
      <c r="A2425" s="44">
        <v>100639</v>
      </c>
      <c r="B2425" s="43"/>
      <c r="C2425" s="44" t="s">
        <v>2466</v>
      </c>
      <c r="D2425" s="31"/>
      <c r="E2425" s="31"/>
      <c r="F2425" s="31"/>
    </row>
    <row r="2426" spans="1:6" x14ac:dyDescent="0.2">
      <c r="A2426" s="44">
        <v>100640</v>
      </c>
      <c r="B2426" s="43"/>
      <c r="C2426" s="44" t="s">
        <v>2467</v>
      </c>
      <c r="D2426" s="31"/>
      <c r="E2426" s="31"/>
      <c r="F2426" s="31"/>
    </row>
    <row r="2427" spans="1:6" x14ac:dyDescent="0.2">
      <c r="A2427" s="44">
        <v>100641</v>
      </c>
      <c r="B2427" s="43"/>
      <c r="C2427" s="44" t="s">
        <v>2468</v>
      </c>
      <c r="D2427" s="31"/>
      <c r="E2427" s="31"/>
      <c r="F2427" s="31"/>
    </row>
    <row r="2428" spans="1:6" x14ac:dyDescent="0.2">
      <c r="A2428" s="44">
        <v>100642</v>
      </c>
      <c r="B2428" s="43"/>
      <c r="C2428" s="44" t="s">
        <v>2469</v>
      </c>
      <c r="D2428" s="31"/>
      <c r="E2428" s="31"/>
      <c r="F2428" s="31"/>
    </row>
    <row r="2429" spans="1:6" x14ac:dyDescent="0.2">
      <c r="A2429" s="44">
        <v>100643</v>
      </c>
      <c r="B2429" s="43"/>
      <c r="C2429" s="44" t="s">
        <v>2470</v>
      </c>
      <c r="D2429" s="31"/>
      <c r="E2429" s="31"/>
      <c r="F2429" s="31"/>
    </row>
    <row r="2430" spans="1:6" x14ac:dyDescent="0.2">
      <c r="A2430" s="44">
        <v>100645</v>
      </c>
      <c r="B2430" s="43"/>
      <c r="C2430" s="44" t="s">
        <v>2471</v>
      </c>
      <c r="D2430" s="31"/>
      <c r="E2430" s="31"/>
      <c r="F2430" s="31"/>
    </row>
    <row r="2431" spans="1:6" x14ac:dyDescent="0.2">
      <c r="A2431" s="44">
        <v>100646</v>
      </c>
      <c r="B2431" s="43"/>
      <c r="C2431" s="44" t="s">
        <v>2472</v>
      </c>
      <c r="D2431" s="31"/>
      <c r="E2431" s="31"/>
      <c r="F2431" s="31"/>
    </row>
    <row r="2432" spans="1:6" x14ac:dyDescent="0.2">
      <c r="A2432" s="44">
        <v>100647</v>
      </c>
      <c r="B2432" s="43"/>
      <c r="C2432" s="44" t="s">
        <v>2473</v>
      </c>
      <c r="D2432" s="31"/>
      <c r="E2432" s="31"/>
      <c r="F2432" s="31"/>
    </row>
    <row r="2433" spans="1:6" x14ac:dyDescent="0.2">
      <c r="A2433" s="44">
        <v>100653</v>
      </c>
      <c r="B2433" s="43"/>
      <c r="C2433" s="44" t="s">
        <v>2474</v>
      </c>
      <c r="D2433" s="31"/>
      <c r="E2433" s="31"/>
      <c r="F2433" s="31"/>
    </row>
    <row r="2434" spans="1:6" x14ac:dyDescent="0.2">
      <c r="A2434" s="44">
        <v>100654</v>
      </c>
      <c r="B2434" s="43"/>
      <c r="C2434" s="44" t="s">
        <v>2475</v>
      </c>
      <c r="D2434" s="31"/>
      <c r="E2434" s="31"/>
      <c r="F2434" s="31"/>
    </row>
    <row r="2435" spans="1:6" x14ac:dyDescent="0.2">
      <c r="A2435" s="44">
        <v>100656</v>
      </c>
      <c r="B2435" s="43"/>
      <c r="C2435" s="44" t="s">
        <v>2476</v>
      </c>
      <c r="D2435" s="31"/>
      <c r="E2435" s="31"/>
      <c r="F2435" s="31"/>
    </row>
    <row r="2436" spans="1:6" x14ac:dyDescent="0.2">
      <c r="A2436" s="44">
        <v>100657</v>
      </c>
      <c r="B2436" s="43"/>
      <c r="C2436" s="44" t="s">
        <v>2477</v>
      </c>
      <c r="D2436" s="31"/>
      <c r="E2436" s="31"/>
      <c r="F2436" s="31"/>
    </row>
    <row r="2437" spans="1:6" x14ac:dyDescent="0.2">
      <c r="A2437" s="44">
        <v>100658</v>
      </c>
      <c r="B2437" s="43"/>
      <c r="C2437" s="44" t="s">
        <v>2478</v>
      </c>
      <c r="D2437" s="31"/>
      <c r="E2437" s="31"/>
      <c r="F2437" s="31"/>
    </row>
    <row r="2438" spans="1:6" x14ac:dyDescent="0.2">
      <c r="A2438" s="44">
        <v>100659</v>
      </c>
      <c r="B2438" s="43"/>
      <c r="C2438" s="44" t="s">
        <v>2479</v>
      </c>
      <c r="D2438" s="31"/>
      <c r="E2438" s="31"/>
      <c r="F2438" s="31"/>
    </row>
    <row r="2439" spans="1:6" x14ac:dyDescent="0.2">
      <c r="A2439" s="44">
        <v>100661</v>
      </c>
      <c r="B2439" s="43"/>
      <c r="C2439" s="44" t="s">
        <v>2480</v>
      </c>
      <c r="D2439" s="31"/>
      <c r="E2439" s="31"/>
      <c r="F2439" s="31"/>
    </row>
    <row r="2440" spans="1:6" x14ac:dyDescent="0.2">
      <c r="A2440" s="44">
        <v>100662</v>
      </c>
      <c r="B2440" s="43"/>
      <c r="C2440" s="44" t="s">
        <v>2481</v>
      </c>
      <c r="D2440" s="31"/>
      <c r="E2440" s="31"/>
      <c r="F2440" s="31"/>
    </row>
    <row r="2441" spans="1:6" x14ac:dyDescent="0.2">
      <c r="A2441" s="44">
        <v>100663</v>
      </c>
      <c r="B2441" s="43"/>
      <c r="C2441" s="44" t="s">
        <v>2482</v>
      </c>
      <c r="D2441" s="31"/>
      <c r="E2441" s="31"/>
      <c r="F2441" s="31"/>
    </row>
    <row r="2442" spans="1:6" x14ac:dyDescent="0.2">
      <c r="A2442" s="44">
        <v>100669</v>
      </c>
      <c r="B2442" s="43"/>
      <c r="C2442" s="44" t="s">
        <v>2483</v>
      </c>
      <c r="D2442" s="31"/>
      <c r="E2442" s="31"/>
      <c r="F2442" s="31"/>
    </row>
    <row r="2443" spans="1:6" x14ac:dyDescent="0.2">
      <c r="A2443" s="44">
        <v>100670</v>
      </c>
      <c r="B2443" s="43"/>
      <c r="C2443" s="44" t="s">
        <v>2475</v>
      </c>
      <c r="D2443" s="31"/>
      <c r="E2443" s="31"/>
      <c r="F2443" s="31"/>
    </row>
    <row r="2444" spans="1:6" x14ac:dyDescent="0.2">
      <c r="A2444" s="44">
        <v>100736</v>
      </c>
      <c r="B2444" s="43"/>
      <c r="C2444" s="44" t="s">
        <v>2484</v>
      </c>
      <c r="D2444" s="31"/>
      <c r="E2444" s="31"/>
      <c r="F2444" s="31"/>
    </row>
    <row r="2445" spans="1:6" x14ac:dyDescent="0.2">
      <c r="A2445" s="44">
        <v>100737</v>
      </c>
      <c r="B2445" s="43"/>
      <c r="C2445" s="44" t="s">
        <v>2485</v>
      </c>
      <c r="D2445" s="31"/>
      <c r="E2445" s="31"/>
      <c r="F2445" s="31"/>
    </row>
    <row r="2446" spans="1:6" x14ac:dyDescent="0.2">
      <c r="A2446" s="44">
        <v>100738</v>
      </c>
      <c r="B2446" s="43"/>
      <c r="C2446" s="44" t="s">
        <v>2486</v>
      </c>
      <c r="D2446" s="31"/>
      <c r="E2446" s="31"/>
      <c r="F2446" s="31"/>
    </row>
    <row r="2447" spans="1:6" x14ac:dyDescent="0.2">
      <c r="A2447" s="44">
        <v>100739</v>
      </c>
      <c r="B2447" s="43"/>
      <c r="C2447" s="44" t="s">
        <v>2487</v>
      </c>
      <c r="D2447" s="31"/>
      <c r="E2447" s="31"/>
      <c r="F2447" s="31"/>
    </row>
    <row r="2448" spans="1:6" x14ac:dyDescent="0.2">
      <c r="A2448" s="44">
        <v>100740</v>
      </c>
      <c r="B2448" s="43"/>
      <c r="C2448" s="44" t="s">
        <v>2488</v>
      </c>
      <c r="D2448" s="31"/>
      <c r="E2448" s="31"/>
      <c r="F2448" s="31"/>
    </row>
    <row r="2449" spans="1:6" x14ac:dyDescent="0.2">
      <c r="A2449" s="44">
        <v>100741</v>
      </c>
      <c r="B2449" s="43"/>
      <c r="C2449" s="44" t="s">
        <v>2489</v>
      </c>
      <c r="D2449" s="31"/>
      <c r="E2449" s="31"/>
      <c r="F2449" s="31"/>
    </row>
    <row r="2450" spans="1:6" x14ac:dyDescent="0.2">
      <c r="A2450" s="44">
        <v>100742</v>
      </c>
      <c r="B2450" s="43"/>
      <c r="C2450" s="44" t="s">
        <v>2490</v>
      </c>
      <c r="D2450" s="31"/>
      <c r="E2450" s="31"/>
      <c r="F2450" s="31"/>
    </row>
    <row r="2451" spans="1:6" x14ac:dyDescent="0.2">
      <c r="A2451" s="44">
        <v>100743</v>
      </c>
      <c r="B2451" s="43"/>
      <c r="C2451" s="44" t="s">
        <v>2491</v>
      </c>
      <c r="D2451" s="31"/>
      <c r="E2451" s="31"/>
      <c r="F2451" s="31"/>
    </row>
    <row r="2452" spans="1:6" x14ac:dyDescent="0.2">
      <c r="A2452" s="44">
        <v>100744</v>
      </c>
      <c r="B2452" s="43"/>
      <c r="C2452" s="44" t="s">
        <v>2492</v>
      </c>
      <c r="D2452" s="31"/>
      <c r="E2452" s="31"/>
      <c r="F2452" s="31"/>
    </row>
    <row r="2453" spans="1:6" x14ac:dyDescent="0.2">
      <c r="A2453" s="44">
        <v>100745</v>
      </c>
      <c r="B2453" s="43"/>
      <c r="C2453" s="44" t="s">
        <v>2493</v>
      </c>
      <c r="D2453" s="31"/>
      <c r="E2453" s="31"/>
      <c r="F2453" s="31"/>
    </row>
    <row r="2454" spans="1:6" x14ac:dyDescent="0.2">
      <c r="A2454" s="44">
        <v>100746</v>
      </c>
      <c r="B2454" s="43"/>
      <c r="C2454" s="44" t="s">
        <v>2494</v>
      </c>
      <c r="D2454" s="31"/>
      <c r="E2454" s="31"/>
      <c r="F2454" s="31"/>
    </row>
    <row r="2455" spans="1:6" x14ac:dyDescent="0.2">
      <c r="A2455" s="44">
        <v>100747</v>
      </c>
      <c r="B2455" s="43"/>
      <c r="C2455" s="44" t="s">
        <v>2495</v>
      </c>
      <c r="D2455" s="31"/>
      <c r="E2455" s="31"/>
      <c r="F2455" s="31"/>
    </row>
    <row r="2456" spans="1:6" x14ac:dyDescent="0.2">
      <c r="A2456" s="44">
        <v>100760</v>
      </c>
      <c r="B2456" s="43"/>
      <c r="C2456" s="44" t="s">
        <v>2496</v>
      </c>
      <c r="D2456" s="31"/>
      <c r="E2456" s="31"/>
      <c r="F2456" s="31"/>
    </row>
    <row r="2457" spans="1:6" x14ac:dyDescent="0.2">
      <c r="A2457" s="44">
        <v>100761</v>
      </c>
      <c r="B2457" s="43"/>
      <c r="C2457" s="44" t="s">
        <v>2497</v>
      </c>
      <c r="D2457" s="31"/>
      <c r="E2457" s="31"/>
      <c r="F2457" s="31"/>
    </row>
    <row r="2458" spans="1:6" x14ac:dyDescent="0.2">
      <c r="A2458" s="44">
        <v>100762</v>
      </c>
      <c r="B2458" s="43"/>
      <c r="C2458" s="44" t="s">
        <v>2498</v>
      </c>
      <c r="D2458" s="31"/>
      <c r="E2458" s="31"/>
      <c r="F2458" s="31"/>
    </row>
    <row r="2459" spans="1:6" x14ac:dyDescent="0.2">
      <c r="A2459" s="44">
        <v>101592</v>
      </c>
      <c r="B2459" s="43"/>
      <c r="C2459" s="44" t="s">
        <v>2499</v>
      </c>
      <c r="D2459" s="31"/>
      <c r="E2459" s="31"/>
      <c r="F2459" s="31"/>
    </row>
    <row r="2460" spans="1:6" x14ac:dyDescent="0.2">
      <c r="A2460" s="44">
        <v>101593</v>
      </c>
      <c r="B2460" s="43"/>
      <c r="C2460" s="44" t="s">
        <v>2500</v>
      </c>
      <c r="D2460" s="31"/>
      <c r="E2460" s="31"/>
      <c r="F2460" s="31"/>
    </row>
    <row r="2461" spans="1:6" x14ac:dyDescent="0.2">
      <c r="A2461" s="44">
        <v>101594</v>
      </c>
      <c r="B2461" s="43"/>
      <c r="C2461" s="44" t="s">
        <v>2501</v>
      </c>
      <c r="D2461" s="31"/>
      <c r="E2461" s="31"/>
      <c r="F2461" s="31"/>
    </row>
    <row r="2462" spans="1:6" x14ac:dyDescent="0.2">
      <c r="A2462" s="44">
        <v>101595</v>
      </c>
      <c r="B2462" s="43"/>
      <c r="C2462" s="44" t="s">
        <v>2502</v>
      </c>
      <c r="D2462" s="31"/>
      <c r="E2462" s="31"/>
      <c r="F2462" s="31"/>
    </row>
    <row r="2463" spans="1:6" x14ac:dyDescent="0.2">
      <c r="A2463" s="44">
        <v>101596</v>
      </c>
      <c r="B2463" s="43"/>
      <c r="C2463" s="44" t="s">
        <v>2503</v>
      </c>
      <c r="D2463" s="31"/>
      <c r="E2463" s="31"/>
      <c r="F2463" s="31"/>
    </row>
    <row r="2464" spans="1:6" x14ac:dyDescent="0.2">
      <c r="A2464" s="44">
        <v>101597</v>
      </c>
      <c r="B2464" s="43"/>
      <c r="C2464" s="44" t="s">
        <v>2504</v>
      </c>
      <c r="D2464" s="31"/>
      <c r="E2464" s="31"/>
      <c r="F2464" s="31"/>
    </row>
    <row r="2465" spans="1:6" x14ac:dyDescent="0.2">
      <c r="A2465" s="44">
        <v>101598</v>
      </c>
      <c r="B2465" s="43"/>
      <c r="C2465" s="44" t="s">
        <v>2505</v>
      </c>
      <c r="D2465" s="31"/>
      <c r="E2465" s="31"/>
      <c r="F2465" s="31"/>
    </row>
    <row r="2466" spans="1:6" x14ac:dyDescent="0.2">
      <c r="A2466" s="44">
        <v>101599</v>
      </c>
      <c r="B2466" s="43"/>
      <c r="C2466" s="44" t="s">
        <v>2506</v>
      </c>
      <c r="D2466" s="31"/>
      <c r="E2466" s="31"/>
      <c r="F2466" s="31"/>
    </row>
    <row r="2467" spans="1:6" x14ac:dyDescent="0.2">
      <c r="A2467" s="44">
        <v>101600</v>
      </c>
      <c r="B2467" s="43"/>
      <c r="C2467" s="44" t="s">
        <v>2507</v>
      </c>
      <c r="D2467" s="31"/>
      <c r="E2467" s="31"/>
      <c r="F2467" s="31"/>
    </row>
    <row r="2468" spans="1:6" x14ac:dyDescent="0.2">
      <c r="A2468" s="44">
        <v>101601</v>
      </c>
      <c r="B2468" s="43"/>
      <c r="C2468" s="44" t="s">
        <v>2508</v>
      </c>
      <c r="D2468" s="31"/>
      <c r="E2468" s="31"/>
      <c r="F2468" s="31"/>
    </row>
    <row r="2469" spans="1:6" x14ac:dyDescent="0.2">
      <c r="A2469" s="44">
        <v>101602</v>
      </c>
      <c r="B2469" s="43"/>
      <c r="C2469" s="44" t="s">
        <v>2509</v>
      </c>
      <c r="D2469" s="31"/>
      <c r="E2469" s="31"/>
      <c r="F2469" s="31"/>
    </row>
    <row r="2470" spans="1:6" x14ac:dyDescent="0.2">
      <c r="A2470" s="44">
        <v>101603</v>
      </c>
      <c r="B2470" s="43"/>
      <c r="C2470" s="44" t="s">
        <v>2510</v>
      </c>
      <c r="D2470" s="31"/>
      <c r="E2470" s="31"/>
      <c r="F2470" s="31"/>
    </row>
    <row r="2471" spans="1:6" x14ac:dyDescent="0.2">
      <c r="A2471" s="44">
        <v>101604</v>
      </c>
      <c r="B2471" s="43"/>
      <c r="C2471" s="44" t="s">
        <v>2511</v>
      </c>
      <c r="D2471" s="31"/>
      <c r="E2471" s="31"/>
      <c r="F2471" s="31"/>
    </row>
    <row r="2472" spans="1:6" x14ac:dyDescent="0.2">
      <c r="A2472" s="44">
        <v>101605</v>
      </c>
      <c r="B2472" s="43"/>
      <c r="C2472" s="44" t="s">
        <v>2512</v>
      </c>
      <c r="D2472" s="31"/>
      <c r="E2472" s="31"/>
      <c r="F2472" s="31"/>
    </row>
    <row r="2473" spans="1:6" x14ac:dyDescent="0.2">
      <c r="A2473" s="44">
        <v>101606</v>
      </c>
      <c r="B2473" s="43"/>
      <c r="C2473" s="44" t="s">
        <v>2513</v>
      </c>
      <c r="D2473" s="31"/>
      <c r="E2473" s="31"/>
      <c r="F2473" s="31"/>
    </row>
    <row r="2474" spans="1:6" x14ac:dyDescent="0.2">
      <c r="A2474" s="44">
        <v>101607</v>
      </c>
      <c r="B2474" s="43"/>
      <c r="C2474" s="44" t="s">
        <v>2514</v>
      </c>
      <c r="D2474" s="31"/>
      <c r="E2474" s="31"/>
      <c r="F2474" s="31"/>
    </row>
    <row r="2475" spans="1:6" x14ac:dyDescent="0.2">
      <c r="A2475" s="44">
        <v>101608</v>
      </c>
      <c r="B2475" s="43"/>
      <c r="C2475" s="44" t="s">
        <v>2515</v>
      </c>
      <c r="D2475" s="31"/>
      <c r="E2475" s="31"/>
      <c r="F2475" s="31"/>
    </row>
    <row r="2476" spans="1:6" x14ac:dyDescent="0.2">
      <c r="A2476" s="44">
        <v>101609</v>
      </c>
      <c r="B2476" s="43"/>
      <c r="C2476" s="44" t="s">
        <v>2516</v>
      </c>
      <c r="D2476" s="31"/>
      <c r="E2476" s="31"/>
      <c r="F2476" s="31"/>
    </row>
    <row r="2477" spans="1:6" x14ac:dyDescent="0.2">
      <c r="A2477" s="44">
        <v>101610</v>
      </c>
      <c r="B2477" s="43"/>
      <c r="C2477" s="44" t="s">
        <v>2517</v>
      </c>
      <c r="D2477" s="31"/>
      <c r="E2477" s="31"/>
      <c r="F2477" s="31"/>
    </row>
    <row r="2478" spans="1:6" x14ac:dyDescent="0.2">
      <c r="A2478" s="44">
        <v>101611</v>
      </c>
      <c r="B2478" s="43"/>
      <c r="C2478" s="44" t="s">
        <v>2518</v>
      </c>
      <c r="D2478" s="31"/>
      <c r="E2478" s="31"/>
      <c r="F2478" s="31"/>
    </row>
    <row r="2479" spans="1:6" x14ac:dyDescent="0.2">
      <c r="A2479" s="44">
        <v>101612</v>
      </c>
      <c r="B2479" s="43"/>
      <c r="C2479" s="44" t="s">
        <v>2519</v>
      </c>
      <c r="D2479" s="31"/>
      <c r="E2479" s="31"/>
      <c r="F2479" s="31"/>
    </row>
    <row r="2480" spans="1:6" x14ac:dyDescent="0.2">
      <c r="A2480" s="44">
        <v>101613</v>
      </c>
      <c r="B2480" s="43"/>
      <c r="C2480" s="44" t="s">
        <v>2520</v>
      </c>
      <c r="D2480" s="31"/>
      <c r="E2480" s="31"/>
      <c r="F2480" s="31"/>
    </row>
    <row r="2481" spans="1:6" x14ac:dyDescent="0.2">
      <c r="A2481" s="44">
        <v>101614</v>
      </c>
      <c r="B2481" s="43"/>
      <c r="C2481" s="44" t="s">
        <v>2521</v>
      </c>
      <c r="D2481" s="31"/>
      <c r="E2481" s="31"/>
      <c r="F2481" s="31"/>
    </row>
    <row r="2482" spans="1:6" x14ac:dyDescent="0.2">
      <c r="A2482" s="44">
        <v>101615</v>
      </c>
      <c r="B2482" s="43"/>
      <c r="C2482" s="44" t="s">
        <v>2522</v>
      </c>
      <c r="D2482" s="31"/>
      <c r="E2482" s="31"/>
      <c r="F2482" s="31"/>
    </row>
    <row r="2483" spans="1:6" x14ac:dyDescent="0.2">
      <c r="A2483" s="44">
        <v>101616</v>
      </c>
      <c r="B2483" s="43"/>
      <c r="C2483" s="44" t="s">
        <v>2523</v>
      </c>
      <c r="D2483" s="31"/>
      <c r="E2483" s="31"/>
      <c r="F2483" s="31"/>
    </row>
    <row r="2484" spans="1:6" x14ac:dyDescent="0.2">
      <c r="A2484" s="44">
        <v>101617</v>
      </c>
      <c r="B2484" s="43"/>
      <c r="C2484" s="44" t="s">
        <v>2524</v>
      </c>
      <c r="D2484" s="31"/>
      <c r="E2484" s="31"/>
      <c r="F2484" s="31"/>
    </row>
    <row r="2485" spans="1:6" x14ac:dyDescent="0.2">
      <c r="A2485" s="44">
        <v>101618</v>
      </c>
      <c r="B2485" s="43"/>
      <c r="C2485" s="44" t="s">
        <v>2525</v>
      </c>
      <c r="D2485" s="31"/>
      <c r="E2485" s="31"/>
      <c r="F2485" s="31"/>
    </row>
    <row r="2486" spans="1:6" x14ac:dyDescent="0.2">
      <c r="A2486" s="44">
        <v>101619</v>
      </c>
      <c r="B2486" s="43"/>
      <c r="C2486" s="44" t="s">
        <v>2526</v>
      </c>
      <c r="D2486" s="31"/>
      <c r="E2486" s="31"/>
      <c r="F2486" s="31"/>
    </row>
    <row r="2487" spans="1:6" x14ac:dyDescent="0.2">
      <c r="A2487" s="44">
        <v>101620</v>
      </c>
      <c r="B2487" s="43"/>
      <c r="C2487" s="44" t="s">
        <v>2527</v>
      </c>
      <c r="D2487" s="31"/>
      <c r="E2487" s="31"/>
      <c r="F2487" s="31"/>
    </row>
    <row r="2488" spans="1:6" x14ac:dyDescent="0.2">
      <c r="A2488" s="44">
        <v>101621</v>
      </c>
      <c r="B2488" s="43"/>
      <c r="C2488" s="44" t="s">
        <v>2528</v>
      </c>
      <c r="D2488" s="31"/>
      <c r="E2488" s="31"/>
      <c r="F2488" s="31"/>
    </row>
    <row r="2489" spans="1:6" x14ac:dyDescent="0.2">
      <c r="A2489" s="44">
        <v>101622</v>
      </c>
      <c r="B2489" s="43"/>
      <c r="C2489" s="44" t="s">
        <v>2529</v>
      </c>
      <c r="D2489" s="31"/>
      <c r="E2489" s="31"/>
      <c r="F2489" s="31"/>
    </row>
    <row r="2490" spans="1:6" x14ac:dyDescent="0.2">
      <c r="A2490" s="44">
        <v>101623</v>
      </c>
      <c r="B2490" s="43"/>
      <c r="C2490" s="44" t="s">
        <v>2530</v>
      </c>
      <c r="D2490" s="31"/>
      <c r="E2490" s="31"/>
      <c r="F2490" s="31"/>
    </row>
    <row r="2491" spans="1:6" x14ac:dyDescent="0.2">
      <c r="A2491" s="44">
        <v>101624</v>
      </c>
      <c r="B2491" s="43"/>
      <c r="C2491" s="44" t="s">
        <v>2531</v>
      </c>
      <c r="D2491" s="31"/>
      <c r="E2491" s="31"/>
      <c r="F2491" s="31"/>
    </row>
    <row r="2492" spans="1:6" x14ac:dyDescent="0.2">
      <c r="A2492" s="44">
        <v>101625</v>
      </c>
      <c r="B2492" s="43"/>
      <c r="C2492" s="44" t="s">
        <v>2532</v>
      </c>
      <c r="D2492" s="31"/>
      <c r="E2492" s="31"/>
      <c r="F2492" s="31"/>
    </row>
    <row r="2493" spans="1:6" x14ac:dyDescent="0.2">
      <c r="A2493" s="44">
        <v>101626</v>
      </c>
      <c r="B2493" s="43"/>
      <c r="C2493" s="44" t="s">
        <v>2533</v>
      </c>
      <c r="D2493" s="31"/>
      <c r="E2493" s="31"/>
      <c r="F2493" s="31"/>
    </row>
    <row r="2494" spans="1:6" x14ac:dyDescent="0.2">
      <c r="A2494" s="44">
        <v>101627</v>
      </c>
      <c r="B2494" s="43"/>
      <c r="C2494" s="44" t="s">
        <v>2534</v>
      </c>
      <c r="D2494" s="31"/>
      <c r="E2494" s="31"/>
      <c r="F2494" s="31"/>
    </row>
    <row r="2495" spans="1:6" x14ac:dyDescent="0.2">
      <c r="A2495" s="44">
        <v>101628</v>
      </c>
      <c r="B2495" s="43"/>
      <c r="C2495" s="44" t="s">
        <v>2535</v>
      </c>
      <c r="D2495" s="31"/>
      <c r="E2495" s="31"/>
      <c r="F2495" s="31"/>
    </row>
    <row r="2496" spans="1:6" x14ac:dyDescent="0.2">
      <c r="A2496" s="44">
        <v>101629</v>
      </c>
      <c r="B2496" s="43"/>
      <c r="C2496" s="44" t="s">
        <v>2536</v>
      </c>
      <c r="D2496" s="31"/>
      <c r="E2496" s="31"/>
      <c r="F2496" s="31"/>
    </row>
    <row r="2497" spans="1:6" x14ac:dyDescent="0.2">
      <c r="A2497" s="44">
        <v>101630</v>
      </c>
      <c r="B2497" s="43"/>
      <c r="C2497" s="44" t="s">
        <v>2537</v>
      </c>
      <c r="D2497" s="31"/>
      <c r="E2497" s="31"/>
      <c r="F2497" s="31"/>
    </row>
    <row r="2498" spans="1:6" x14ac:dyDescent="0.2">
      <c r="A2498" s="44">
        <v>101631</v>
      </c>
      <c r="B2498" s="43"/>
      <c r="C2498" s="44" t="s">
        <v>2538</v>
      </c>
      <c r="D2498" s="31"/>
      <c r="E2498" s="31"/>
      <c r="F2498" s="31"/>
    </row>
    <row r="2499" spans="1:6" x14ac:dyDescent="0.2">
      <c r="A2499" s="44">
        <v>101632</v>
      </c>
      <c r="B2499" s="43"/>
      <c r="C2499" s="44" t="s">
        <v>2539</v>
      </c>
      <c r="D2499" s="31"/>
      <c r="E2499" s="31"/>
      <c r="F2499" s="31"/>
    </row>
    <row r="2500" spans="1:6" x14ac:dyDescent="0.2">
      <c r="A2500" s="44">
        <v>101633</v>
      </c>
      <c r="B2500" s="43"/>
      <c r="C2500" s="44" t="s">
        <v>2540</v>
      </c>
      <c r="D2500" s="31"/>
      <c r="E2500" s="31"/>
      <c r="F2500" s="31"/>
    </row>
    <row r="2501" spans="1:6" x14ac:dyDescent="0.2">
      <c r="A2501" s="44">
        <v>101634</v>
      </c>
      <c r="B2501" s="43"/>
      <c r="C2501" s="44" t="s">
        <v>2541</v>
      </c>
      <c r="D2501" s="31"/>
      <c r="E2501" s="31"/>
      <c r="F2501" s="31"/>
    </row>
    <row r="2502" spans="1:6" x14ac:dyDescent="0.2">
      <c r="A2502" s="44">
        <v>101635</v>
      </c>
      <c r="B2502" s="43"/>
      <c r="C2502" s="44" t="s">
        <v>2542</v>
      </c>
      <c r="D2502" s="31"/>
      <c r="E2502" s="31"/>
      <c r="F2502" s="31"/>
    </row>
    <row r="2503" spans="1:6" x14ac:dyDescent="0.2">
      <c r="A2503" s="44">
        <v>101636</v>
      </c>
      <c r="B2503" s="43"/>
      <c r="C2503" s="44" t="s">
        <v>2543</v>
      </c>
      <c r="D2503" s="31"/>
      <c r="E2503" s="31"/>
      <c r="F2503" s="31"/>
    </row>
    <row r="2504" spans="1:6" x14ac:dyDescent="0.2">
      <c r="A2504" s="44">
        <v>101637</v>
      </c>
      <c r="B2504" s="43"/>
      <c r="C2504" s="44" t="s">
        <v>2544</v>
      </c>
      <c r="D2504" s="31"/>
      <c r="E2504" s="31"/>
      <c r="F2504" s="31"/>
    </row>
    <row r="2505" spans="1:6" x14ac:dyDescent="0.2">
      <c r="A2505" s="44">
        <v>101638</v>
      </c>
      <c r="B2505" s="43"/>
      <c r="C2505" s="44" t="s">
        <v>2545</v>
      </c>
      <c r="D2505" s="31"/>
      <c r="E2505" s="31"/>
      <c r="F2505" s="31"/>
    </row>
    <row r="2506" spans="1:6" x14ac:dyDescent="0.2">
      <c r="A2506" s="44">
        <v>101639</v>
      </c>
      <c r="B2506" s="43"/>
      <c r="C2506" s="44" t="s">
        <v>2546</v>
      </c>
      <c r="D2506" s="31"/>
      <c r="E2506" s="31"/>
      <c r="F2506" s="31"/>
    </row>
    <row r="2507" spans="1:6" x14ac:dyDescent="0.2">
      <c r="A2507" s="44">
        <v>101640</v>
      </c>
      <c r="B2507" s="43"/>
      <c r="C2507" s="44" t="s">
        <v>2547</v>
      </c>
      <c r="D2507" s="31"/>
      <c r="E2507" s="31"/>
      <c r="F2507" s="31"/>
    </row>
    <row r="2508" spans="1:6" x14ac:dyDescent="0.2">
      <c r="A2508" s="44">
        <v>101641</v>
      </c>
      <c r="B2508" s="43"/>
      <c r="C2508" s="44" t="s">
        <v>2548</v>
      </c>
      <c r="D2508" s="31"/>
      <c r="E2508" s="31"/>
      <c r="F2508" s="31"/>
    </row>
    <row r="2509" spans="1:6" x14ac:dyDescent="0.2">
      <c r="A2509" s="44">
        <v>101642</v>
      </c>
      <c r="B2509" s="43"/>
      <c r="C2509" s="44" t="s">
        <v>2549</v>
      </c>
      <c r="D2509" s="31"/>
      <c r="E2509" s="31"/>
      <c r="F2509" s="31"/>
    </row>
    <row r="2510" spans="1:6" x14ac:dyDescent="0.2">
      <c r="A2510" s="44">
        <v>101643</v>
      </c>
      <c r="B2510" s="43"/>
      <c r="C2510" s="44" t="s">
        <v>2550</v>
      </c>
      <c r="D2510" s="31"/>
      <c r="E2510" s="31"/>
      <c r="F2510" s="31"/>
    </row>
    <row r="2511" spans="1:6" x14ac:dyDescent="0.2">
      <c r="A2511" s="44">
        <v>101645</v>
      </c>
      <c r="B2511" s="43"/>
      <c r="C2511" s="44" t="s">
        <v>2551</v>
      </c>
      <c r="D2511" s="31"/>
      <c r="E2511" s="31"/>
      <c r="F2511" s="31"/>
    </row>
    <row r="2512" spans="1:6" x14ac:dyDescent="0.2">
      <c r="A2512" s="44">
        <v>101646</v>
      </c>
      <c r="B2512" s="43"/>
      <c r="C2512" s="44" t="s">
        <v>2552</v>
      </c>
      <c r="D2512" s="31"/>
      <c r="E2512" s="31"/>
      <c r="F2512" s="31"/>
    </row>
    <row r="2513" spans="1:6" x14ac:dyDescent="0.2">
      <c r="A2513" s="44">
        <v>101647</v>
      </c>
      <c r="B2513" s="43"/>
      <c r="C2513" s="44" t="s">
        <v>2553</v>
      </c>
      <c r="D2513" s="31"/>
      <c r="E2513" s="31"/>
      <c r="F2513" s="31"/>
    </row>
    <row r="2514" spans="1:6" x14ac:dyDescent="0.2">
      <c r="A2514" s="44">
        <v>101653</v>
      </c>
      <c r="B2514" s="43"/>
      <c r="C2514" s="44" t="s">
        <v>2554</v>
      </c>
      <c r="D2514" s="31"/>
      <c r="E2514" s="31"/>
      <c r="F2514" s="31"/>
    </row>
    <row r="2515" spans="1:6" x14ac:dyDescent="0.2">
      <c r="A2515" s="44">
        <v>101654</v>
      </c>
      <c r="B2515" s="43"/>
      <c r="C2515" s="44" t="s">
        <v>2555</v>
      </c>
      <c r="D2515" s="31"/>
      <c r="E2515" s="31"/>
      <c r="F2515" s="31"/>
    </row>
    <row r="2516" spans="1:6" x14ac:dyDescent="0.2">
      <c r="A2516" s="44">
        <v>101656</v>
      </c>
      <c r="B2516" s="43"/>
      <c r="C2516" s="44" t="s">
        <v>2556</v>
      </c>
      <c r="D2516" s="31"/>
      <c r="E2516" s="31"/>
      <c r="F2516" s="31"/>
    </row>
    <row r="2517" spans="1:6" x14ac:dyDescent="0.2">
      <c r="A2517" s="44">
        <v>101657</v>
      </c>
      <c r="B2517" s="43"/>
      <c r="C2517" s="44" t="s">
        <v>2557</v>
      </c>
      <c r="D2517" s="31"/>
      <c r="E2517" s="31"/>
      <c r="F2517" s="31"/>
    </row>
    <row r="2518" spans="1:6" x14ac:dyDescent="0.2">
      <c r="A2518" s="44">
        <v>101658</v>
      </c>
      <c r="B2518" s="43"/>
      <c r="C2518" s="44" t="s">
        <v>2558</v>
      </c>
      <c r="D2518" s="31"/>
      <c r="E2518" s="31"/>
      <c r="F2518" s="31"/>
    </row>
    <row r="2519" spans="1:6" x14ac:dyDescent="0.2">
      <c r="A2519" s="44">
        <v>101659</v>
      </c>
      <c r="B2519" s="43"/>
      <c r="C2519" s="44" t="s">
        <v>2559</v>
      </c>
      <c r="D2519" s="31"/>
      <c r="E2519" s="31"/>
      <c r="F2519" s="31"/>
    </row>
    <row r="2520" spans="1:6" x14ac:dyDescent="0.2">
      <c r="A2520" s="44">
        <v>101661</v>
      </c>
      <c r="B2520" s="43"/>
      <c r="C2520" s="44" t="s">
        <v>2560</v>
      </c>
      <c r="D2520" s="31"/>
      <c r="E2520" s="31"/>
      <c r="F2520" s="31"/>
    </row>
    <row r="2521" spans="1:6" x14ac:dyDescent="0.2">
      <c r="A2521" s="44">
        <v>101662</v>
      </c>
      <c r="B2521" s="43"/>
      <c r="C2521" s="44" t="s">
        <v>2561</v>
      </c>
      <c r="D2521" s="31"/>
      <c r="E2521" s="31"/>
      <c r="F2521" s="31"/>
    </row>
    <row r="2522" spans="1:6" x14ac:dyDescent="0.2">
      <c r="A2522" s="44">
        <v>101663</v>
      </c>
      <c r="B2522" s="43"/>
      <c r="C2522" s="44" t="s">
        <v>2562</v>
      </c>
      <c r="D2522" s="31"/>
      <c r="E2522" s="31"/>
      <c r="F2522" s="31"/>
    </row>
    <row r="2523" spans="1:6" x14ac:dyDescent="0.2">
      <c r="A2523" s="44">
        <v>101669</v>
      </c>
      <c r="B2523" s="43"/>
      <c r="C2523" s="44" t="s">
        <v>2563</v>
      </c>
      <c r="D2523" s="31"/>
      <c r="E2523" s="31"/>
      <c r="F2523" s="31"/>
    </row>
    <row r="2524" spans="1:6" x14ac:dyDescent="0.2">
      <c r="A2524" s="44">
        <v>101670</v>
      </c>
      <c r="B2524" s="43"/>
      <c r="C2524" s="44" t="s">
        <v>2555</v>
      </c>
      <c r="D2524" s="31"/>
      <c r="E2524" s="31"/>
      <c r="F2524" s="31"/>
    </row>
    <row r="2525" spans="1:6" x14ac:dyDescent="0.2">
      <c r="A2525" s="44">
        <v>101736</v>
      </c>
      <c r="B2525" s="43"/>
      <c r="C2525" s="44" t="s">
        <v>2564</v>
      </c>
      <c r="D2525" s="31"/>
      <c r="E2525" s="31"/>
      <c r="F2525" s="31"/>
    </row>
    <row r="2526" spans="1:6" x14ac:dyDescent="0.2">
      <c r="A2526" s="44">
        <v>101737</v>
      </c>
      <c r="B2526" s="43"/>
      <c r="C2526" s="44" t="s">
        <v>2565</v>
      </c>
      <c r="D2526" s="31"/>
      <c r="E2526" s="31"/>
      <c r="F2526" s="31"/>
    </row>
    <row r="2527" spans="1:6" x14ac:dyDescent="0.2">
      <c r="A2527" s="44">
        <v>101738</v>
      </c>
      <c r="B2527" s="43"/>
      <c r="C2527" s="44" t="s">
        <v>2566</v>
      </c>
      <c r="D2527" s="31"/>
      <c r="E2527" s="31"/>
      <c r="F2527" s="31"/>
    </row>
    <row r="2528" spans="1:6" x14ac:dyDescent="0.2">
      <c r="A2528" s="44">
        <v>101739</v>
      </c>
      <c r="B2528" s="43"/>
      <c r="C2528" s="44" t="s">
        <v>2567</v>
      </c>
      <c r="D2528" s="31"/>
      <c r="E2528" s="31"/>
      <c r="F2528" s="31"/>
    </row>
    <row r="2529" spans="1:6" x14ac:dyDescent="0.2">
      <c r="A2529" s="44">
        <v>101740</v>
      </c>
      <c r="B2529" s="43"/>
      <c r="C2529" s="44" t="s">
        <v>2568</v>
      </c>
      <c r="D2529" s="31"/>
      <c r="E2529" s="31"/>
      <c r="F2529" s="31"/>
    </row>
    <row r="2530" spans="1:6" x14ac:dyDescent="0.2">
      <c r="A2530" s="44">
        <v>101741</v>
      </c>
      <c r="B2530" s="43"/>
      <c r="C2530" s="44" t="s">
        <v>2569</v>
      </c>
      <c r="D2530" s="31"/>
      <c r="E2530" s="31"/>
      <c r="F2530" s="31"/>
    </row>
    <row r="2531" spans="1:6" x14ac:dyDescent="0.2">
      <c r="A2531" s="44">
        <v>101742</v>
      </c>
      <c r="B2531" s="43"/>
      <c r="C2531" s="44" t="s">
        <v>2570</v>
      </c>
      <c r="D2531" s="31"/>
      <c r="E2531" s="31"/>
      <c r="F2531" s="31"/>
    </row>
    <row r="2532" spans="1:6" x14ac:dyDescent="0.2">
      <c r="A2532" s="44">
        <v>101743</v>
      </c>
      <c r="B2532" s="43"/>
      <c r="C2532" s="44" t="s">
        <v>2571</v>
      </c>
      <c r="D2532" s="31"/>
      <c r="E2532" s="31"/>
      <c r="F2532" s="31"/>
    </row>
    <row r="2533" spans="1:6" x14ac:dyDescent="0.2">
      <c r="A2533" s="44">
        <v>101744</v>
      </c>
      <c r="B2533" s="43"/>
      <c r="C2533" s="44" t="s">
        <v>2572</v>
      </c>
      <c r="D2533" s="31"/>
      <c r="E2533" s="31"/>
      <c r="F2533" s="31"/>
    </row>
    <row r="2534" spans="1:6" x14ac:dyDescent="0.2">
      <c r="A2534" s="44">
        <v>101745</v>
      </c>
      <c r="B2534" s="43"/>
      <c r="C2534" s="44" t="s">
        <v>2573</v>
      </c>
      <c r="D2534" s="31"/>
      <c r="E2534" s="31"/>
      <c r="F2534" s="31"/>
    </row>
    <row r="2535" spans="1:6" x14ac:dyDescent="0.2">
      <c r="A2535" s="44">
        <v>101746</v>
      </c>
      <c r="B2535" s="43"/>
      <c r="C2535" s="44" t="s">
        <v>2574</v>
      </c>
      <c r="D2535" s="31"/>
      <c r="E2535" s="31"/>
      <c r="F2535" s="31"/>
    </row>
    <row r="2536" spans="1:6" x14ac:dyDescent="0.2">
      <c r="A2536" s="44">
        <v>101747</v>
      </c>
      <c r="B2536" s="43"/>
      <c r="C2536" s="44" t="s">
        <v>2575</v>
      </c>
      <c r="D2536" s="31"/>
      <c r="E2536" s="31"/>
      <c r="F2536" s="31"/>
    </row>
    <row r="2537" spans="1:6" x14ac:dyDescent="0.2">
      <c r="A2537" s="44">
        <v>101760</v>
      </c>
      <c r="B2537" s="43"/>
      <c r="C2537" s="44" t="s">
        <v>2576</v>
      </c>
      <c r="D2537" s="31"/>
      <c r="E2537" s="31"/>
      <c r="F2537" s="31"/>
    </row>
    <row r="2538" spans="1:6" x14ac:dyDescent="0.2">
      <c r="A2538" s="44">
        <v>101761</v>
      </c>
      <c r="B2538" s="43"/>
      <c r="C2538" s="44" t="s">
        <v>2577</v>
      </c>
      <c r="D2538" s="31"/>
      <c r="E2538" s="31"/>
      <c r="F2538" s="31"/>
    </row>
    <row r="2539" spans="1:6" x14ac:dyDescent="0.2">
      <c r="A2539" s="44">
        <v>101762</v>
      </c>
      <c r="B2539" s="43"/>
      <c r="C2539" s="44" t="s">
        <v>2578</v>
      </c>
      <c r="D2539" s="31"/>
      <c r="E2539" s="31"/>
      <c r="F2539" s="31"/>
    </row>
    <row r="2540" spans="1:6" x14ac:dyDescent="0.2">
      <c r="A2540" s="44">
        <v>102115</v>
      </c>
      <c r="B2540" s="43"/>
      <c r="C2540" s="44" t="s">
        <v>2579</v>
      </c>
      <c r="D2540" s="31"/>
      <c r="E2540" s="31"/>
      <c r="F2540" s="31"/>
    </row>
    <row r="2541" spans="1:6" x14ac:dyDescent="0.2">
      <c r="A2541" s="44">
        <v>102116</v>
      </c>
      <c r="B2541" s="43"/>
      <c r="C2541" s="44" t="s">
        <v>2580</v>
      </c>
      <c r="D2541" s="31"/>
      <c r="E2541" s="31"/>
      <c r="F2541" s="31"/>
    </row>
    <row r="2542" spans="1:6" x14ac:dyDescent="0.2">
      <c r="A2542" s="44">
        <v>102117</v>
      </c>
      <c r="B2542" s="43"/>
      <c r="C2542" s="44" t="s">
        <v>2581</v>
      </c>
      <c r="D2542" s="31"/>
      <c r="E2542" s="31"/>
      <c r="F2542" s="31"/>
    </row>
    <row r="2543" spans="1:6" x14ac:dyDescent="0.2">
      <c r="A2543" s="44">
        <v>102118</v>
      </c>
      <c r="B2543" s="43"/>
      <c r="C2543" s="44" t="s">
        <v>2582</v>
      </c>
      <c r="D2543" s="31"/>
      <c r="E2543" s="31"/>
      <c r="F2543" s="31"/>
    </row>
    <row r="2544" spans="1:6" x14ac:dyDescent="0.2">
      <c r="A2544" s="44">
        <v>102119</v>
      </c>
      <c r="B2544" s="43"/>
      <c r="C2544" s="44" t="s">
        <v>2583</v>
      </c>
      <c r="D2544" s="31"/>
      <c r="E2544" s="31"/>
      <c r="F2544" s="31"/>
    </row>
    <row r="2545" spans="1:6" x14ac:dyDescent="0.2">
      <c r="A2545" s="44">
        <v>102120</v>
      </c>
      <c r="B2545" s="43"/>
      <c r="C2545" s="44" t="s">
        <v>2584</v>
      </c>
      <c r="D2545" s="31"/>
      <c r="E2545" s="31"/>
      <c r="F2545" s="31"/>
    </row>
    <row r="2546" spans="1:6" x14ac:dyDescent="0.2">
      <c r="A2546" s="44">
        <v>102121</v>
      </c>
      <c r="B2546" s="43"/>
      <c r="C2546" s="44" t="s">
        <v>2585</v>
      </c>
      <c r="D2546" s="31"/>
      <c r="E2546" s="31"/>
      <c r="F2546" s="31"/>
    </row>
    <row r="2547" spans="1:6" x14ac:dyDescent="0.2">
      <c r="A2547" s="44">
        <v>102122</v>
      </c>
      <c r="B2547" s="43"/>
      <c r="C2547" s="44" t="s">
        <v>2586</v>
      </c>
      <c r="D2547" s="31"/>
      <c r="E2547" s="31"/>
      <c r="F2547" s="31"/>
    </row>
    <row r="2548" spans="1:6" x14ac:dyDescent="0.2">
      <c r="A2548" s="44">
        <v>102123</v>
      </c>
      <c r="B2548" s="43"/>
      <c r="C2548" s="44" t="s">
        <v>2587</v>
      </c>
      <c r="D2548" s="31"/>
      <c r="E2548" s="31"/>
      <c r="F2548" s="31"/>
    </row>
    <row r="2549" spans="1:6" x14ac:dyDescent="0.2">
      <c r="A2549" s="44">
        <v>102124</v>
      </c>
      <c r="B2549" s="43"/>
      <c r="C2549" s="44" t="s">
        <v>2588</v>
      </c>
      <c r="D2549" s="31"/>
      <c r="E2549" s="31"/>
      <c r="F2549" s="31"/>
    </row>
    <row r="2550" spans="1:6" x14ac:dyDescent="0.2">
      <c r="A2550" s="44">
        <v>102125</v>
      </c>
      <c r="B2550" s="43"/>
      <c r="C2550" s="44" t="s">
        <v>2589</v>
      </c>
      <c r="D2550" s="31"/>
      <c r="E2550" s="31"/>
      <c r="F2550" s="31"/>
    </row>
    <row r="2551" spans="1:6" x14ac:dyDescent="0.2">
      <c r="A2551" s="44">
        <v>102126</v>
      </c>
      <c r="B2551" s="43"/>
      <c r="C2551" s="44" t="s">
        <v>2590</v>
      </c>
      <c r="D2551" s="31"/>
      <c r="E2551" s="31"/>
      <c r="F2551" s="31"/>
    </row>
    <row r="2552" spans="1:6" x14ac:dyDescent="0.2">
      <c r="A2552" s="44">
        <v>102127</v>
      </c>
      <c r="B2552" s="43"/>
      <c r="C2552" s="44" t="s">
        <v>2591</v>
      </c>
      <c r="D2552" s="31"/>
      <c r="E2552" s="31"/>
      <c r="F2552" s="31"/>
    </row>
    <row r="2553" spans="1:6" x14ac:dyDescent="0.2">
      <c r="A2553" s="44">
        <v>102128</v>
      </c>
      <c r="B2553" s="43"/>
      <c r="C2553" s="44" t="s">
        <v>2592</v>
      </c>
      <c r="D2553" s="31"/>
      <c r="E2553" s="31"/>
      <c r="F2553" s="31"/>
    </row>
    <row r="2554" spans="1:6" x14ac:dyDescent="0.2">
      <c r="A2554" s="44">
        <v>102129</v>
      </c>
      <c r="B2554" s="43"/>
      <c r="C2554" s="44" t="s">
        <v>2593</v>
      </c>
      <c r="D2554" s="31"/>
      <c r="E2554" s="31"/>
      <c r="F2554" s="31"/>
    </row>
    <row r="2555" spans="1:6" x14ac:dyDescent="0.2">
      <c r="A2555" s="44">
        <v>102130</v>
      </c>
      <c r="B2555" s="43"/>
      <c r="C2555" s="44" t="s">
        <v>2594</v>
      </c>
      <c r="D2555" s="31"/>
      <c r="E2555" s="31"/>
      <c r="F2555" s="31"/>
    </row>
    <row r="2556" spans="1:6" x14ac:dyDescent="0.2">
      <c r="A2556" s="44">
        <v>102131</v>
      </c>
      <c r="B2556" s="43"/>
      <c r="C2556" s="44" t="s">
        <v>2595</v>
      </c>
      <c r="D2556" s="31"/>
      <c r="E2556" s="31"/>
      <c r="F2556" s="31"/>
    </row>
    <row r="2557" spans="1:6" x14ac:dyDescent="0.2">
      <c r="A2557" s="44">
        <v>103000</v>
      </c>
      <c r="B2557" s="43"/>
      <c r="C2557" s="44" t="s">
        <v>2596</v>
      </c>
      <c r="D2557" s="31"/>
      <c r="E2557" s="31"/>
      <c r="F2557" s="31"/>
    </row>
    <row r="2558" spans="1:6" x14ac:dyDescent="0.2">
      <c r="A2558" s="44">
        <v>103001</v>
      </c>
      <c r="B2558" s="43"/>
      <c r="C2558" s="44" t="s">
        <v>2597</v>
      </c>
      <c r="D2558" s="31"/>
      <c r="E2558" s="31"/>
      <c r="F2558" s="31"/>
    </row>
    <row r="2559" spans="1:6" x14ac:dyDescent="0.2">
      <c r="A2559" s="44">
        <v>103002</v>
      </c>
      <c r="B2559" s="43"/>
      <c r="C2559" s="44" t="s">
        <v>2598</v>
      </c>
      <c r="D2559" s="31"/>
      <c r="E2559" s="31"/>
      <c r="F2559" s="31"/>
    </row>
    <row r="2560" spans="1:6" x14ac:dyDescent="0.2">
      <c r="A2560" s="44">
        <v>103003</v>
      </c>
      <c r="B2560" s="43"/>
      <c r="C2560" s="44" t="s">
        <v>2599</v>
      </c>
      <c r="D2560" s="31"/>
      <c r="E2560" s="31"/>
      <c r="F2560" s="31"/>
    </row>
    <row r="2561" spans="1:6" x14ac:dyDescent="0.2">
      <c r="A2561" s="44">
        <v>110000</v>
      </c>
      <c r="B2561" s="43"/>
      <c r="C2561" s="44" t="s">
        <v>2600</v>
      </c>
      <c r="D2561" s="31"/>
      <c r="E2561" s="31"/>
      <c r="F2561" s="31"/>
    </row>
    <row r="2562" spans="1:6" x14ac:dyDescent="0.2">
      <c r="A2562" s="44">
        <v>110001</v>
      </c>
      <c r="B2562" s="43"/>
      <c r="C2562" s="44" t="s">
        <v>2601</v>
      </c>
      <c r="D2562" s="31"/>
      <c r="E2562" s="31"/>
      <c r="F2562" s="31"/>
    </row>
    <row r="2563" spans="1:6" x14ac:dyDescent="0.2">
      <c r="A2563" s="44">
        <v>110002</v>
      </c>
      <c r="B2563" s="43"/>
      <c r="C2563" s="44" t="s">
        <v>2602</v>
      </c>
      <c r="D2563" s="31"/>
      <c r="E2563" s="31"/>
      <c r="F2563" s="31"/>
    </row>
    <row r="2564" spans="1:6" x14ac:dyDescent="0.2">
      <c r="A2564" s="44">
        <v>110003</v>
      </c>
      <c r="B2564" s="43"/>
      <c r="C2564" s="44" t="s">
        <v>2603</v>
      </c>
      <c r="D2564" s="31"/>
      <c r="E2564" s="31"/>
      <c r="F2564" s="31"/>
    </row>
    <row r="2565" spans="1:6" x14ac:dyDescent="0.2">
      <c r="A2565" s="44">
        <v>110004</v>
      </c>
      <c r="B2565" s="43"/>
      <c r="C2565" s="44" t="s">
        <v>2604</v>
      </c>
      <c r="D2565" s="31"/>
      <c r="E2565" s="31"/>
      <c r="F2565" s="31"/>
    </row>
    <row r="2566" spans="1:6" x14ac:dyDescent="0.2">
      <c r="A2566" s="44">
        <v>110005</v>
      </c>
      <c r="B2566" s="43"/>
      <c r="C2566" s="44" t="s">
        <v>2605</v>
      </c>
      <c r="D2566" s="31"/>
      <c r="E2566" s="31"/>
      <c r="F2566" s="31"/>
    </row>
    <row r="2567" spans="1:6" x14ac:dyDescent="0.2">
      <c r="A2567" s="44">
        <v>110006</v>
      </c>
      <c r="B2567" s="43"/>
      <c r="C2567" s="44" t="s">
        <v>2606</v>
      </c>
      <c r="D2567" s="31"/>
      <c r="E2567" s="31"/>
      <c r="F2567" s="31"/>
    </row>
    <row r="2568" spans="1:6" x14ac:dyDescent="0.2">
      <c r="A2568" s="44">
        <v>110007</v>
      </c>
      <c r="B2568" s="43"/>
      <c r="C2568" s="44" t="s">
        <v>2607</v>
      </c>
      <c r="D2568" s="31"/>
      <c r="E2568" s="31"/>
      <c r="F2568" s="31"/>
    </row>
    <row r="2569" spans="1:6" x14ac:dyDescent="0.2">
      <c r="A2569" s="44">
        <v>110008</v>
      </c>
      <c r="B2569" s="43"/>
      <c r="C2569" s="44" t="s">
        <v>2608</v>
      </c>
      <c r="D2569" s="31"/>
      <c r="E2569" s="31"/>
      <c r="F2569" s="31"/>
    </row>
    <row r="2570" spans="1:6" x14ac:dyDescent="0.2">
      <c r="A2570" s="44">
        <v>110009</v>
      </c>
      <c r="B2570" s="43"/>
      <c r="C2570" s="44" t="s">
        <v>2609</v>
      </c>
      <c r="D2570" s="31"/>
      <c r="E2570" s="31"/>
      <c r="F2570" s="31"/>
    </row>
    <row r="2571" spans="1:6" x14ac:dyDescent="0.2">
      <c r="A2571" s="44">
        <v>110010</v>
      </c>
      <c r="B2571" s="43"/>
      <c r="C2571" s="44" t="s">
        <v>2610</v>
      </c>
      <c r="D2571" s="31"/>
      <c r="E2571" s="31"/>
      <c r="F2571" s="31"/>
    </row>
    <row r="2572" spans="1:6" x14ac:dyDescent="0.2">
      <c r="A2572" s="44">
        <v>110011</v>
      </c>
      <c r="B2572" s="43"/>
      <c r="C2572" s="44" t="s">
        <v>2611</v>
      </c>
      <c r="D2572" s="31"/>
      <c r="E2572" s="31"/>
      <c r="F2572" s="31"/>
    </row>
    <row r="2573" spans="1:6" x14ac:dyDescent="0.2">
      <c r="A2573" s="44">
        <v>110012</v>
      </c>
      <c r="B2573" s="43"/>
      <c r="C2573" s="44" t="s">
        <v>2612</v>
      </c>
      <c r="D2573" s="31"/>
      <c r="E2573" s="31"/>
      <c r="F2573" s="31"/>
    </row>
    <row r="2574" spans="1:6" x14ac:dyDescent="0.2">
      <c r="A2574" s="44">
        <v>110013</v>
      </c>
      <c r="B2574" s="43"/>
      <c r="C2574" s="44" t="s">
        <v>2613</v>
      </c>
      <c r="D2574" s="31"/>
      <c r="E2574" s="31"/>
      <c r="F2574" s="31"/>
    </row>
    <row r="2575" spans="1:6" x14ac:dyDescent="0.2">
      <c r="A2575" s="44">
        <v>110014</v>
      </c>
      <c r="B2575" s="43"/>
      <c r="C2575" s="44" t="s">
        <v>2614</v>
      </c>
      <c r="D2575" s="31"/>
      <c r="E2575" s="31"/>
      <c r="F2575" s="31"/>
    </row>
    <row r="2576" spans="1:6" x14ac:dyDescent="0.2">
      <c r="A2576" s="44">
        <v>110015</v>
      </c>
      <c r="B2576" s="43"/>
      <c r="C2576" s="44" t="s">
        <v>2615</v>
      </c>
      <c r="D2576" s="31"/>
      <c r="E2576" s="31"/>
      <c r="F2576" s="31"/>
    </row>
    <row r="2577" spans="1:6" x14ac:dyDescent="0.2">
      <c r="A2577" s="44">
        <v>110016</v>
      </c>
      <c r="B2577" s="43"/>
      <c r="C2577" s="44" t="s">
        <v>2616</v>
      </c>
      <c r="D2577" s="31"/>
      <c r="E2577" s="31"/>
      <c r="F2577" s="31"/>
    </row>
    <row r="2578" spans="1:6" x14ac:dyDescent="0.2">
      <c r="A2578" s="44">
        <v>110017</v>
      </c>
      <c r="B2578" s="43"/>
      <c r="C2578" s="44" t="s">
        <v>2617</v>
      </c>
      <c r="D2578" s="31"/>
      <c r="E2578" s="31"/>
      <c r="F2578" s="31"/>
    </row>
    <row r="2579" spans="1:6" x14ac:dyDescent="0.2">
      <c r="A2579" s="44">
        <v>110018</v>
      </c>
      <c r="B2579" s="43"/>
      <c r="C2579" s="44" t="s">
        <v>2618</v>
      </c>
      <c r="D2579" s="31"/>
      <c r="E2579" s="31"/>
      <c r="F2579" s="31"/>
    </row>
    <row r="2580" spans="1:6" x14ac:dyDescent="0.2">
      <c r="A2580" s="44">
        <v>110019</v>
      </c>
      <c r="B2580" s="43"/>
      <c r="C2580" s="44" t="s">
        <v>2619</v>
      </c>
      <c r="D2580" s="31"/>
      <c r="E2580" s="31"/>
      <c r="F2580" s="31"/>
    </row>
    <row r="2581" spans="1:6" x14ac:dyDescent="0.2">
      <c r="A2581" s="44">
        <v>110020</v>
      </c>
      <c r="B2581" s="43"/>
      <c r="C2581" s="44" t="s">
        <v>2620</v>
      </c>
      <c r="D2581" s="31"/>
      <c r="E2581" s="31"/>
      <c r="F2581" s="31"/>
    </row>
    <row r="2582" spans="1:6" x14ac:dyDescent="0.2">
      <c r="A2582" s="44">
        <v>110021</v>
      </c>
      <c r="B2582" s="43"/>
      <c r="C2582" s="44" t="s">
        <v>2621</v>
      </c>
      <c r="D2582" s="31"/>
      <c r="E2582" s="31"/>
      <c r="F2582" s="31"/>
    </row>
    <row r="2583" spans="1:6" x14ac:dyDescent="0.2">
      <c r="A2583" s="44">
        <v>110022</v>
      </c>
      <c r="B2583" s="43"/>
      <c r="C2583" s="44" t="s">
        <v>2622</v>
      </c>
      <c r="D2583" s="31"/>
      <c r="E2583" s="31"/>
      <c r="F2583" s="31"/>
    </row>
    <row r="2584" spans="1:6" x14ac:dyDescent="0.2">
      <c r="A2584" s="44">
        <v>111000</v>
      </c>
      <c r="B2584" s="43"/>
      <c r="C2584" s="44" t="s">
        <v>2623</v>
      </c>
      <c r="D2584" s="31"/>
      <c r="E2584" s="31"/>
      <c r="F2584" s="31"/>
    </row>
    <row r="2585" spans="1:6" x14ac:dyDescent="0.2">
      <c r="A2585" s="44">
        <v>111001</v>
      </c>
      <c r="B2585" s="43"/>
      <c r="C2585" s="44" t="s">
        <v>2624</v>
      </c>
      <c r="D2585" s="31"/>
      <c r="E2585" s="31"/>
      <c r="F2585" s="31"/>
    </row>
    <row r="2586" spans="1:6" x14ac:dyDescent="0.2">
      <c r="A2586" s="44">
        <v>111002</v>
      </c>
      <c r="B2586" s="43"/>
      <c r="C2586" s="44" t="s">
        <v>2625</v>
      </c>
      <c r="D2586" s="31"/>
      <c r="E2586" s="31"/>
      <c r="F2586" s="31"/>
    </row>
    <row r="2587" spans="1:6" x14ac:dyDescent="0.2">
      <c r="A2587" s="44">
        <v>111003</v>
      </c>
      <c r="B2587" s="43"/>
      <c r="C2587" s="44" t="s">
        <v>2626</v>
      </c>
      <c r="D2587" s="31"/>
      <c r="E2587" s="31"/>
      <c r="F2587" s="31"/>
    </row>
    <row r="2588" spans="1:6" x14ac:dyDescent="0.2">
      <c r="A2588" s="44">
        <v>111004</v>
      </c>
      <c r="B2588" s="43"/>
      <c r="C2588" s="44" t="s">
        <v>2627</v>
      </c>
      <c r="D2588" s="31"/>
      <c r="E2588" s="31"/>
      <c r="F2588" s="31"/>
    </row>
    <row r="2589" spans="1:6" x14ac:dyDescent="0.2">
      <c r="A2589" s="44">
        <v>111005</v>
      </c>
      <c r="B2589" s="43"/>
      <c r="C2589" s="44" t="s">
        <v>2628</v>
      </c>
      <c r="D2589" s="31"/>
      <c r="E2589" s="31"/>
      <c r="F2589" s="31"/>
    </row>
    <row r="2590" spans="1:6" x14ac:dyDescent="0.2">
      <c r="A2590" s="44">
        <v>111006</v>
      </c>
      <c r="B2590" s="43"/>
      <c r="C2590" s="44" t="s">
        <v>2629</v>
      </c>
      <c r="D2590" s="31"/>
      <c r="E2590" s="31"/>
      <c r="F2590" s="31"/>
    </row>
    <row r="2591" spans="1:6" x14ac:dyDescent="0.2">
      <c r="A2591" s="44">
        <v>111007</v>
      </c>
      <c r="B2591" s="43"/>
      <c r="C2591" s="44" t="s">
        <v>2630</v>
      </c>
      <c r="D2591" s="31"/>
      <c r="E2591" s="31"/>
      <c r="F2591" s="31"/>
    </row>
    <row r="2592" spans="1:6" x14ac:dyDescent="0.2">
      <c r="A2592" s="44">
        <v>111008</v>
      </c>
      <c r="B2592" s="43"/>
      <c r="C2592" s="44" t="s">
        <v>2631</v>
      </c>
      <c r="D2592" s="31"/>
      <c r="E2592" s="31"/>
      <c r="F2592" s="31"/>
    </row>
    <row r="2593" spans="1:6" x14ac:dyDescent="0.2">
      <c r="A2593" s="44">
        <v>111009</v>
      </c>
      <c r="B2593" s="43"/>
      <c r="C2593" s="44" t="s">
        <v>2632</v>
      </c>
      <c r="D2593" s="31"/>
      <c r="E2593" s="31"/>
      <c r="F2593" s="31"/>
    </row>
    <row r="2594" spans="1:6" x14ac:dyDescent="0.2">
      <c r="A2594" s="44">
        <v>111010</v>
      </c>
      <c r="B2594" s="43"/>
      <c r="C2594" s="44" t="s">
        <v>2633</v>
      </c>
      <c r="D2594" s="31"/>
      <c r="E2594" s="31"/>
      <c r="F2594" s="31"/>
    </row>
    <row r="2595" spans="1:6" x14ac:dyDescent="0.2">
      <c r="A2595" s="44">
        <v>111011</v>
      </c>
      <c r="B2595" s="43"/>
      <c r="C2595" s="44" t="s">
        <v>2634</v>
      </c>
      <c r="D2595" s="31"/>
      <c r="E2595" s="31"/>
      <c r="F2595" s="31"/>
    </row>
    <row r="2596" spans="1:6" x14ac:dyDescent="0.2">
      <c r="A2596" s="44">
        <v>111012</v>
      </c>
      <c r="B2596" s="43"/>
      <c r="C2596" s="44" t="s">
        <v>2635</v>
      </c>
      <c r="D2596" s="31"/>
      <c r="E2596" s="31"/>
      <c r="F2596" s="31"/>
    </row>
    <row r="2597" spans="1:6" x14ac:dyDescent="0.2">
      <c r="A2597" s="44">
        <v>111013</v>
      </c>
      <c r="B2597" s="43"/>
      <c r="C2597" s="44" t="s">
        <v>2636</v>
      </c>
      <c r="D2597" s="31"/>
      <c r="E2597" s="31"/>
      <c r="F2597" s="31"/>
    </row>
    <row r="2598" spans="1:6" x14ac:dyDescent="0.2">
      <c r="A2598" s="44">
        <v>111014</v>
      </c>
      <c r="B2598" s="43"/>
      <c r="C2598" s="44" t="s">
        <v>2637</v>
      </c>
      <c r="D2598" s="31"/>
      <c r="E2598" s="31"/>
      <c r="F2598" s="31"/>
    </row>
    <row r="2599" spans="1:6" x14ac:dyDescent="0.2">
      <c r="A2599" s="44">
        <v>111015</v>
      </c>
      <c r="B2599" s="43"/>
      <c r="C2599" s="44" t="s">
        <v>2638</v>
      </c>
      <c r="D2599" s="31"/>
      <c r="E2599" s="31"/>
      <c r="F2599" s="31"/>
    </row>
    <row r="2600" spans="1:6" x14ac:dyDescent="0.2">
      <c r="A2600" s="44">
        <v>111016</v>
      </c>
      <c r="B2600" s="43"/>
      <c r="C2600" s="44" t="s">
        <v>2639</v>
      </c>
      <c r="D2600" s="31"/>
      <c r="E2600" s="31"/>
      <c r="F2600" s="31"/>
    </row>
    <row r="2601" spans="1:6" x14ac:dyDescent="0.2">
      <c r="A2601" s="44">
        <v>111017</v>
      </c>
      <c r="B2601" s="43"/>
      <c r="C2601" s="44" t="s">
        <v>2640</v>
      </c>
      <c r="D2601" s="31"/>
      <c r="E2601" s="31"/>
      <c r="F2601" s="31"/>
    </row>
    <row r="2602" spans="1:6" x14ac:dyDescent="0.2">
      <c r="A2602" s="44">
        <v>111018</v>
      </c>
      <c r="B2602" s="43"/>
      <c r="C2602" s="44" t="s">
        <v>2641</v>
      </c>
      <c r="D2602" s="31"/>
      <c r="E2602" s="31"/>
      <c r="F2602" s="31"/>
    </row>
    <row r="2603" spans="1:6" x14ac:dyDescent="0.2">
      <c r="A2603" s="44">
        <v>111019</v>
      </c>
      <c r="B2603" s="43"/>
      <c r="C2603" s="44" t="s">
        <v>2642</v>
      </c>
      <c r="D2603" s="31"/>
      <c r="E2603" s="31"/>
      <c r="F2603" s="31"/>
    </row>
    <row r="2604" spans="1:6" x14ac:dyDescent="0.2">
      <c r="A2604" s="44">
        <v>111020</v>
      </c>
      <c r="B2604" s="43"/>
      <c r="C2604" s="44" t="s">
        <v>2643</v>
      </c>
      <c r="D2604" s="31"/>
      <c r="E2604" s="31"/>
      <c r="F2604" s="31"/>
    </row>
    <row r="2605" spans="1:6" x14ac:dyDescent="0.2">
      <c r="A2605" s="44">
        <v>111021</v>
      </c>
      <c r="B2605" s="43"/>
      <c r="C2605" s="44" t="s">
        <v>2644</v>
      </c>
      <c r="D2605" s="31"/>
      <c r="E2605" s="31"/>
      <c r="F2605" s="31"/>
    </row>
    <row r="2606" spans="1:6" x14ac:dyDescent="0.2">
      <c r="A2606" s="44">
        <v>111022</v>
      </c>
      <c r="B2606" s="43"/>
      <c r="C2606" s="44" t="s">
        <v>2645</v>
      </c>
      <c r="D2606" s="31"/>
      <c r="E2606" s="31"/>
      <c r="F2606" s="31"/>
    </row>
    <row r="2607" spans="1:6" x14ac:dyDescent="0.2">
      <c r="A2607" s="44">
        <v>112000</v>
      </c>
      <c r="B2607" s="43"/>
      <c r="C2607" s="44" t="s">
        <v>2646</v>
      </c>
      <c r="D2607" s="31"/>
      <c r="E2607" s="31"/>
      <c r="F2607" s="31"/>
    </row>
    <row r="2608" spans="1:6" x14ac:dyDescent="0.2">
      <c r="A2608" s="44">
        <v>112001</v>
      </c>
      <c r="B2608" s="43"/>
      <c r="C2608" s="44" t="s">
        <v>2647</v>
      </c>
      <c r="D2608" s="31"/>
      <c r="E2608" s="31"/>
      <c r="F2608" s="31"/>
    </row>
    <row r="2609" spans="1:6" x14ac:dyDescent="0.2">
      <c r="A2609" s="44">
        <v>112002</v>
      </c>
      <c r="B2609" s="43"/>
      <c r="C2609" s="44" t="s">
        <v>2648</v>
      </c>
      <c r="D2609" s="31"/>
      <c r="E2609" s="31"/>
      <c r="F2609" s="31"/>
    </row>
    <row r="2610" spans="1:6" x14ac:dyDescent="0.2">
      <c r="A2610" s="44">
        <v>112003</v>
      </c>
      <c r="B2610" s="43"/>
      <c r="C2610" s="44" t="s">
        <v>2649</v>
      </c>
      <c r="D2610" s="31"/>
      <c r="E2610" s="31"/>
      <c r="F2610" s="31"/>
    </row>
    <row r="2611" spans="1:6" x14ac:dyDescent="0.2">
      <c r="A2611" s="44">
        <v>112004</v>
      </c>
      <c r="B2611" s="43"/>
      <c r="C2611" s="44" t="s">
        <v>2650</v>
      </c>
      <c r="D2611" s="31"/>
      <c r="E2611" s="31"/>
      <c r="F2611" s="31"/>
    </row>
    <row r="2612" spans="1:6" x14ac:dyDescent="0.2">
      <c r="A2612" s="44">
        <v>112005</v>
      </c>
      <c r="B2612" s="43"/>
      <c r="C2612" s="44" t="s">
        <v>2651</v>
      </c>
      <c r="D2612" s="31"/>
      <c r="E2612" s="31"/>
      <c r="F2612" s="31"/>
    </row>
    <row r="2613" spans="1:6" x14ac:dyDescent="0.2">
      <c r="A2613" s="44">
        <v>112006</v>
      </c>
      <c r="B2613" s="43"/>
      <c r="C2613" s="44" t="s">
        <v>2652</v>
      </c>
      <c r="D2613" s="31"/>
      <c r="E2613" s="31"/>
      <c r="F2613" s="31"/>
    </row>
    <row r="2614" spans="1:6" x14ac:dyDescent="0.2">
      <c r="A2614" s="44">
        <v>112007</v>
      </c>
      <c r="B2614" s="43"/>
      <c r="C2614" s="44" t="s">
        <v>2653</v>
      </c>
      <c r="D2614" s="31"/>
      <c r="E2614" s="31"/>
      <c r="F2614" s="31"/>
    </row>
    <row r="2615" spans="1:6" x14ac:dyDescent="0.2">
      <c r="A2615" s="44">
        <v>112008</v>
      </c>
      <c r="B2615" s="43"/>
      <c r="C2615" s="44" t="s">
        <v>2654</v>
      </c>
      <c r="D2615" s="31"/>
      <c r="E2615" s="31"/>
      <c r="F2615" s="31"/>
    </row>
    <row r="2616" spans="1:6" x14ac:dyDescent="0.2">
      <c r="A2616" s="44">
        <v>112009</v>
      </c>
      <c r="B2616" s="43"/>
      <c r="C2616" s="44" t="s">
        <v>2655</v>
      </c>
      <c r="D2616" s="31"/>
      <c r="E2616" s="31"/>
      <c r="F2616" s="31"/>
    </row>
    <row r="2617" spans="1:6" x14ac:dyDescent="0.2">
      <c r="A2617" s="44">
        <v>112010</v>
      </c>
      <c r="B2617" s="43"/>
      <c r="C2617" s="44" t="s">
        <v>2656</v>
      </c>
      <c r="D2617" s="31"/>
      <c r="E2617" s="31"/>
      <c r="F2617" s="31"/>
    </row>
    <row r="2618" spans="1:6" x14ac:dyDescent="0.2">
      <c r="A2618" s="44">
        <v>112011</v>
      </c>
      <c r="B2618" s="43"/>
      <c r="C2618" s="44" t="s">
        <v>2657</v>
      </c>
      <c r="D2618" s="31"/>
      <c r="E2618" s="31"/>
      <c r="F2618" s="31"/>
    </row>
    <row r="2619" spans="1:6" x14ac:dyDescent="0.2">
      <c r="A2619" s="44">
        <v>112012</v>
      </c>
      <c r="B2619" s="43"/>
      <c r="C2619" s="44" t="s">
        <v>2658</v>
      </c>
      <c r="D2619" s="31"/>
      <c r="E2619" s="31"/>
      <c r="F2619" s="31"/>
    </row>
    <row r="2620" spans="1:6" x14ac:dyDescent="0.2">
      <c r="A2620" s="44">
        <v>112013</v>
      </c>
      <c r="B2620" s="43"/>
      <c r="C2620" s="44" t="s">
        <v>2659</v>
      </c>
      <c r="D2620" s="31"/>
      <c r="E2620" s="31"/>
      <c r="F2620" s="31"/>
    </row>
    <row r="2621" spans="1:6" x14ac:dyDescent="0.2">
      <c r="A2621" s="44">
        <v>112014</v>
      </c>
      <c r="B2621" s="43"/>
      <c r="C2621" s="44" t="s">
        <v>2660</v>
      </c>
      <c r="D2621" s="31"/>
      <c r="E2621" s="31"/>
      <c r="F2621" s="31"/>
    </row>
    <row r="2622" spans="1:6" x14ac:dyDescent="0.2">
      <c r="A2622" s="44">
        <v>112015</v>
      </c>
      <c r="B2622" s="43"/>
      <c r="C2622" s="44" t="s">
        <v>2661</v>
      </c>
      <c r="D2622" s="31"/>
      <c r="E2622" s="31"/>
      <c r="F2622" s="31"/>
    </row>
    <row r="2623" spans="1:6" x14ac:dyDescent="0.2">
      <c r="A2623" s="44">
        <v>112016</v>
      </c>
      <c r="B2623" s="43"/>
      <c r="C2623" s="44" t="s">
        <v>2662</v>
      </c>
      <c r="D2623" s="31"/>
      <c r="E2623" s="31"/>
      <c r="F2623" s="31"/>
    </row>
    <row r="2624" spans="1:6" x14ac:dyDescent="0.2">
      <c r="A2624" s="44">
        <v>112017</v>
      </c>
      <c r="B2624" s="43"/>
      <c r="C2624" s="44" t="s">
        <v>2663</v>
      </c>
      <c r="D2624" s="31"/>
      <c r="E2624" s="31"/>
      <c r="F2624" s="31"/>
    </row>
    <row r="2625" spans="1:6" x14ac:dyDescent="0.2">
      <c r="A2625" s="44">
        <v>112018</v>
      </c>
      <c r="B2625" s="43"/>
      <c r="C2625" s="44" t="s">
        <v>2664</v>
      </c>
      <c r="D2625" s="31"/>
      <c r="E2625" s="31"/>
      <c r="F2625" s="31"/>
    </row>
    <row r="2626" spans="1:6" x14ac:dyDescent="0.2">
      <c r="A2626" s="44">
        <v>112019</v>
      </c>
      <c r="B2626" s="43"/>
      <c r="C2626" s="44" t="s">
        <v>2665</v>
      </c>
      <c r="D2626" s="31"/>
      <c r="E2626" s="31"/>
      <c r="F2626" s="31"/>
    </row>
    <row r="2627" spans="1:6" x14ac:dyDescent="0.2">
      <c r="A2627" s="44">
        <v>112020</v>
      </c>
      <c r="B2627" s="43"/>
      <c r="C2627" s="44" t="s">
        <v>2666</v>
      </c>
      <c r="D2627" s="31"/>
      <c r="E2627" s="31"/>
      <c r="F2627" s="31"/>
    </row>
    <row r="2628" spans="1:6" x14ac:dyDescent="0.2">
      <c r="A2628" s="44">
        <v>112021</v>
      </c>
      <c r="B2628" s="43"/>
      <c r="C2628" s="44" t="s">
        <v>2667</v>
      </c>
      <c r="D2628" s="31"/>
      <c r="E2628" s="31"/>
      <c r="F2628" s="31"/>
    </row>
    <row r="2629" spans="1:6" x14ac:dyDescent="0.2">
      <c r="A2629" s="44">
        <v>112022</v>
      </c>
      <c r="B2629" s="43"/>
      <c r="C2629" s="44" t="s">
        <v>2668</v>
      </c>
      <c r="D2629" s="31"/>
      <c r="E2629" s="31"/>
      <c r="F2629" s="31"/>
    </row>
    <row r="2630" spans="1:6" x14ac:dyDescent="0.2">
      <c r="A2630" s="44">
        <v>113000</v>
      </c>
      <c r="B2630" s="43"/>
      <c r="C2630" s="44" t="s">
        <v>2669</v>
      </c>
      <c r="D2630" s="31"/>
      <c r="E2630" s="31"/>
      <c r="F2630" s="31"/>
    </row>
    <row r="2631" spans="1:6" x14ac:dyDescent="0.2">
      <c r="A2631" s="44">
        <v>113001</v>
      </c>
      <c r="B2631" s="43"/>
      <c r="C2631" s="44" t="s">
        <v>2670</v>
      </c>
      <c r="D2631" s="31"/>
      <c r="E2631" s="31"/>
      <c r="F2631" s="31"/>
    </row>
    <row r="2632" spans="1:6" x14ac:dyDescent="0.2">
      <c r="A2632" s="44">
        <v>113002</v>
      </c>
      <c r="B2632" s="43"/>
      <c r="C2632" s="44" t="s">
        <v>2671</v>
      </c>
      <c r="D2632" s="31"/>
      <c r="E2632" s="31"/>
      <c r="F2632" s="31"/>
    </row>
    <row r="2633" spans="1:6" x14ac:dyDescent="0.2">
      <c r="A2633" s="44">
        <v>113003</v>
      </c>
      <c r="B2633" s="43"/>
      <c r="C2633" s="44" t="s">
        <v>2672</v>
      </c>
      <c r="D2633" s="31"/>
      <c r="E2633" s="31"/>
      <c r="F2633" s="31"/>
    </row>
    <row r="2634" spans="1:6" x14ac:dyDescent="0.2">
      <c r="A2634" s="44">
        <v>113004</v>
      </c>
      <c r="B2634" s="43"/>
      <c r="C2634" s="44" t="s">
        <v>2673</v>
      </c>
      <c r="D2634" s="31"/>
      <c r="E2634" s="31"/>
      <c r="F2634" s="31"/>
    </row>
    <row r="2635" spans="1:6" x14ac:dyDescent="0.2">
      <c r="A2635" s="44">
        <v>113005</v>
      </c>
      <c r="B2635" s="43"/>
      <c r="C2635" s="44" t="s">
        <v>2674</v>
      </c>
      <c r="D2635" s="31"/>
      <c r="E2635" s="31"/>
      <c r="F2635" s="31"/>
    </row>
    <row r="2636" spans="1:6" x14ac:dyDescent="0.2">
      <c r="A2636" s="44">
        <v>113006</v>
      </c>
      <c r="B2636" s="43"/>
      <c r="C2636" s="44" t="s">
        <v>2675</v>
      </c>
      <c r="D2636" s="31"/>
      <c r="E2636" s="31"/>
      <c r="F2636" s="31"/>
    </row>
    <row r="2637" spans="1:6" x14ac:dyDescent="0.2">
      <c r="A2637" s="44">
        <v>113007</v>
      </c>
      <c r="B2637" s="43"/>
      <c r="C2637" s="44" t="s">
        <v>2676</v>
      </c>
      <c r="D2637" s="31"/>
      <c r="E2637" s="31"/>
      <c r="F2637" s="31"/>
    </row>
    <row r="2638" spans="1:6" x14ac:dyDescent="0.2">
      <c r="A2638" s="44">
        <v>113008</v>
      </c>
      <c r="B2638" s="43"/>
      <c r="C2638" s="44" t="s">
        <v>2677</v>
      </c>
      <c r="D2638" s="31"/>
      <c r="E2638" s="31"/>
      <c r="F2638" s="31"/>
    </row>
    <row r="2639" spans="1:6" x14ac:dyDescent="0.2">
      <c r="A2639" s="44">
        <v>113009</v>
      </c>
      <c r="B2639" s="43"/>
      <c r="C2639" s="44" t="s">
        <v>2678</v>
      </c>
      <c r="D2639" s="31"/>
      <c r="E2639" s="31"/>
      <c r="F2639" s="31"/>
    </row>
    <row r="2640" spans="1:6" x14ac:dyDescent="0.2">
      <c r="A2640" s="44">
        <v>113010</v>
      </c>
      <c r="B2640" s="43"/>
      <c r="C2640" s="44" t="s">
        <v>2679</v>
      </c>
      <c r="D2640" s="31"/>
      <c r="E2640" s="31"/>
      <c r="F2640" s="31"/>
    </row>
    <row r="2641" spans="1:6" x14ac:dyDescent="0.2">
      <c r="A2641" s="44">
        <v>113011</v>
      </c>
      <c r="B2641" s="43"/>
      <c r="C2641" s="44" t="s">
        <v>2680</v>
      </c>
      <c r="D2641" s="31"/>
      <c r="E2641" s="31"/>
      <c r="F2641" s="31"/>
    </row>
    <row r="2642" spans="1:6" x14ac:dyDescent="0.2">
      <c r="A2642" s="44">
        <v>113012</v>
      </c>
      <c r="B2642" s="43"/>
      <c r="C2642" s="44" t="s">
        <v>2681</v>
      </c>
      <c r="D2642" s="31"/>
      <c r="E2642" s="31"/>
      <c r="F2642" s="31"/>
    </row>
    <row r="2643" spans="1:6" x14ac:dyDescent="0.2">
      <c r="A2643" s="44">
        <v>113013</v>
      </c>
      <c r="B2643" s="43"/>
      <c r="C2643" s="44" t="s">
        <v>2682</v>
      </c>
      <c r="D2643" s="31"/>
      <c r="E2643" s="31"/>
      <c r="F2643" s="31"/>
    </row>
    <row r="2644" spans="1:6" x14ac:dyDescent="0.2">
      <c r="A2644" s="44">
        <v>113014</v>
      </c>
      <c r="B2644" s="43"/>
      <c r="C2644" s="44" t="s">
        <v>2683</v>
      </c>
      <c r="D2644" s="31"/>
      <c r="E2644" s="31"/>
      <c r="F2644" s="31"/>
    </row>
    <row r="2645" spans="1:6" x14ac:dyDescent="0.2">
      <c r="A2645" s="44">
        <v>113015</v>
      </c>
      <c r="B2645" s="43"/>
      <c r="C2645" s="44" t="s">
        <v>2684</v>
      </c>
      <c r="D2645" s="31"/>
      <c r="E2645" s="31"/>
      <c r="F2645" s="31"/>
    </row>
    <row r="2646" spans="1:6" x14ac:dyDescent="0.2">
      <c r="A2646" s="44">
        <v>113016</v>
      </c>
      <c r="B2646" s="43"/>
      <c r="C2646" s="44" t="s">
        <v>2685</v>
      </c>
      <c r="D2646" s="31"/>
      <c r="E2646" s="31"/>
      <c r="F2646" s="31"/>
    </row>
    <row r="2647" spans="1:6" x14ac:dyDescent="0.2">
      <c r="A2647" s="44">
        <v>113017</v>
      </c>
      <c r="B2647" s="43"/>
      <c r="C2647" s="44" t="s">
        <v>2686</v>
      </c>
      <c r="D2647" s="31"/>
      <c r="E2647" s="31"/>
      <c r="F2647" s="31"/>
    </row>
    <row r="2648" spans="1:6" x14ac:dyDescent="0.2">
      <c r="A2648" s="44">
        <v>113018</v>
      </c>
      <c r="B2648" s="43"/>
      <c r="C2648" s="44" t="s">
        <v>2687</v>
      </c>
      <c r="D2648" s="31"/>
      <c r="E2648" s="31"/>
      <c r="F2648" s="31"/>
    </row>
    <row r="2649" spans="1:6" x14ac:dyDescent="0.2">
      <c r="A2649" s="44">
        <v>113019</v>
      </c>
      <c r="B2649" s="43"/>
      <c r="C2649" s="44" t="s">
        <v>2688</v>
      </c>
      <c r="D2649" s="31"/>
      <c r="E2649" s="31"/>
      <c r="F2649" s="31"/>
    </row>
    <row r="2650" spans="1:6" x14ac:dyDescent="0.2">
      <c r="A2650" s="44">
        <v>113020</v>
      </c>
      <c r="B2650" s="43"/>
      <c r="C2650" s="44" t="s">
        <v>2689</v>
      </c>
      <c r="D2650" s="31"/>
      <c r="E2650" s="31"/>
      <c r="F2650" s="31"/>
    </row>
    <row r="2651" spans="1:6" x14ac:dyDescent="0.2">
      <c r="A2651" s="44">
        <v>113021</v>
      </c>
      <c r="B2651" s="43"/>
      <c r="C2651" s="44" t="s">
        <v>2690</v>
      </c>
      <c r="D2651" s="31"/>
      <c r="E2651" s="31"/>
      <c r="F2651" s="31"/>
    </row>
    <row r="2652" spans="1:6" x14ac:dyDescent="0.2">
      <c r="A2652" s="44">
        <v>113022</v>
      </c>
      <c r="B2652" s="43"/>
      <c r="C2652" s="44" t="s">
        <v>2691</v>
      </c>
      <c r="D2652" s="31"/>
      <c r="E2652" s="31"/>
      <c r="F2652" s="31"/>
    </row>
    <row r="2653" spans="1:6" x14ac:dyDescent="0.2">
      <c r="A2653" s="44">
        <v>114000</v>
      </c>
      <c r="B2653" s="43"/>
      <c r="C2653" s="44" t="s">
        <v>2692</v>
      </c>
      <c r="D2653" s="31"/>
      <c r="E2653" s="31"/>
      <c r="F2653" s="31"/>
    </row>
    <row r="2654" spans="1:6" x14ac:dyDescent="0.2">
      <c r="A2654" s="44">
        <v>114001</v>
      </c>
      <c r="B2654" s="43"/>
      <c r="C2654" s="44" t="s">
        <v>2693</v>
      </c>
      <c r="D2654" s="31"/>
      <c r="E2654" s="31"/>
      <c r="F2654" s="31"/>
    </row>
    <row r="2655" spans="1:6" x14ac:dyDescent="0.2">
      <c r="A2655" s="44">
        <v>114002</v>
      </c>
      <c r="B2655" s="43"/>
      <c r="C2655" s="44" t="s">
        <v>2694</v>
      </c>
      <c r="D2655" s="31"/>
      <c r="E2655" s="31"/>
      <c r="F2655" s="31"/>
    </row>
    <row r="2656" spans="1:6" x14ac:dyDescent="0.2">
      <c r="A2656" s="44">
        <v>114003</v>
      </c>
      <c r="B2656" s="43"/>
      <c r="C2656" s="44" t="s">
        <v>2695</v>
      </c>
      <c r="D2656" s="31"/>
      <c r="E2656" s="31"/>
      <c r="F2656" s="31"/>
    </row>
    <row r="2657" spans="1:6" x14ac:dyDescent="0.2">
      <c r="A2657" s="44">
        <v>114004</v>
      </c>
      <c r="B2657" s="43"/>
      <c r="C2657" s="44" t="s">
        <v>2696</v>
      </c>
      <c r="D2657" s="31"/>
      <c r="E2657" s="31"/>
      <c r="F2657" s="31"/>
    </row>
    <row r="2658" spans="1:6" x14ac:dyDescent="0.2">
      <c r="A2658" s="44">
        <v>114005</v>
      </c>
      <c r="B2658" s="43"/>
      <c r="C2658" s="44" t="s">
        <v>2697</v>
      </c>
      <c r="D2658" s="31"/>
      <c r="E2658" s="31"/>
      <c r="F2658" s="31"/>
    </row>
    <row r="2659" spans="1:6" x14ac:dyDescent="0.2">
      <c r="A2659" s="44">
        <v>114006</v>
      </c>
      <c r="B2659" s="43"/>
      <c r="C2659" s="44" t="s">
        <v>2698</v>
      </c>
      <c r="D2659" s="31"/>
      <c r="E2659" s="31"/>
      <c r="F2659" s="31"/>
    </row>
    <row r="2660" spans="1:6" x14ac:dyDescent="0.2">
      <c r="A2660" s="44">
        <v>114007</v>
      </c>
      <c r="B2660" s="43"/>
      <c r="C2660" s="44" t="s">
        <v>2699</v>
      </c>
      <c r="D2660" s="31"/>
      <c r="E2660" s="31"/>
      <c r="F2660" s="31"/>
    </row>
    <row r="2661" spans="1:6" x14ac:dyDescent="0.2">
      <c r="A2661" s="44">
        <v>114008</v>
      </c>
      <c r="B2661" s="43"/>
      <c r="C2661" s="44" t="s">
        <v>2700</v>
      </c>
      <c r="D2661" s="31"/>
      <c r="E2661" s="31"/>
      <c r="F2661" s="31"/>
    </row>
    <row r="2662" spans="1:6" x14ac:dyDescent="0.2">
      <c r="A2662" s="44">
        <v>114009</v>
      </c>
      <c r="B2662" s="43"/>
      <c r="C2662" s="44" t="s">
        <v>2701</v>
      </c>
      <c r="D2662" s="31"/>
      <c r="E2662" s="31"/>
      <c r="F2662" s="31"/>
    </row>
    <row r="2663" spans="1:6" x14ac:dyDescent="0.2">
      <c r="A2663" s="44">
        <v>114010</v>
      </c>
      <c r="B2663" s="43"/>
      <c r="C2663" s="44" t="s">
        <v>2702</v>
      </c>
      <c r="D2663" s="31"/>
      <c r="E2663" s="31"/>
      <c r="F2663" s="31"/>
    </row>
    <row r="2664" spans="1:6" x14ac:dyDescent="0.2">
      <c r="A2664" s="44">
        <v>114011</v>
      </c>
      <c r="B2664" s="43"/>
      <c r="C2664" s="44" t="s">
        <v>2703</v>
      </c>
      <c r="D2664" s="31"/>
      <c r="E2664" s="31"/>
      <c r="F2664" s="31"/>
    </row>
    <row r="2665" spans="1:6" x14ac:dyDescent="0.2">
      <c r="A2665" s="44">
        <v>114012</v>
      </c>
      <c r="B2665" s="43"/>
      <c r="C2665" s="44" t="s">
        <v>2704</v>
      </c>
      <c r="D2665" s="31"/>
      <c r="E2665" s="31"/>
      <c r="F2665" s="31"/>
    </row>
    <row r="2666" spans="1:6" x14ac:dyDescent="0.2">
      <c r="A2666" s="44">
        <v>114013</v>
      </c>
      <c r="B2666" s="43"/>
      <c r="C2666" s="44" t="s">
        <v>2705</v>
      </c>
      <c r="D2666" s="31"/>
      <c r="E2666" s="31"/>
      <c r="F2666" s="31"/>
    </row>
    <row r="2667" spans="1:6" x14ac:dyDescent="0.2">
      <c r="A2667" s="44">
        <v>114014</v>
      </c>
      <c r="B2667" s="43"/>
      <c r="C2667" s="44" t="s">
        <v>2706</v>
      </c>
      <c r="D2667" s="31"/>
      <c r="E2667" s="31"/>
      <c r="F2667" s="31"/>
    </row>
    <row r="2668" spans="1:6" x14ac:dyDescent="0.2">
      <c r="A2668" s="44">
        <v>114015</v>
      </c>
      <c r="B2668" s="43"/>
      <c r="C2668" s="44" t="s">
        <v>2707</v>
      </c>
      <c r="D2668" s="31"/>
      <c r="E2668" s="31"/>
      <c r="F2668" s="31"/>
    </row>
    <row r="2669" spans="1:6" x14ac:dyDescent="0.2">
      <c r="A2669" s="44">
        <v>114016</v>
      </c>
      <c r="B2669" s="43"/>
      <c r="C2669" s="44" t="s">
        <v>2708</v>
      </c>
      <c r="D2669" s="31"/>
      <c r="E2669" s="31"/>
      <c r="F2669" s="31"/>
    </row>
    <row r="2670" spans="1:6" x14ac:dyDescent="0.2">
      <c r="A2670" s="44">
        <v>114017</v>
      </c>
      <c r="B2670" s="43"/>
      <c r="C2670" s="44" t="s">
        <v>2709</v>
      </c>
      <c r="D2670" s="31"/>
      <c r="E2670" s="31"/>
      <c r="F2670" s="31"/>
    </row>
    <row r="2671" spans="1:6" x14ac:dyDescent="0.2">
      <c r="A2671" s="44">
        <v>114018</v>
      </c>
      <c r="B2671" s="43"/>
      <c r="C2671" s="44" t="s">
        <v>2710</v>
      </c>
      <c r="D2671" s="31"/>
      <c r="E2671" s="31"/>
      <c r="F2671" s="31"/>
    </row>
    <row r="2672" spans="1:6" x14ac:dyDescent="0.2">
      <c r="A2672" s="44">
        <v>114019</v>
      </c>
      <c r="B2672" s="43"/>
      <c r="C2672" s="44" t="s">
        <v>2711</v>
      </c>
      <c r="D2672" s="31"/>
      <c r="E2672" s="31"/>
      <c r="F2672" s="31"/>
    </row>
    <row r="2673" spans="1:6" x14ac:dyDescent="0.2">
      <c r="A2673" s="44">
        <v>114020</v>
      </c>
      <c r="B2673" s="43"/>
      <c r="C2673" s="44" t="s">
        <v>2712</v>
      </c>
      <c r="D2673" s="31"/>
      <c r="E2673" s="31"/>
      <c r="F2673" s="31"/>
    </row>
    <row r="2674" spans="1:6" x14ac:dyDescent="0.2">
      <c r="A2674" s="44">
        <v>114021</v>
      </c>
      <c r="B2674" s="43"/>
      <c r="C2674" s="44" t="s">
        <v>2713</v>
      </c>
      <c r="D2674" s="31"/>
      <c r="E2674" s="31"/>
      <c r="F2674" s="31"/>
    </row>
    <row r="2675" spans="1:6" x14ac:dyDescent="0.2">
      <c r="A2675" s="44">
        <v>114022</v>
      </c>
      <c r="B2675" s="43"/>
      <c r="C2675" s="44" t="s">
        <v>2714</v>
      </c>
      <c r="D2675" s="31"/>
      <c r="E2675" s="31"/>
      <c r="F2675" s="31"/>
    </row>
    <row r="2676" spans="1:6" x14ac:dyDescent="0.2">
      <c r="A2676" s="44">
        <v>115000</v>
      </c>
      <c r="B2676" s="43"/>
      <c r="C2676" s="44" t="s">
        <v>2715</v>
      </c>
      <c r="D2676" s="31"/>
      <c r="E2676" s="31"/>
      <c r="F2676" s="31"/>
    </row>
    <row r="2677" spans="1:6" x14ac:dyDescent="0.2">
      <c r="A2677" s="44">
        <v>115001</v>
      </c>
      <c r="B2677" s="43"/>
      <c r="C2677" s="44" t="s">
        <v>2716</v>
      </c>
      <c r="D2677" s="31"/>
      <c r="E2677" s="31"/>
      <c r="F2677" s="31"/>
    </row>
    <row r="2678" spans="1:6" x14ac:dyDescent="0.2">
      <c r="A2678" s="44">
        <v>115002</v>
      </c>
      <c r="B2678" s="43"/>
      <c r="C2678" s="44" t="s">
        <v>2717</v>
      </c>
      <c r="D2678" s="31"/>
      <c r="E2678" s="31"/>
      <c r="F2678" s="31"/>
    </row>
    <row r="2679" spans="1:6" x14ac:dyDescent="0.2">
      <c r="A2679" s="44">
        <v>115003</v>
      </c>
      <c r="B2679" s="43"/>
      <c r="C2679" s="44" t="s">
        <v>2718</v>
      </c>
      <c r="D2679" s="31"/>
      <c r="E2679" s="31"/>
      <c r="F2679" s="31"/>
    </row>
    <row r="2680" spans="1:6" x14ac:dyDescent="0.2">
      <c r="A2680" s="44">
        <v>115004</v>
      </c>
      <c r="B2680" s="43"/>
      <c r="C2680" s="44" t="s">
        <v>2719</v>
      </c>
      <c r="D2680" s="31"/>
      <c r="E2680" s="31"/>
      <c r="F2680" s="31"/>
    </row>
    <row r="2681" spans="1:6" x14ac:dyDescent="0.2">
      <c r="A2681" s="44">
        <v>115005</v>
      </c>
      <c r="B2681" s="43"/>
      <c r="C2681" s="44" t="s">
        <v>2720</v>
      </c>
      <c r="D2681" s="31"/>
      <c r="E2681" s="31"/>
      <c r="F2681" s="31"/>
    </row>
    <row r="2682" spans="1:6" x14ac:dyDescent="0.2">
      <c r="A2682" s="44">
        <v>115006</v>
      </c>
      <c r="B2682" s="43"/>
      <c r="C2682" s="44" t="s">
        <v>2721</v>
      </c>
      <c r="D2682" s="31"/>
      <c r="E2682" s="31"/>
      <c r="F2682" s="31"/>
    </row>
    <row r="2683" spans="1:6" x14ac:dyDescent="0.2">
      <c r="A2683" s="44">
        <v>115007</v>
      </c>
      <c r="B2683" s="43"/>
      <c r="C2683" s="44" t="s">
        <v>2722</v>
      </c>
      <c r="D2683" s="31"/>
      <c r="E2683" s="31"/>
      <c r="F2683" s="31"/>
    </row>
    <row r="2684" spans="1:6" x14ac:dyDescent="0.2">
      <c r="A2684" s="44">
        <v>115008</v>
      </c>
      <c r="B2684" s="43"/>
      <c r="C2684" s="44" t="s">
        <v>2723</v>
      </c>
      <c r="D2684" s="31"/>
      <c r="E2684" s="31"/>
      <c r="F2684" s="31"/>
    </row>
    <row r="2685" spans="1:6" x14ac:dyDescent="0.2">
      <c r="A2685" s="44">
        <v>115009</v>
      </c>
      <c r="B2685" s="43"/>
      <c r="C2685" s="44" t="s">
        <v>2724</v>
      </c>
      <c r="D2685" s="31"/>
      <c r="E2685" s="31"/>
      <c r="F2685" s="31"/>
    </row>
    <row r="2686" spans="1:6" x14ac:dyDescent="0.2">
      <c r="A2686" s="44">
        <v>115010</v>
      </c>
      <c r="B2686" s="43"/>
      <c r="C2686" s="44" t="s">
        <v>2725</v>
      </c>
      <c r="D2686" s="31"/>
      <c r="E2686" s="31"/>
      <c r="F2686" s="31"/>
    </row>
    <row r="2687" spans="1:6" x14ac:dyDescent="0.2">
      <c r="A2687" s="44">
        <v>115011</v>
      </c>
      <c r="B2687" s="43"/>
      <c r="C2687" s="44" t="s">
        <v>2726</v>
      </c>
      <c r="D2687" s="31"/>
      <c r="E2687" s="31"/>
      <c r="F2687" s="31"/>
    </row>
    <row r="2688" spans="1:6" x14ac:dyDescent="0.2">
      <c r="A2688" s="44">
        <v>115012</v>
      </c>
      <c r="B2688" s="43"/>
      <c r="C2688" s="44" t="s">
        <v>2727</v>
      </c>
      <c r="D2688" s="31"/>
      <c r="E2688" s="31"/>
      <c r="F2688" s="31"/>
    </row>
    <row r="2689" spans="1:6" x14ac:dyDescent="0.2">
      <c r="A2689" s="44">
        <v>115013</v>
      </c>
      <c r="B2689" s="43"/>
      <c r="C2689" s="44" t="s">
        <v>2728</v>
      </c>
      <c r="D2689" s="31"/>
      <c r="E2689" s="31"/>
      <c r="F2689" s="31"/>
    </row>
    <row r="2690" spans="1:6" x14ac:dyDescent="0.2">
      <c r="A2690" s="44">
        <v>115014</v>
      </c>
      <c r="B2690" s="43"/>
      <c r="C2690" s="44" t="s">
        <v>2729</v>
      </c>
      <c r="D2690" s="31"/>
      <c r="E2690" s="31"/>
      <c r="F2690" s="31"/>
    </row>
    <row r="2691" spans="1:6" x14ac:dyDescent="0.2">
      <c r="A2691" s="44">
        <v>115015</v>
      </c>
      <c r="B2691" s="43"/>
      <c r="C2691" s="44" t="s">
        <v>2730</v>
      </c>
      <c r="D2691" s="31"/>
      <c r="E2691" s="31"/>
      <c r="F2691" s="31"/>
    </row>
    <row r="2692" spans="1:6" x14ac:dyDescent="0.2">
      <c r="A2692" s="44">
        <v>115016</v>
      </c>
      <c r="B2692" s="43"/>
      <c r="C2692" s="44" t="s">
        <v>2731</v>
      </c>
      <c r="D2692" s="31"/>
      <c r="E2692" s="31"/>
      <c r="F2692" s="31"/>
    </row>
    <row r="2693" spans="1:6" x14ac:dyDescent="0.2">
      <c r="A2693" s="44">
        <v>115017</v>
      </c>
      <c r="B2693" s="43"/>
      <c r="C2693" s="44" t="s">
        <v>2732</v>
      </c>
      <c r="D2693" s="31"/>
      <c r="E2693" s="31"/>
      <c r="F2693" s="31"/>
    </row>
    <row r="2694" spans="1:6" x14ac:dyDescent="0.2">
      <c r="A2694" s="44">
        <v>115018</v>
      </c>
      <c r="B2694" s="43"/>
      <c r="C2694" s="44" t="s">
        <v>2733</v>
      </c>
      <c r="D2694" s="31"/>
      <c r="E2694" s="31"/>
      <c r="F2694" s="31"/>
    </row>
    <row r="2695" spans="1:6" x14ac:dyDescent="0.2">
      <c r="A2695" s="44">
        <v>115019</v>
      </c>
      <c r="B2695" s="43"/>
      <c r="C2695" s="44" t="s">
        <v>2734</v>
      </c>
      <c r="D2695" s="31"/>
      <c r="E2695" s="31"/>
      <c r="F2695" s="31"/>
    </row>
    <row r="2696" spans="1:6" x14ac:dyDescent="0.2">
      <c r="A2696" s="44">
        <v>115020</v>
      </c>
      <c r="B2696" s="43"/>
      <c r="C2696" s="44" t="s">
        <v>2735</v>
      </c>
      <c r="D2696" s="31"/>
      <c r="E2696" s="31"/>
      <c r="F2696" s="31"/>
    </row>
    <row r="2697" spans="1:6" x14ac:dyDescent="0.2">
      <c r="A2697" s="44">
        <v>115021</v>
      </c>
      <c r="B2697" s="43"/>
      <c r="C2697" s="44" t="s">
        <v>2736</v>
      </c>
      <c r="D2697" s="31"/>
      <c r="E2697" s="31"/>
      <c r="F2697" s="31"/>
    </row>
    <row r="2698" spans="1:6" x14ac:dyDescent="0.2">
      <c r="A2698" s="44">
        <v>115022</v>
      </c>
      <c r="B2698" s="43"/>
      <c r="C2698" s="44" t="s">
        <v>2737</v>
      </c>
      <c r="D2698" s="31"/>
      <c r="E2698" s="31"/>
      <c r="F2698" s="31"/>
    </row>
    <row r="2699" spans="1:6" x14ac:dyDescent="0.2">
      <c r="A2699" s="44">
        <v>116000</v>
      </c>
      <c r="B2699" s="43"/>
      <c r="C2699" s="44" t="s">
        <v>2738</v>
      </c>
      <c r="D2699" s="31"/>
      <c r="E2699" s="31"/>
      <c r="F2699" s="31"/>
    </row>
    <row r="2700" spans="1:6" x14ac:dyDescent="0.2">
      <c r="A2700" s="44">
        <v>116001</v>
      </c>
      <c r="B2700" s="43"/>
      <c r="C2700" s="44" t="s">
        <v>2739</v>
      </c>
      <c r="D2700" s="31"/>
      <c r="E2700" s="31"/>
      <c r="F2700" s="31"/>
    </row>
    <row r="2701" spans="1:6" x14ac:dyDescent="0.2">
      <c r="A2701" s="44">
        <v>116002</v>
      </c>
      <c r="B2701" s="43"/>
      <c r="C2701" s="44" t="s">
        <v>2740</v>
      </c>
      <c r="D2701" s="31"/>
      <c r="E2701" s="31"/>
      <c r="F2701" s="31"/>
    </row>
    <row r="2702" spans="1:6" x14ac:dyDescent="0.2">
      <c r="A2702" s="44">
        <v>116003</v>
      </c>
      <c r="B2702" s="43"/>
      <c r="C2702" s="44" t="s">
        <v>2741</v>
      </c>
      <c r="D2702" s="31"/>
      <c r="E2702" s="31"/>
      <c r="F2702" s="31"/>
    </row>
    <row r="2703" spans="1:6" x14ac:dyDescent="0.2">
      <c r="A2703" s="44">
        <v>116004</v>
      </c>
      <c r="B2703" s="43"/>
      <c r="C2703" s="44" t="s">
        <v>2742</v>
      </c>
      <c r="D2703" s="31"/>
      <c r="E2703" s="31"/>
      <c r="F2703" s="31"/>
    </row>
    <row r="2704" spans="1:6" x14ac:dyDescent="0.2">
      <c r="A2704" s="44">
        <v>116005</v>
      </c>
      <c r="B2704" s="43"/>
      <c r="C2704" s="44" t="s">
        <v>2743</v>
      </c>
      <c r="D2704" s="31"/>
      <c r="E2704" s="31"/>
      <c r="F2704" s="31"/>
    </row>
    <row r="2705" spans="1:6" x14ac:dyDescent="0.2">
      <c r="A2705" s="44">
        <v>116006</v>
      </c>
      <c r="B2705" s="43"/>
      <c r="C2705" s="44" t="s">
        <v>2744</v>
      </c>
      <c r="D2705" s="31"/>
      <c r="E2705" s="31"/>
      <c r="F2705" s="31"/>
    </row>
    <row r="2706" spans="1:6" x14ac:dyDescent="0.2">
      <c r="A2706" s="44">
        <v>116007</v>
      </c>
      <c r="B2706" s="43"/>
      <c r="C2706" s="44" t="s">
        <v>2745</v>
      </c>
      <c r="D2706" s="31"/>
      <c r="E2706" s="31"/>
      <c r="F2706" s="31"/>
    </row>
    <row r="2707" spans="1:6" x14ac:dyDescent="0.2">
      <c r="A2707" s="44">
        <v>116008</v>
      </c>
      <c r="B2707" s="43"/>
      <c r="C2707" s="44" t="s">
        <v>2746</v>
      </c>
      <c r="D2707" s="31"/>
      <c r="E2707" s="31"/>
      <c r="F2707" s="31"/>
    </row>
    <row r="2708" spans="1:6" x14ac:dyDescent="0.2">
      <c r="A2708" s="44">
        <v>116009</v>
      </c>
      <c r="B2708" s="43"/>
      <c r="C2708" s="44" t="s">
        <v>2747</v>
      </c>
      <c r="D2708" s="31"/>
      <c r="E2708" s="31"/>
      <c r="F2708" s="31"/>
    </row>
    <row r="2709" spans="1:6" x14ac:dyDescent="0.2">
      <c r="A2709" s="44">
        <v>116010</v>
      </c>
      <c r="B2709" s="43"/>
      <c r="C2709" s="44" t="s">
        <v>2748</v>
      </c>
      <c r="D2709" s="31"/>
      <c r="E2709" s="31"/>
      <c r="F2709" s="31"/>
    </row>
    <row r="2710" spans="1:6" x14ac:dyDescent="0.2">
      <c r="A2710" s="44">
        <v>116011</v>
      </c>
      <c r="B2710" s="43"/>
      <c r="C2710" s="44" t="s">
        <v>2749</v>
      </c>
      <c r="D2710" s="31"/>
      <c r="E2710" s="31"/>
      <c r="F2710" s="31"/>
    </row>
    <row r="2711" spans="1:6" x14ac:dyDescent="0.2">
      <c r="A2711" s="44">
        <v>116012</v>
      </c>
      <c r="B2711" s="43"/>
      <c r="C2711" s="44" t="s">
        <v>2750</v>
      </c>
      <c r="D2711" s="31"/>
      <c r="E2711" s="31"/>
      <c r="F2711" s="31"/>
    </row>
    <row r="2712" spans="1:6" x14ac:dyDescent="0.2">
      <c r="A2712" s="44">
        <v>116013</v>
      </c>
      <c r="B2712" s="43"/>
      <c r="C2712" s="44" t="s">
        <v>2751</v>
      </c>
      <c r="D2712" s="31"/>
      <c r="E2712" s="31"/>
      <c r="F2712" s="31"/>
    </row>
    <row r="2713" spans="1:6" x14ac:dyDescent="0.2">
      <c r="A2713" s="44">
        <v>116014</v>
      </c>
      <c r="B2713" s="43"/>
      <c r="C2713" s="44" t="s">
        <v>2752</v>
      </c>
      <c r="D2713" s="31"/>
      <c r="E2713" s="31"/>
      <c r="F2713" s="31"/>
    </row>
    <row r="2714" spans="1:6" x14ac:dyDescent="0.2">
      <c r="A2714" s="44">
        <v>116015</v>
      </c>
      <c r="B2714" s="43"/>
      <c r="C2714" s="44" t="s">
        <v>2753</v>
      </c>
      <c r="D2714" s="31"/>
      <c r="E2714" s="31"/>
      <c r="F2714" s="31"/>
    </row>
    <row r="2715" spans="1:6" x14ac:dyDescent="0.2">
      <c r="A2715" s="44">
        <v>116016</v>
      </c>
      <c r="B2715" s="43"/>
      <c r="C2715" s="44" t="s">
        <v>2754</v>
      </c>
      <c r="D2715" s="31"/>
      <c r="E2715" s="31"/>
      <c r="F2715" s="31"/>
    </row>
    <row r="2716" spans="1:6" x14ac:dyDescent="0.2">
      <c r="A2716" s="44">
        <v>116017</v>
      </c>
      <c r="B2716" s="43"/>
      <c r="C2716" s="44" t="s">
        <v>2755</v>
      </c>
      <c r="D2716" s="31"/>
      <c r="E2716" s="31"/>
      <c r="F2716" s="31"/>
    </row>
    <row r="2717" spans="1:6" x14ac:dyDescent="0.2">
      <c r="A2717" s="44">
        <v>116018</v>
      </c>
      <c r="B2717" s="43"/>
      <c r="C2717" s="44" t="s">
        <v>2756</v>
      </c>
      <c r="D2717" s="31"/>
      <c r="E2717" s="31"/>
      <c r="F2717" s="31"/>
    </row>
    <row r="2718" spans="1:6" x14ac:dyDescent="0.2">
      <c r="A2718" s="44">
        <v>116019</v>
      </c>
      <c r="B2718" s="43"/>
      <c r="C2718" s="44" t="s">
        <v>2757</v>
      </c>
      <c r="D2718" s="31"/>
      <c r="E2718" s="31"/>
      <c r="F2718" s="31"/>
    </row>
    <row r="2719" spans="1:6" x14ac:dyDescent="0.2">
      <c r="A2719" s="44">
        <v>116020</v>
      </c>
      <c r="B2719" s="43"/>
      <c r="C2719" s="44" t="s">
        <v>2758</v>
      </c>
      <c r="D2719" s="31"/>
      <c r="E2719" s="31"/>
      <c r="F2719" s="31"/>
    </row>
    <row r="2720" spans="1:6" x14ac:dyDescent="0.2">
      <c r="A2720" s="44">
        <v>116021</v>
      </c>
      <c r="B2720" s="43"/>
      <c r="C2720" s="44" t="s">
        <v>2759</v>
      </c>
      <c r="D2720" s="31"/>
      <c r="E2720" s="31"/>
      <c r="F2720" s="31"/>
    </row>
    <row r="2721" spans="1:6" x14ac:dyDescent="0.2">
      <c r="A2721" s="44">
        <v>116022</v>
      </c>
      <c r="B2721" s="43"/>
      <c r="C2721" s="44" t="s">
        <v>2760</v>
      </c>
      <c r="D2721" s="31"/>
      <c r="E2721" s="31"/>
      <c r="F2721" s="31"/>
    </row>
    <row r="2722" spans="1:6" x14ac:dyDescent="0.2">
      <c r="A2722" s="44">
        <v>117000</v>
      </c>
      <c r="B2722" s="43"/>
      <c r="C2722" s="44" t="s">
        <v>2761</v>
      </c>
      <c r="D2722" s="31"/>
      <c r="E2722" s="31"/>
      <c r="F2722" s="31"/>
    </row>
    <row r="2723" spans="1:6" x14ac:dyDescent="0.2">
      <c r="A2723" s="44">
        <v>117001</v>
      </c>
      <c r="B2723" s="43"/>
      <c r="C2723" s="44" t="s">
        <v>2762</v>
      </c>
      <c r="D2723" s="31"/>
      <c r="E2723" s="31"/>
      <c r="F2723" s="31"/>
    </row>
    <row r="2724" spans="1:6" x14ac:dyDescent="0.2">
      <c r="A2724" s="44">
        <v>117002</v>
      </c>
      <c r="B2724" s="43"/>
      <c r="C2724" s="44" t="s">
        <v>2763</v>
      </c>
      <c r="D2724" s="31"/>
      <c r="E2724" s="31"/>
      <c r="F2724" s="31"/>
    </row>
    <row r="2725" spans="1:6" x14ac:dyDescent="0.2">
      <c r="A2725" s="44">
        <v>117003</v>
      </c>
      <c r="B2725" s="43"/>
      <c r="C2725" s="44" t="s">
        <v>2764</v>
      </c>
      <c r="D2725" s="31"/>
      <c r="E2725" s="31"/>
      <c r="F2725" s="31"/>
    </row>
    <row r="2726" spans="1:6" x14ac:dyDescent="0.2">
      <c r="A2726" s="44">
        <v>117004</v>
      </c>
      <c r="B2726" s="43"/>
      <c r="C2726" s="44" t="s">
        <v>2765</v>
      </c>
      <c r="D2726" s="31"/>
      <c r="E2726" s="31"/>
      <c r="F2726" s="31"/>
    </row>
    <row r="2727" spans="1:6" x14ac:dyDescent="0.2">
      <c r="A2727" s="44">
        <v>117005</v>
      </c>
      <c r="B2727" s="43"/>
      <c r="C2727" s="44" t="s">
        <v>2766</v>
      </c>
      <c r="D2727" s="31"/>
      <c r="E2727" s="31"/>
      <c r="F2727" s="31"/>
    </row>
    <row r="2728" spans="1:6" x14ac:dyDescent="0.2">
      <c r="A2728" s="44">
        <v>117006</v>
      </c>
      <c r="B2728" s="43"/>
      <c r="C2728" s="44" t="s">
        <v>2767</v>
      </c>
      <c r="D2728" s="31"/>
      <c r="E2728" s="31"/>
      <c r="F2728" s="31"/>
    </row>
    <row r="2729" spans="1:6" x14ac:dyDescent="0.2">
      <c r="A2729" s="44">
        <v>117007</v>
      </c>
      <c r="B2729" s="43"/>
      <c r="C2729" s="44" t="s">
        <v>2768</v>
      </c>
      <c r="D2729" s="31"/>
      <c r="E2729" s="31"/>
      <c r="F2729" s="31"/>
    </row>
    <row r="2730" spans="1:6" x14ac:dyDescent="0.2">
      <c r="A2730" s="44">
        <v>117008</v>
      </c>
      <c r="B2730" s="43"/>
      <c r="C2730" s="44" t="s">
        <v>2769</v>
      </c>
      <c r="D2730" s="31"/>
      <c r="E2730" s="31"/>
      <c r="F2730" s="31"/>
    </row>
    <row r="2731" spans="1:6" x14ac:dyDescent="0.2">
      <c r="A2731" s="44">
        <v>117009</v>
      </c>
      <c r="B2731" s="43"/>
      <c r="C2731" s="44" t="s">
        <v>2770</v>
      </c>
      <c r="D2731" s="31"/>
      <c r="E2731" s="31"/>
      <c r="F2731" s="31"/>
    </row>
    <row r="2732" spans="1:6" x14ac:dyDescent="0.2">
      <c r="A2732" s="44">
        <v>117010</v>
      </c>
      <c r="B2732" s="43"/>
      <c r="C2732" s="44" t="s">
        <v>2771</v>
      </c>
      <c r="D2732" s="31"/>
      <c r="E2732" s="31"/>
      <c r="F2732" s="31"/>
    </row>
    <row r="2733" spans="1:6" x14ac:dyDescent="0.2">
      <c r="A2733" s="44">
        <v>117011</v>
      </c>
      <c r="B2733" s="43"/>
      <c r="C2733" s="44" t="s">
        <v>2772</v>
      </c>
      <c r="D2733" s="31"/>
      <c r="E2733" s="31"/>
      <c r="F2733" s="31"/>
    </row>
    <row r="2734" spans="1:6" x14ac:dyDescent="0.2">
      <c r="A2734" s="44">
        <v>117012</v>
      </c>
      <c r="B2734" s="43"/>
      <c r="C2734" s="44" t="s">
        <v>2773</v>
      </c>
      <c r="D2734" s="31"/>
      <c r="E2734" s="31"/>
      <c r="F2734" s="31"/>
    </row>
    <row r="2735" spans="1:6" x14ac:dyDescent="0.2">
      <c r="A2735" s="44">
        <v>117013</v>
      </c>
      <c r="B2735" s="43"/>
      <c r="C2735" s="44" t="s">
        <v>2774</v>
      </c>
      <c r="D2735" s="31"/>
      <c r="E2735" s="31"/>
      <c r="F2735" s="31"/>
    </row>
    <row r="2736" spans="1:6" x14ac:dyDescent="0.2">
      <c r="A2736" s="44">
        <v>117014</v>
      </c>
      <c r="B2736" s="43"/>
      <c r="C2736" s="44" t="s">
        <v>2775</v>
      </c>
      <c r="D2736" s="31"/>
      <c r="E2736" s="31"/>
      <c r="F2736" s="31"/>
    </row>
    <row r="2737" spans="1:6" x14ac:dyDescent="0.2">
      <c r="A2737" s="44">
        <v>117015</v>
      </c>
      <c r="B2737" s="43"/>
      <c r="C2737" s="44" t="s">
        <v>2776</v>
      </c>
      <c r="D2737" s="31"/>
      <c r="E2737" s="31"/>
      <c r="F2737" s="31"/>
    </row>
    <row r="2738" spans="1:6" x14ac:dyDescent="0.2">
      <c r="A2738" s="44">
        <v>117016</v>
      </c>
      <c r="B2738" s="43"/>
      <c r="C2738" s="44" t="s">
        <v>2777</v>
      </c>
      <c r="D2738" s="31"/>
      <c r="E2738" s="31"/>
      <c r="F2738" s="31"/>
    </row>
    <row r="2739" spans="1:6" x14ac:dyDescent="0.2">
      <c r="A2739" s="44">
        <v>117017</v>
      </c>
      <c r="B2739" s="43"/>
      <c r="C2739" s="44" t="s">
        <v>2778</v>
      </c>
      <c r="D2739" s="31"/>
      <c r="E2739" s="31"/>
      <c r="F2739" s="31"/>
    </row>
    <row r="2740" spans="1:6" x14ac:dyDescent="0.2">
      <c r="A2740" s="44">
        <v>117018</v>
      </c>
      <c r="B2740" s="43"/>
      <c r="C2740" s="44" t="s">
        <v>2779</v>
      </c>
      <c r="D2740" s="31"/>
      <c r="E2740" s="31"/>
      <c r="F2740" s="31"/>
    </row>
    <row r="2741" spans="1:6" x14ac:dyDescent="0.2">
      <c r="A2741" s="44">
        <v>117019</v>
      </c>
      <c r="B2741" s="43"/>
      <c r="C2741" s="44" t="s">
        <v>2780</v>
      </c>
      <c r="D2741" s="31"/>
      <c r="E2741" s="31"/>
      <c r="F2741" s="31"/>
    </row>
    <row r="2742" spans="1:6" x14ac:dyDescent="0.2">
      <c r="A2742" s="44">
        <v>117020</v>
      </c>
      <c r="B2742" s="43"/>
      <c r="C2742" s="44" t="s">
        <v>2781</v>
      </c>
      <c r="D2742" s="31"/>
      <c r="E2742" s="31"/>
      <c r="F2742" s="31"/>
    </row>
    <row r="2743" spans="1:6" x14ac:dyDescent="0.2">
      <c r="A2743" s="44">
        <v>117021</v>
      </c>
      <c r="B2743" s="43"/>
      <c r="C2743" s="44" t="s">
        <v>2782</v>
      </c>
      <c r="D2743" s="31"/>
      <c r="E2743" s="31"/>
      <c r="F2743" s="31"/>
    </row>
    <row r="2744" spans="1:6" x14ac:dyDescent="0.2">
      <c r="A2744" s="44">
        <v>117022</v>
      </c>
      <c r="B2744" s="43"/>
      <c r="C2744" s="44" t="s">
        <v>2783</v>
      </c>
      <c r="D2744" s="31"/>
      <c r="E2744" s="31"/>
      <c r="F2744" s="31"/>
    </row>
    <row r="2745" spans="1:6" x14ac:dyDescent="0.2">
      <c r="A2745" s="44">
        <v>118000</v>
      </c>
      <c r="B2745" s="43"/>
      <c r="C2745" s="44" t="s">
        <v>2784</v>
      </c>
      <c r="D2745" s="31"/>
      <c r="E2745" s="31"/>
      <c r="F2745" s="31"/>
    </row>
    <row r="2746" spans="1:6" x14ac:dyDescent="0.2">
      <c r="A2746" s="44">
        <v>118001</v>
      </c>
      <c r="B2746" s="43"/>
      <c r="C2746" s="44" t="s">
        <v>2785</v>
      </c>
      <c r="D2746" s="31"/>
      <c r="E2746" s="31"/>
      <c r="F2746" s="31"/>
    </row>
    <row r="2747" spans="1:6" x14ac:dyDescent="0.2">
      <c r="A2747" s="44">
        <v>118002</v>
      </c>
      <c r="B2747" s="43"/>
      <c r="C2747" s="44" t="s">
        <v>2786</v>
      </c>
      <c r="D2747" s="31"/>
      <c r="E2747" s="31"/>
      <c r="F2747" s="31"/>
    </row>
    <row r="2748" spans="1:6" x14ac:dyDescent="0.2">
      <c r="A2748" s="44">
        <v>118003</v>
      </c>
      <c r="B2748" s="43"/>
      <c r="C2748" s="44" t="s">
        <v>2787</v>
      </c>
      <c r="D2748" s="31"/>
      <c r="E2748" s="31"/>
      <c r="F2748" s="31"/>
    </row>
    <row r="2749" spans="1:6" x14ac:dyDescent="0.2">
      <c r="A2749" s="44">
        <v>118004</v>
      </c>
      <c r="B2749" s="43"/>
      <c r="C2749" s="44" t="s">
        <v>2788</v>
      </c>
      <c r="D2749" s="31"/>
      <c r="E2749" s="31"/>
      <c r="F2749" s="31"/>
    </row>
    <row r="2750" spans="1:6" x14ac:dyDescent="0.2">
      <c r="A2750" s="44">
        <v>118005</v>
      </c>
      <c r="B2750" s="43"/>
      <c r="C2750" s="44" t="s">
        <v>2789</v>
      </c>
      <c r="D2750" s="31"/>
      <c r="E2750" s="31"/>
      <c r="F2750" s="31"/>
    </row>
    <row r="2751" spans="1:6" x14ac:dyDescent="0.2">
      <c r="A2751" s="44">
        <v>118006</v>
      </c>
      <c r="B2751" s="43"/>
      <c r="C2751" s="44" t="s">
        <v>2790</v>
      </c>
      <c r="D2751" s="31"/>
      <c r="E2751" s="31"/>
      <c r="F2751" s="31"/>
    </row>
    <row r="2752" spans="1:6" x14ac:dyDescent="0.2">
      <c r="A2752" s="44">
        <v>118007</v>
      </c>
      <c r="B2752" s="43"/>
      <c r="C2752" s="44" t="s">
        <v>2791</v>
      </c>
      <c r="D2752" s="31"/>
      <c r="E2752" s="31"/>
      <c r="F2752" s="31"/>
    </row>
    <row r="2753" spans="1:6" x14ac:dyDescent="0.2">
      <c r="A2753" s="44">
        <v>118008</v>
      </c>
      <c r="B2753" s="43"/>
      <c r="C2753" s="44" t="s">
        <v>2792</v>
      </c>
      <c r="D2753" s="31"/>
      <c r="E2753" s="31"/>
      <c r="F2753" s="31"/>
    </row>
    <row r="2754" spans="1:6" x14ac:dyDescent="0.2">
      <c r="A2754" s="44">
        <v>118009</v>
      </c>
      <c r="B2754" s="43"/>
      <c r="C2754" s="44" t="s">
        <v>2793</v>
      </c>
      <c r="D2754" s="31"/>
      <c r="E2754" s="31"/>
      <c r="F2754" s="31"/>
    </row>
    <row r="2755" spans="1:6" x14ac:dyDescent="0.2">
      <c r="A2755" s="44">
        <v>118010</v>
      </c>
      <c r="B2755" s="43"/>
      <c r="C2755" s="44" t="s">
        <v>2794</v>
      </c>
      <c r="D2755" s="31"/>
      <c r="E2755" s="31"/>
      <c r="F2755" s="31"/>
    </row>
    <row r="2756" spans="1:6" x14ac:dyDescent="0.2">
      <c r="A2756" s="44">
        <v>118011</v>
      </c>
      <c r="B2756" s="43"/>
      <c r="C2756" s="44" t="s">
        <v>2795</v>
      </c>
      <c r="D2756" s="31"/>
      <c r="E2756" s="31"/>
      <c r="F2756" s="31"/>
    </row>
    <row r="2757" spans="1:6" x14ac:dyDescent="0.2">
      <c r="A2757" s="44">
        <v>118012</v>
      </c>
      <c r="B2757" s="43"/>
      <c r="C2757" s="44" t="s">
        <v>2796</v>
      </c>
      <c r="D2757" s="31"/>
      <c r="E2757" s="31"/>
      <c r="F2757" s="31"/>
    </row>
    <row r="2758" spans="1:6" x14ac:dyDescent="0.2">
      <c r="A2758" s="44">
        <v>118013</v>
      </c>
      <c r="B2758" s="43"/>
      <c r="C2758" s="44" t="s">
        <v>2797</v>
      </c>
      <c r="D2758" s="31"/>
      <c r="E2758" s="31"/>
      <c r="F2758" s="31"/>
    </row>
    <row r="2759" spans="1:6" x14ac:dyDescent="0.2">
      <c r="A2759" s="44">
        <v>118014</v>
      </c>
      <c r="B2759" s="43"/>
      <c r="C2759" s="44" t="s">
        <v>2798</v>
      </c>
      <c r="D2759" s="31"/>
      <c r="E2759" s="31"/>
      <c r="F2759" s="31"/>
    </row>
    <row r="2760" spans="1:6" x14ac:dyDescent="0.2">
      <c r="A2760" s="44">
        <v>118015</v>
      </c>
      <c r="B2760" s="43"/>
      <c r="C2760" s="44" t="s">
        <v>2799</v>
      </c>
      <c r="D2760" s="31"/>
      <c r="E2760" s="31"/>
      <c r="F2760" s="31"/>
    </row>
    <row r="2761" spans="1:6" x14ac:dyDescent="0.2">
      <c r="A2761" s="44">
        <v>118016</v>
      </c>
      <c r="B2761" s="43"/>
      <c r="C2761" s="44" t="s">
        <v>2800</v>
      </c>
      <c r="D2761" s="31"/>
      <c r="E2761" s="31"/>
      <c r="F2761" s="31"/>
    </row>
    <row r="2762" spans="1:6" x14ac:dyDescent="0.2">
      <c r="A2762" s="44">
        <v>118017</v>
      </c>
      <c r="B2762" s="43"/>
      <c r="C2762" s="44" t="s">
        <v>2801</v>
      </c>
      <c r="D2762" s="31"/>
      <c r="E2762" s="31"/>
      <c r="F2762" s="31"/>
    </row>
    <row r="2763" spans="1:6" x14ac:dyDescent="0.2">
      <c r="A2763" s="44">
        <v>118018</v>
      </c>
      <c r="B2763" s="43"/>
      <c r="C2763" s="44" t="s">
        <v>2802</v>
      </c>
      <c r="D2763" s="31"/>
      <c r="E2763" s="31"/>
      <c r="F2763" s="31"/>
    </row>
    <row r="2764" spans="1:6" x14ac:dyDescent="0.2">
      <c r="A2764" s="44">
        <v>118019</v>
      </c>
      <c r="B2764" s="43"/>
      <c r="C2764" s="44" t="s">
        <v>2803</v>
      </c>
      <c r="D2764" s="31"/>
      <c r="E2764" s="31"/>
      <c r="F2764" s="31"/>
    </row>
    <row r="2765" spans="1:6" x14ac:dyDescent="0.2">
      <c r="A2765" s="44">
        <v>118020</v>
      </c>
      <c r="B2765" s="43"/>
      <c r="C2765" s="44" t="s">
        <v>2804</v>
      </c>
      <c r="D2765" s="31"/>
      <c r="E2765" s="31"/>
      <c r="F2765" s="31"/>
    </row>
    <row r="2766" spans="1:6" x14ac:dyDescent="0.2">
      <c r="A2766" s="44">
        <v>118021</v>
      </c>
      <c r="B2766" s="43"/>
      <c r="C2766" s="44" t="s">
        <v>2805</v>
      </c>
      <c r="D2766" s="31"/>
      <c r="E2766" s="31"/>
      <c r="F2766" s="31"/>
    </row>
    <row r="2767" spans="1:6" x14ac:dyDescent="0.2">
      <c r="A2767" s="44">
        <v>118022</v>
      </c>
      <c r="B2767" s="43"/>
      <c r="C2767" s="44" t="s">
        <v>2806</v>
      </c>
      <c r="D2767" s="31"/>
      <c r="E2767" s="31"/>
      <c r="F2767" s="31"/>
    </row>
    <row r="2768" spans="1:6" x14ac:dyDescent="0.2">
      <c r="A2768" s="44">
        <v>119000</v>
      </c>
      <c r="B2768" s="43"/>
      <c r="C2768" s="44" t="s">
        <v>2807</v>
      </c>
      <c r="D2768" s="31"/>
      <c r="E2768" s="31"/>
      <c r="F2768" s="31"/>
    </row>
    <row r="2769" spans="1:6" x14ac:dyDescent="0.2">
      <c r="A2769" s="44">
        <v>119001</v>
      </c>
      <c r="B2769" s="43"/>
      <c r="C2769" s="44" t="s">
        <v>2808</v>
      </c>
      <c r="D2769" s="31"/>
      <c r="E2769" s="31"/>
      <c r="F2769" s="31"/>
    </row>
    <row r="2770" spans="1:6" x14ac:dyDescent="0.2">
      <c r="A2770" s="44">
        <v>119002</v>
      </c>
      <c r="B2770" s="43"/>
      <c r="C2770" s="44" t="s">
        <v>2809</v>
      </c>
      <c r="D2770" s="31"/>
      <c r="E2770" s="31"/>
      <c r="F2770" s="31"/>
    </row>
    <row r="2771" spans="1:6" x14ac:dyDescent="0.2">
      <c r="A2771" s="44">
        <v>119003</v>
      </c>
      <c r="B2771" s="43"/>
      <c r="C2771" s="44" t="s">
        <v>2810</v>
      </c>
      <c r="D2771" s="31"/>
      <c r="E2771" s="31"/>
      <c r="F2771" s="31"/>
    </row>
    <row r="2772" spans="1:6" x14ac:dyDescent="0.2">
      <c r="A2772" s="44">
        <v>119004</v>
      </c>
      <c r="B2772" s="43"/>
      <c r="C2772" s="44" t="s">
        <v>2811</v>
      </c>
      <c r="D2772" s="31"/>
      <c r="E2772" s="31"/>
      <c r="F2772" s="31"/>
    </row>
    <row r="2773" spans="1:6" x14ac:dyDescent="0.2">
      <c r="A2773" s="44">
        <v>119005</v>
      </c>
      <c r="B2773" s="43"/>
      <c r="C2773" s="44" t="s">
        <v>2812</v>
      </c>
      <c r="D2773" s="31"/>
      <c r="E2773" s="31"/>
      <c r="F2773" s="31"/>
    </row>
    <row r="2774" spans="1:6" x14ac:dyDescent="0.2">
      <c r="A2774" s="44">
        <v>119006</v>
      </c>
      <c r="B2774" s="43"/>
      <c r="C2774" s="44" t="s">
        <v>2813</v>
      </c>
      <c r="D2774" s="31"/>
      <c r="E2774" s="31"/>
      <c r="F2774" s="31"/>
    </row>
    <row r="2775" spans="1:6" x14ac:dyDescent="0.2">
      <c r="A2775" s="44">
        <v>119007</v>
      </c>
      <c r="B2775" s="43"/>
      <c r="C2775" s="44" t="s">
        <v>2814</v>
      </c>
      <c r="D2775" s="31"/>
      <c r="E2775" s="31"/>
      <c r="F2775" s="31"/>
    </row>
    <row r="2776" spans="1:6" x14ac:dyDescent="0.2">
      <c r="A2776" s="44">
        <v>119008</v>
      </c>
      <c r="B2776" s="43"/>
      <c r="C2776" s="44" t="s">
        <v>2815</v>
      </c>
      <c r="D2776" s="31"/>
      <c r="E2776" s="31"/>
      <c r="F2776" s="31"/>
    </row>
    <row r="2777" spans="1:6" x14ac:dyDescent="0.2">
      <c r="A2777" s="44">
        <v>119009</v>
      </c>
      <c r="B2777" s="43"/>
      <c r="C2777" s="44" t="s">
        <v>2816</v>
      </c>
      <c r="D2777" s="31"/>
      <c r="E2777" s="31"/>
      <c r="F2777" s="31"/>
    </row>
    <row r="2778" spans="1:6" x14ac:dyDescent="0.2">
      <c r="A2778" s="44">
        <v>119010</v>
      </c>
      <c r="B2778" s="43"/>
      <c r="C2778" s="44" t="s">
        <v>2817</v>
      </c>
      <c r="D2778" s="31"/>
      <c r="E2778" s="31"/>
      <c r="F2778" s="31"/>
    </row>
    <row r="2779" spans="1:6" x14ac:dyDescent="0.2">
      <c r="A2779" s="44">
        <v>119011</v>
      </c>
      <c r="B2779" s="43"/>
      <c r="C2779" s="44" t="s">
        <v>2818</v>
      </c>
      <c r="D2779" s="31"/>
      <c r="E2779" s="31"/>
      <c r="F2779" s="31"/>
    </row>
    <row r="2780" spans="1:6" x14ac:dyDescent="0.2">
      <c r="A2780" s="44">
        <v>119012</v>
      </c>
      <c r="B2780" s="43"/>
      <c r="C2780" s="44" t="s">
        <v>2819</v>
      </c>
      <c r="D2780" s="31"/>
      <c r="E2780" s="31"/>
      <c r="F2780" s="31"/>
    </row>
    <row r="2781" spans="1:6" x14ac:dyDescent="0.2">
      <c r="A2781" s="44">
        <v>119013</v>
      </c>
      <c r="B2781" s="43"/>
      <c r="C2781" s="44" t="s">
        <v>2820</v>
      </c>
      <c r="D2781" s="31"/>
      <c r="E2781" s="31"/>
      <c r="F2781" s="31"/>
    </row>
    <row r="2782" spans="1:6" x14ac:dyDescent="0.2">
      <c r="A2782" s="44">
        <v>119014</v>
      </c>
      <c r="B2782" s="43"/>
      <c r="C2782" s="44" t="s">
        <v>2821</v>
      </c>
      <c r="D2782" s="31"/>
      <c r="E2782" s="31"/>
      <c r="F2782" s="31"/>
    </row>
    <row r="2783" spans="1:6" x14ac:dyDescent="0.2">
      <c r="A2783" s="44">
        <v>119015</v>
      </c>
      <c r="B2783" s="43"/>
      <c r="C2783" s="44" t="s">
        <v>2822</v>
      </c>
      <c r="D2783" s="31"/>
      <c r="E2783" s="31"/>
      <c r="F2783" s="31"/>
    </row>
    <row r="2784" spans="1:6" x14ac:dyDescent="0.2">
      <c r="A2784" s="44">
        <v>119016</v>
      </c>
      <c r="B2784" s="43"/>
      <c r="C2784" s="44" t="s">
        <v>2823</v>
      </c>
      <c r="D2784" s="31"/>
      <c r="E2784" s="31"/>
      <c r="F2784" s="31"/>
    </row>
    <row r="2785" spans="1:6" x14ac:dyDescent="0.2">
      <c r="A2785" s="44">
        <v>119017</v>
      </c>
      <c r="B2785" s="43"/>
      <c r="C2785" s="44" t="s">
        <v>2824</v>
      </c>
      <c r="D2785" s="31"/>
      <c r="E2785" s="31"/>
      <c r="F2785" s="31"/>
    </row>
    <row r="2786" spans="1:6" x14ac:dyDescent="0.2">
      <c r="A2786" s="44">
        <v>119018</v>
      </c>
      <c r="B2786" s="43"/>
      <c r="C2786" s="44" t="s">
        <v>2825</v>
      </c>
      <c r="D2786" s="31"/>
      <c r="E2786" s="31"/>
      <c r="F2786" s="31"/>
    </row>
    <row r="2787" spans="1:6" x14ac:dyDescent="0.2">
      <c r="A2787" s="44">
        <v>119019</v>
      </c>
      <c r="B2787" s="43"/>
      <c r="C2787" s="44" t="s">
        <v>2826</v>
      </c>
      <c r="D2787" s="31"/>
      <c r="E2787" s="31"/>
      <c r="F2787" s="31"/>
    </row>
    <row r="2788" spans="1:6" x14ac:dyDescent="0.2">
      <c r="A2788" s="44">
        <v>119020</v>
      </c>
      <c r="B2788" s="43"/>
      <c r="C2788" s="44" t="s">
        <v>2827</v>
      </c>
      <c r="D2788" s="31"/>
      <c r="E2788" s="31"/>
      <c r="F2788" s="31"/>
    </row>
    <row r="2789" spans="1:6" x14ac:dyDescent="0.2">
      <c r="A2789" s="44">
        <v>119021</v>
      </c>
      <c r="B2789" s="43"/>
      <c r="C2789" s="44" t="s">
        <v>2828</v>
      </c>
      <c r="D2789" s="31"/>
      <c r="E2789" s="31"/>
      <c r="F2789" s="31"/>
    </row>
    <row r="2790" spans="1:6" x14ac:dyDescent="0.2">
      <c r="A2790" s="44">
        <v>119022</v>
      </c>
      <c r="B2790" s="43"/>
      <c r="C2790" s="44" t="s">
        <v>2829</v>
      </c>
      <c r="D2790" s="31"/>
      <c r="E2790" s="31"/>
      <c r="F2790" s="31"/>
    </row>
    <row r="2791" spans="1:6" x14ac:dyDescent="0.2">
      <c r="A2791" s="44">
        <v>121678</v>
      </c>
      <c r="B2791" s="43"/>
      <c r="C2791" s="42" t="s">
        <v>2830</v>
      </c>
      <c r="D2791" s="32"/>
      <c r="E2791" s="32"/>
      <c r="F2791" s="32"/>
    </row>
    <row r="2792" spans="1:6" x14ac:dyDescent="0.2">
      <c r="A2792" s="44">
        <v>123000</v>
      </c>
      <c r="B2792" s="43"/>
      <c r="C2792" s="44" t="s">
        <v>2831</v>
      </c>
      <c r="D2792" s="31"/>
      <c r="E2792" s="31"/>
      <c r="F2792" s="31"/>
    </row>
    <row r="2793" spans="1:6" x14ac:dyDescent="0.2">
      <c r="A2793" s="44">
        <v>123001</v>
      </c>
      <c r="B2793" s="43"/>
      <c r="C2793" s="44" t="s">
        <v>2832</v>
      </c>
      <c r="D2793" s="31"/>
      <c r="E2793" s="31"/>
      <c r="F2793" s="31"/>
    </row>
    <row r="2794" spans="1:6" x14ac:dyDescent="0.2">
      <c r="A2794" s="44">
        <v>123002</v>
      </c>
      <c r="B2794" s="43"/>
      <c r="C2794" s="44" t="s">
        <v>2833</v>
      </c>
      <c r="D2794" s="31"/>
      <c r="E2794" s="31"/>
      <c r="F2794" s="31"/>
    </row>
    <row r="2795" spans="1:6" x14ac:dyDescent="0.2">
      <c r="A2795" s="44">
        <v>123003</v>
      </c>
      <c r="B2795" s="43"/>
      <c r="C2795" s="44" t="s">
        <v>2834</v>
      </c>
      <c r="D2795" s="31"/>
      <c r="E2795" s="31"/>
      <c r="F2795" s="31"/>
    </row>
    <row r="2796" spans="1:6" x14ac:dyDescent="0.2">
      <c r="A2796" s="44">
        <v>123004</v>
      </c>
      <c r="B2796" s="43"/>
      <c r="C2796" s="44" t="s">
        <v>2835</v>
      </c>
      <c r="D2796" s="31"/>
      <c r="E2796" s="31"/>
      <c r="F2796" s="31"/>
    </row>
    <row r="2797" spans="1:6" x14ac:dyDescent="0.2">
      <c r="A2797" s="44">
        <v>123005</v>
      </c>
      <c r="B2797" s="43"/>
      <c r="C2797" s="44" t="s">
        <v>2836</v>
      </c>
      <c r="D2797" s="31"/>
      <c r="E2797" s="31"/>
      <c r="F2797" s="31"/>
    </row>
    <row r="2798" spans="1:6" x14ac:dyDescent="0.2">
      <c r="A2798" s="44">
        <v>123100</v>
      </c>
      <c r="B2798" s="43"/>
      <c r="C2798" s="44" t="s">
        <v>2837</v>
      </c>
      <c r="D2798" s="31"/>
      <c r="E2798" s="31"/>
      <c r="F2798" s="31"/>
    </row>
    <row r="2799" spans="1:6" x14ac:dyDescent="0.2">
      <c r="A2799" s="44">
        <v>123101</v>
      </c>
      <c r="B2799" s="43"/>
      <c r="C2799" s="44" t="s">
        <v>2838</v>
      </c>
      <c r="D2799" s="31"/>
      <c r="E2799" s="31"/>
      <c r="F2799" s="31"/>
    </row>
    <row r="2800" spans="1:6" x14ac:dyDescent="0.2">
      <c r="A2800" s="44">
        <v>123102</v>
      </c>
      <c r="B2800" s="43"/>
      <c r="C2800" s="44" t="s">
        <v>2839</v>
      </c>
      <c r="D2800" s="31"/>
      <c r="E2800" s="31"/>
      <c r="F2800" s="31"/>
    </row>
    <row r="2801" spans="1:6" x14ac:dyDescent="0.2">
      <c r="A2801" s="44">
        <v>123200</v>
      </c>
      <c r="B2801" s="43"/>
      <c r="C2801" s="44" t="s">
        <v>2840</v>
      </c>
      <c r="D2801" s="31"/>
      <c r="E2801" s="31"/>
      <c r="F2801" s="31"/>
    </row>
    <row r="2802" spans="1:6" x14ac:dyDescent="0.2">
      <c r="A2802" s="44">
        <v>123201</v>
      </c>
      <c r="B2802" s="43"/>
      <c r="C2802" s="44" t="s">
        <v>2841</v>
      </c>
      <c r="D2802" s="31"/>
      <c r="E2802" s="31"/>
      <c r="F2802" s="31"/>
    </row>
    <row r="2803" spans="1:6" x14ac:dyDescent="0.2">
      <c r="A2803" s="44">
        <v>123300</v>
      </c>
      <c r="B2803" s="43"/>
      <c r="C2803" s="44" t="s">
        <v>2842</v>
      </c>
      <c r="D2803" s="31"/>
      <c r="E2803" s="31"/>
      <c r="F2803" s="31"/>
    </row>
    <row r="2804" spans="1:6" x14ac:dyDescent="0.2">
      <c r="A2804" s="44">
        <v>123301</v>
      </c>
      <c r="B2804" s="43"/>
      <c r="C2804" s="44" t="s">
        <v>2843</v>
      </c>
      <c r="D2804" s="31"/>
      <c r="E2804" s="31"/>
      <c r="F2804" s="31"/>
    </row>
    <row r="2805" spans="1:6" x14ac:dyDescent="0.2">
      <c r="A2805" s="44">
        <v>123302</v>
      </c>
      <c r="B2805" s="43"/>
      <c r="C2805" s="44" t="s">
        <v>2844</v>
      </c>
      <c r="D2805" s="31"/>
      <c r="E2805" s="31"/>
      <c r="F2805" s="31"/>
    </row>
    <row r="2806" spans="1:6" x14ac:dyDescent="0.2">
      <c r="A2806" s="44">
        <v>123303</v>
      </c>
      <c r="B2806" s="43"/>
      <c r="C2806" s="44" t="s">
        <v>2845</v>
      </c>
      <c r="D2806" s="31"/>
      <c r="E2806" s="31"/>
      <c r="F2806" s="31"/>
    </row>
    <row r="2807" spans="1:6" x14ac:dyDescent="0.2">
      <c r="A2807" s="44">
        <v>123304</v>
      </c>
      <c r="B2807" s="43"/>
      <c r="C2807" s="44" t="s">
        <v>2846</v>
      </c>
      <c r="D2807" s="31"/>
      <c r="E2807" s="31"/>
      <c r="F2807" s="31"/>
    </row>
    <row r="2808" spans="1:6" x14ac:dyDescent="0.2">
      <c r="A2808" s="44">
        <v>123305</v>
      </c>
      <c r="B2808" s="43"/>
      <c r="C2808" s="44" t="s">
        <v>2847</v>
      </c>
      <c r="D2808" s="31"/>
      <c r="E2808" s="31"/>
      <c r="F2808" s="31"/>
    </row>
    <row r="2809" spans="1:6" x14ac:dyDescent="0.2">
      <c r="A2809" s="44">
        <v>123306</v>
      </c>
      <c r="B2809" s="43"/>
      <c r="C2809" s="44" t="s">
        <v>2848</v>
      </c>
      <c r="D2809" s="31"/>
      <c r="E2809" s="31"/>
      <c r="F2809" s="31"/>
    </row>
    <row r="2810" spans="1:6" x14ac:dyDescent="0.2">
      <c r="A2810" s="44">
        <v>123307</v>
      </c>
      <c r="B2810" s="43"/>
      <c r="C2810" s="44" t="s">
        <v>2849</v>
      </c>
      <c r="D2810" s="31"/>
      <c r="E2810" s="31"/>
      <c r="F2810" s="31"/>
    </row>
    <row r="2811" spans="1:6" x14ac:dyDescent="0.2">
      <c r="A2811" s="44">
        <v>123308</v>
      </c>
      <c r="B2811" s="43"/>
      <c r="C2811" s="44" t="s">
        <v>2850</v>
      </c>
      <c r="D2811" s="31"/>
      <c r="E2811" s="31"/>
      <c r="F2811" s="31"/>
    </row>
    <row r="2812" spans="1:6" x14ac:dyDescent="0.2">
      <c r="A2812" s="44">
        <v>123309</v>
      </c>
      <c r="B2812" s="43"/>
      <c r="C2812" s="44" t="s">
        <v>2851</v>
      </c>
      <c r="D2812" s="31"/>
      <c r="E2812" s="31"/>
      <c r="F2812" s="31"/>
    </row>
    <row r="2813" spans="1:6" x14ac:dyDescent="0.2">
      <c r="A2813" s="44">
        <v>123310</v>
      </c>
      <c r="B2813" s="43"/>
      <c r="C2813" s="44" t="s">
        <v>2852</v>
      </c>
      <c r="D2813" s="31"/>
      <c r="E2813" s="31"/>
      <c r="F2813" s="31"/>
    </row>
    <row r="2814" spans="1:6" x14ac:dyDescent="0.2">
      <c r="A2814" s="44">
        <v>123311</v>
      </c>
      <c r="B2814" s="43"/>
      <c r="C2814" s="44" t="s">
        <v>2853</v>
      </c>
      <c r="D2814" s="31"/>
      <c r="E2814" s="31"/>
      <c r="F2814" s="31"/>
    </row>
    <row r="2815" spans="1:6" x14ac:dyDescent="0.2">
      <c r="A2815" s="44">
        <v>123312</v>
      </c>
      <c r="B2815" s="43"/>
      <c r="C2815" s="44" t="s">
        <v>2854</v>
      </c>
      <c r="D2815" s="31"/>
      <c r="E2815" s="31"/>
      <c r="F2815" s="31"/>
    </row>
    <row r="2816" spans="1:6" x14ac:dyDescent="0.2">
      <c r="A2816" s="44">
        <v>123313</v>
      </c>
      <c r="B2816" s="43"/>
      <c r="C2816" s="44" t="s">
        <v>2855</v>
      </c>
      <c r="D2816" s="31"/>
      <c r="E2816" s="31"/>
      <c r="F2816" s="31"/>
    </row>
    <row r="2817" spans="1:6" x14ac:dyDescent="0.2">
      <c r="A2817" s="44">
        <v>123500</v>
      </c>
      <c r="B2817" s="43"/>
      <c r="C2817" s="44" t="s">
        <v>2856</v>
      </c>
      <c r="D2817" s="31"/>
      <c r="E2817" s="31"/>
      <c r="F2817" s="31"/>
    </row>
    <row r="2818" spans="1:6" x14ac:dyDescent="0.2">
      <c r="A2818" s="44">
        <v>123501</v>
      </c>
      <c r="B2818" s="43"/>
      <c r="C2818" s="44" t="s">
        <v>2857</v>
      </c>
      <c r="D2818" s="31"/>
      <c r="E2818" s="31"/>
      <c r="F2818" s="31"/>
    </row>
    <row r="2819" spans="1:6" x14ac:dyDescent="0.2">
      <c r="A2819" s="44">
        <v>123502</v>
      </c>
      <c r="B2819" s="43"/>
      <c r="C2819" s="44" t="s">
        <v>2858</v>
      </c>
      <c r="D2819" s="31"/>
      <c r="E2819" s="31"/>
      <c r="F2819" s="31"/>
    </row>
    <row r="2820" spans="1:6" x14ac:dyDescent="0.2">
      <c r="A2820" s="44">
        <v>123504</v>
      </c>
      <c r="B2820" s="43"/>
      <c r="C2820" s="44" t="s">
        <v>2859</v>
      </c>
      <c r="D2820" s="31"/>
      <c r="E2820" s="31"/>
      <c r="F2820" s="31"/>
    </row>
    <row r="2821" spans="1:6" x14ac:dyDescent="0.2">
      <c r="A2821" s="44">
        <v>123505</v>
      </c>
      <c r="B2821" s="43"/>
      <c r="C2821" s="44" t="s">
        <v>2860</v>
      </c>
      <c r="D2821" s="31"/>
      <c r="E2821" s="31"/>
      <c r="F2821" s="31"/>
    </row>
    <row r="2822" spans="1:6" x14ac:dyDescent="0.2">
      <c r="A2822" s="44">
        <v>123506</v>
      </c>
      <c r="B2822" s="43"/>
      <c r="C2822" s="44" t="s">
        <v>2861</v>
      </c>
      <c r="D2822" s="31"/>
      <c r="E2822" s="31"/>
      <c r="F2822" s="31"/>
    </row>
    <row r="2823" spans="1:6" x14ac:dyDescent="0.2">
      <c r="A2823" s="44">
        <v>123510</v>
      </c>
      <c r="B2823" s="43"/>
      <c r="C2823" s="44" t="s">
        <v>2862</v>
      </c>
      <c r="D2823" s="31"/>
      <c r="E2823" s="31"/>
      <c r="F2823" s="31"/>
    </row>
    <row r="2824" spans="1:6" x14ac:dyDescent="0.2">
      <c r="A2824" s="44">
        <v>123511</v>
      </c>
      <c r="B2824" s="43"/>
      <c r="C2824" s="44" t="s">
        <v>2863</v>
      </c>
      <c r="D2824" s="31"/>
      <c r="E2824" s="31"/>
      <c r="F2824" s="31"/>
    </row>
    <row r="2825" spans="1:6" x14ac:dyDescent="0.2">
      <c r="A2825" s="44">
        <v>123512</v>
      </c>
      <c r="B2825" s="43"/>
      <c r="C2825" s="44" t="s">
        <v>2864</v>
      </c>
      <c r="D2825" s="31"/>
      <c r="E2825" s="31"/>
      <c r="F2825" s="31"/>
    </row>
    <row r="2826" spans="1:6" x14ac:dyDescent="0.2">
      <c r="A2826" s="44">
        <v>123513</v>
      </c>
      <c r="B2826" s="43"/>
      <c r="C2826" s="44" t="s">
        <v>2865</v>
      </c>
      <c r="D2826" s="31"/>
      <c r="E2826" s="31"/>
      <c r="F2826" s="31"/>
    </row>
    <row r="2827" spans="1:6" x14ac:dyDescent="0.2">
      <c r="A2827" s="44">
        <v>123514</v>
      </c>
      <c r="B2827" s="43"/>
      <c r="C2827" s="44" t="s">
        <v>2866</v>
      </c>
      <c r="D2827" s="31"/>
      <c r="E2827" s="31"/>
      <c r="F2827" s="31"/>
    </row>
    <row r="2828" spans="1:6" x14ac:dyDescent="0.2">
      <c r="A2828" s="44">
        <v>123515</v>
      </c>
      <c r="B2828" s="43"/>
      <c r="C2828" s="44" t="s">
        <v>2867</v>
      </c>
      <c r="D2828" s="31"/>
      <c r="E2828" s="31"/>
      <c r="F2828" s="31"/>
    </row>
    <row r="2829" spans="1:6" x14ac:dyDescent="0.2">
      <c r="A2829" s="44">
        <v>123516</v>
      </c>
      <c r="B2829" s="43"/>
      <c r="C2829" s="44" t="s">
        <v>2868</v>
      </c>
      <c r="D2829" s="31"/>
      <c r="E2829" s="31"/>
      <c r="F2829" s="31"/>
    </row>
    <row r="2830" spans="1:6" x14ac:dyDescent="0.2">
      <c r="A2830" s="44">
        <v>123517</v>
      </c>
      <c r="B2830" s="43"/>
      <c r="C2830" s="44" t="s">
        <v>2869</v>
      </c>
      <c r="D2830" s="31"/>
      <c r="E2830" s="31"/>
      <c r="F2830" s="31"/>
    </row>
    <row r="2831" spans="1:6" x14ac:dyDescent="0.2">
      <c r="A2831" s="44">
        <v>123518</v>
      </c>
      <c r="B2831" s="43"/>
      <c r="C2831" s="44" t="s">
        <v>2870</v>
      </c>
      <c r="D2831" s="31"/>
      <c r="E2831" s="31"/>
      <c r="F2831" s="31"/>
    </row>
    <row r="2832" spans="1:6" x14ac:dyDescent="0.2">
      <c r="A2832" s="44">
        <v>123519</v>
      </c>
      <c r="B2832" s="43"/>
      <c r="C2832" s="44" t="s">
        <v>2871</v>
      </c>
      <c r="D2832" s="31"/>
      <c r="E2832" s="31"/>
      <c r="F2832" s="31"/>
    </row>
    <row r="2833" spans="1:6" x14ac:dyDescent="0.2">
      <c r="A2833" s="44">
        <v>123520</v>
      </c>
      <c r="B2833" s="43"/>
      <c r="C2833" s="44" t="s">
        <v>2872</v>
      </c>
      <c r="D2833" s="31"/>
      <c r="E2833" s="31"/>
      <c r="F2833" s="31"/>
    </row>
    <row r="2834" spans="1:6" x14ac:dyDescent="0.2">
      <c r="A2834" s="44">
        <v>123521</v>
      </c>
      <c r="B2834" s="43"/>
      <c r="C2834" s="44" t="s">
        <v>2873</v>
      </c>
      <c r="D2834" s="31"/>
      <c r="E2834" s="31"/>
      <c r="F2834" s="31"/>
    </row>
    <row r="2835" spans="1:6" x14ac:dyDescent="0.2">
      <c r="A2835" s="44">
        <v>123522</v>
      </c>
      <c r="B2835" s="43"/>
      <c r="C2835" s="44" t="s">
        <v>2874</v>
      </c>
      <c r="D2835" s="31"/>
      <c r="E2835" s="31"/>
      <c r="F2835" s="31"/>
    </row>
    <row r="2836" spans="1:6" x14ac:dyDescent="0.2">
      <c r="A2836" s="44">
        <v>123523</v>
      </c>
      <c r="B2836" s="43"/>
      <c r="C2836" s="44" t="s">
        <v>2875</v>
      </c>
      <c r="D2836" s="31"/>
      <c r="E2836" s="31"/>
      <c r="F2836" s="31"/>
    </row>
    <row r="2837" spans="1:6" x14ac:dyDescent="0.2">
      <c r="A2837" s="44">
        <v>133000</v>
      </c>
      <c r="B2837" s="43"/>
      <c r="C2837" s="44" t="s">
        <v>2876</v>
      </c>
      <c r="D2837" s="31"/>
      <c r="E2837" s="31"/>
      <c r="F2837" s="31"/>
    </row>
    <row r="2838" spans="1:6" x14ac:dyDescent="0.2">
      <c r="A2838" s="44">
        <v>133002</v>
      </c>
      <c r="B2838" s="43"/>
      <c r="C2838" s="44" t="s">
        <v>2877</v>
      </c>
      <c r="D2838" s="31"/>
      <c r="E2838" s="31"/>
      <c r="F2838" s="31"/>
    </row>
    <row r="2839" spans="1:6" x14ac:dyDescent="0.2">
      <c r="A2839" s="44">
        <v>133003</v>
      </c>
      <c r="B2839" s="43"/>
      <c r="C2839" s="44" t="s">
        <v>2878</v>
      </c>
      <c r="D2839" s="31"/>
      <c r="E2839" s="31"/>
      <c r="F2839" s="31"/>
    </row>
    <row r="2840" spans="1:6" x14ac:dyDescent="0.2">
      <c r="A2840" s="44">
        <v>133004</v>
      </c>
      <c r="B2840" s="43"/>
      <c r="C2840" s="44" t="s">
        <v>2879</v>
      </c>
      <c r="D2840" s="31"/>
      <c r="E2840" s="31"/>
      <c r="F2840" s="31"/>
    </row>
    <row r="2841" spans="1:6" x14ac:dyDescent="0.2">
      <c r="A2841" s="44">
        <v>0</v>
      </c>
      <c r="B2841" s="43"/>
      <c r="C2841" s="44" t="s">
        <v>2880</v>
      </c>
    </row>
    <row r="2842" spans="1:6" x14ac:dyDescent="0.2">
      <c r="A2842" s="43" t="s">
        <v>14</v>
      </c>
      <c r="B2842" s="43"/>
      <c r="C2842" s="43" t="s">
        <v>24</v>
      </c>
    </row>
  </sheetData>
  <sheetProtection algorithmName="SHA-512" hashValue="CWg7ntJUhcc/Td4Iu3HzdwREpxgnlqIMS7bcvAiPngbpVW98Va4seJLZZLLvc9V0a1mRDdMIQAHWIFZKVMjGAg==" saltValue="QVGcXqtky4eOpnP4m0OLkg==" spinCount="100000" sheet="1" objects="1" scenarios="1"/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#SLH1</vt:lpstr>
      <vt:lpstr>Summary</vt:lpstr>
      <vt:lpstr>Daily Activity</vt:lpstr>
      <vt:lpstr>Error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건희 조</cp:lastModifiedBy>
  <cp:lastPrinted>2024-08-06T07:30:23Z</cp:lastPrinted>
  <dcterms:created xsi:type="dcterms:W3CDTF">2022-06-08T12:12:31Z</dcterms:created>
  <dcterms:modified xsi:type="dcterms:W3CDTF">2025-10-10T00:41:56Z</dcterms:modified>
</cp:coreProperties>
</file>
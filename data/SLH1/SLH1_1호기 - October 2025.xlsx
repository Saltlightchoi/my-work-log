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wa4\OneDrive\바탕 화면\"/>
    </mc:Choice>
  </mc:AlternateContent>
  <xr:revisionPtr revIDLastSave="0" documentId="13_ncr:1_{0BB87CD1-5BBF-4328-8DDF-D8F97131DD15}" xr6:coauthVersionLast="47" xr6:coauthVersionMax="47" xr10:uidLastSave="{00000000-0000-0000-0000-000000000000}"/>
  <bookViews>
    <workbookView xWindow="-120" yWindow="-120" windowWidth="29040" windowHeight="15720" xr2:uid="{8DB088EF-050A-4517-991C-6503755C75CA}"/>
  </bookViews>
  <sheets>
    <sheet name="#SLH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2" l="1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D36" i="2"/>
  <c r="D24" i="2" s="1"/>
  <c r="C36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C23" i="2"/>
  <c r="C24" i="2" s="1"/>
  <c r="AD24" i="2" l="1"/>
  <c r="T24" i="2"/>
  <c r="U24" i="2"/>
  <c r="G24" i="2"/>
  <c r="F24" i="2"/>
  <c r="K24" i="2"/>
  <c r="W24" i="2"/>
  <c r="Y24" i="2"/>
  <c r="L24" i="2"/>
  <c r="Z24" i="2"/>
  <c r="J24" i="2"/>
  <c r="X24" i="2"/>
  <c r="M24" i="2"/>
  <c r="AA24" i="2"/>
  <c r="V24" i="2"/>
  <c r="N24" i="2"/>
  <c r="AB24" i="2"/>
  <c r="E24" i="2"/>
  <c r="AC24" i="2"/>
  <c r="AF24" i="2"/>
  <c r="Q24" i="2"/>
  <c r="O24" i="2"/>
  <c r="P24" i="2"/>
  <c r="AE24" i="2"/>
  <c r="R24" i="2"/>
  <c r="S24" i="2"/>
  <c r="H24" i="2"/>
  <c r="I24" i="2"/>
  <c r="AG24" i="2"/>
  <c r="H38" i="2" l="1"/>
  <c r="B38" i="2"/>
  <c r="AH34" i="2"/>
  <c r="AH32" i="2"/>
  <c r="AH31" i="2"/>
  <c r="AH30" i="2"/>
  <c r="AH29" i="2"/>
  <c r="AH28" i="2"/>
  <c r="AH27" i="2"/>
  <c r="AH26" i="2"/>
  <c r="AH25" i="2"/>
  <c r="AH36" i="2"/>
  <c r="D38" i="2" s="1"/>
  <c r="AI23" i="2"/>
  <c r="AI24" i="2" l="1"/>
  <c r="F38" i="2" s="1"/>
  <c r="AI28" i="2"/>
  <c r="AI30" i="2"/>
  <c r="AI27" i="2"/>
  <c r="AI34" i="2"/>
  <c r="AI26" i="2"/>
  <c r="AI32" i="2"/>
  <c r="AI31" i="2"/>
  <c r="AI25" i="2"/>
  <c r="AI29" i="2"/>
</calcChain>
</file>

<file path=xl/sharedStrings.xml><?xml version="1.0" encoding="utf-8"?>
<sst xmlns="http://schemas.openxmlformats.org/spreadsheetml/2006/main" count="294" uniqueCount="145">
  <si>
    <t>Day</t>
  </si>
  <si>
    <t>Mon</t>
  </si>
  <si>
    <t>Tue</t>
  </si>
  <si>
    <t>Wed</t>
  </si>
  <si>
    <t>Thu</t>
  </si>
  <si>
    <t>Fri</t>
  </si>
  <si>
    <t>Sat</t>
  </si>
  <si>
    <t>Sun</t>
  </si>
  <si>
    <t>Total No of Error</t>
  </si>
  <si>
    <t>Percentage</t>
  </si>
  <si>
    <t>Remark : Top 3 Error Station</t>
  </si>
  <si>
    <t>Date</t>
  </si>
  <si>
    <t>Total Unit</t>
  </si>
  <si>
    <t>PPJ</t>
  </si>
  <si>
    <t>Stacker</t>
  </si>
  <si>
    <t>Transfer</t>
  </si>
  <si>
    <t>Set Plate&amp;BUFFER</t>
  </si>
  <si>
    <t>LD Flow&amp;Middle</t>
  </si>
  <si>
    <t>Load Hand</t>
  </si>
  <si>
    <t>Unload Hand</t>
  </si>
  <si>
    <t>INPUT FLOW</t>
  </si>
  <si>
    <t>TEST SITE</t>
  </si>
  <si>
    <t>OUTPUT FLOW</t>
  </si>
  <si>
    <t>UD Flow&amp;Middle</t>
  </si>
  <si>
    <t>MOTOR</t>
  </si>
  <si>
    <t>Total Jam</t>
  </si>
  <si>
    <t>TOTAL QTY JAM</t>
  </si>
  <si>
    <t xml:space="preserve">Total </t>
  </si>
  <si>
    <t>T/Jam</t>
  </si>
  <si>
    <t>BIN 4</t>
  </si>
  <si>
    <t>No Jam</t>
  </si>
  <si>
    <t>Error code</t>
  </si>
  <si>
    <t>Error Massage</t>
  </si>
  <si>
    <t xml:space="preserve">Finding/Action </t>
    <phoneticPr fontId="6" type="noConversion"/>
  </si>
  <si>
    <t>Remark</t>
  </si>
  <si>
    <t>Hand Module is not Exist. Check the Exist Sensor.[ No.1 ]</t>
    <phoneticPr fontId="1" type="noConversion"/>
  </si>
  <si>
    <r>
      <t xml:space="preserve">ULD HAND Y AXIS </t>
    </r>
    <r>
      <rPr>
        <sz val="11"/>
        <color theme="1"/>
        <rFont val="맑은 고딕"/>
        <family val="2"/>
        <charset val="129"/>
      </rPr>
      <t>티칭</t>
    </r>
    <phoneticPr fontId="1" type="noConversion"/>
  </si>
  <si>
    <t>The module barcode could not be read properly</t>
    <phoneticPr fontId="1" type="noConversion"/>
  </si>
  <si>
    <t>사람이 라벨지 붙이는 과정에서 발생한 휴먼에러라고 전달받음</t>
    <phoneticPr fontId="1" type="noConversion"/>
  </si>
  <si>
    <t>ULD#1 Stacker C-Tray Middle Base Guide Stopper Off Sol    operation failed</t>
    <phoneticPr fontId="1" type="noConversion"/>
  </si>
  <si>
    <t>Load Transfer C-Tray direction check failed</t>
    <phoneticPr fontId="1" type="noConversion"/>
  </si>
  <si>
    <t>시퀀스 변경 후 추석연휴 간 검증 필요하나 지속발생으로 변경필요</t>
    <phoneticPr fontId="1" type="noConversion"/>
  </si>
  <si>
    <t>Hand Module is not Exist. Check the Exist Sensor.[ No.# ]</t>
    <phoneticPr fontId="1" type="noConversion"/>
  </si>
  <si>
    <r>
      <t xml:space="preserve">1. c-tray </t>
    </r>
    <r>
      <rPr>
        <sz val="11"/>
        <color theme="1"/>
        <rFont val="맑은 고딕"/>
        <family val="2"/>
        <charset val="129"/>
      </rPr>
      <t>투입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프론트위치에있으나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체크되지않음</t>
    </r>
    <r>
      <rPr>
        <sz val="11"/>
        <color theme="1"/>
        <rFont val="Calibri"/>
        <family val="2"/>
      </rPr>
      <t xml:space="preserve">
2. c-tray </t>
    </r>
    <r>
      <rPr>
        <sz val="11"/>
        <color theme="1"/>
        <rFont val="맑은 고딕"/>
        <family val="2"/>
        <charset val="129"/>
      </rPr>
      <t>투입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틀어져삽입되는경우</t>
    </r>
    <phoneticPr fontId="1" type="noConversion"/>
  </si>
  <si>
    <t>LD#1 Stacker C-Tray Front Base Guide Tray Check   recognition failed.</t>
    <phoneticPr fontId="1" type="noConversion"/>
  </si>
  <si>
    <t>Hand Module is not Exist. Check the Exist Sensor.[ No.3 ]</t>
    <phoneticPr fontId="1" type="noConversion"/>
  </si>
  <si>
    <t>Loader Transfer Head Tray Check   recognition failed</t>
    <phoneticPr fontId="1" type="noConversion"/>
  </si>
  <si>
    <t>LD#1 Stacker C-Tray Middle Base Guide Tray Check   recognition failed</t>
    <phoneticPr fontId="1" type="noConversion"/>
  </si>
  <si>
    <t>ULD#1 Stacker C-Tray Rear Base Guide Tray Check   recognition failed</t>
    <phoneticPr fontId="1" type="noConversion"/>
  </si>
  <si>
    <r>
      <t xml:space="preserve">LD HAND Y AXIS </t>
    </r>
    <r>
      <rPr>
        <sz val="11"/>
        <color theme="1"/>
        <rFont val="맑은 고딕"/>
        <family val="2"/>
        <charset val="129"/>
      </rPr>
      <t>티칭</t>
    </r>
    <phoneticPr fontId="1" type="noConversion"/>
  </si>
  <si>
    <r>
      <t xml:space="preserve">C-tray </t>
    </r>
    <r>
      <rPr>
        <sz val="11"/>
        <color theme="1"/>
        <rFont val="맑은 고딕"/>
        <family val="2"/>
        <charset val="129"/>
      </rPr>
      <t>걸림</t>
    </r>
    <phoneticPr fontId="1" type="noConversion"/>
  </si>
  <si>
    <t>BCR reading fail</t>
    <phoneticPr fontId="1" type="noConversion"/>
  </si>
  <si>
    <r>
      <t xml:space="preserve">pick up miss </t>
    </r>
    <r>
      <rPr>
        <sz val="11"/>
        <color theme="1"/>
        <rFont val="맑은 고딕"/>
        <family val="2"/>
        <charset val="129"/>
      </rPr>
      <t>발생</t>
    </r>
    <r>
      <rPr>
        <sz val="11"/>
        <color theme="1"/>
        <rFont val="Calibri"/>
        <family val="2"/>
      </rPr>
      <t xml:space="preserve">/C-tray </t>
    </r>
    <r>
      <rPr>
        <sz val="11"/>
        <color theme="1"/>
        <rFont val="맑은 고딕"/>
        <family val="2"/>
        <charset val="129"/>
      </rPr>
      <t>위치 재정렬 후 가동</t>
    </r>
    <phoneticPr fontId="1" type="noConversion"/>
  </si>
  <si>
    <r>
      <t xml:space="preserve">C-tray </t>
    </r>
    <r>
      <rPr>
        <sz val="11"/>
        <color theme="1"/>
        <rFont val="맑은 고딕"/>
        <family val="2"/>
        <charset val="129"/>
      </rPr>
      <t>내려 놓을때 잘못 내려놓음</t>
    </r>
    <phoneticPr fontId="1" type="noConversion"/>
  </si>
  <si>
    <t>휴먼에러</t>
    <phoneticPr fontId="1" type="noConversion"/>
  </si>
  <si>
    <t>ReJect Stacker C-Tray Top Base Output Check</t>
    <phoneticPr fontId="1" type="noConversion"/>
  </si>
  <si>
    <t>Load Transfer C-Tray Step check failed</t>
    <phoneticPr fontId="1" type="noConversion"/>
  </si>
  <si>
    <t>추석 연휴간 발생 왜 발생했는지 원인 파악 필요</t>
    <phoneticPr fontId="1" type="noConversion"/>
  </si>
  <si>
    <t>LD#1 Stacker C-Tray Base Guide Stopper Backward Sol  operation failed.</t>
    <phoneticPr fontId="1" type="noConversion"/>
  </si>
  <si>
    <t>LD#1 Stacker C-Tray Base Guide End Stopper Forward Sol  operation failed.</t>
    <phoneticPr fontId="1" type="noConversion"/>
  </si>
  <si>
    <r>
      <t xml:space="preserve">Cyl POS </t>
    </r>
    <r>
      <rPr>
        <sz val="11"/>
        <color theme="1"/>
        <rFont val="맑은 고딕"/>
        <family val="2"/>
        <charset val="129"/>
      </rPr>
      <t>조절</t>
    </r>
    <phoneticPr fontId="1" type="noConversion"/>
  </si>
  <si>
    <t>Hand Module is not Exist. Check the Exist Sensor.[ No.2 ]</t>
    <phoneticPr fontId="1" type="noConversion"/>
  </si>
  <si>
    <t>ULD#1 Stacker C-Tray Rear Base Guide Tray Check   recognition failed.</t>
    <phoneticPr fontId="1" type="noConversion"/>
  </si>
  <si>
    <r>
      <t xml:space="preserve">Retry </t>
    </r>
    <r>
      <rPr>
        <sz val="11"/>
        <color theme="1"/>
        <rFont val="맑은 고딕"/>
        <family val="2"/>
        <charset val="129"/>
      </rPr>
      <t xml:space="preserve">후 </t>
    </r>
    <r>
      <rPr>
        <sz val="11"/>
        <color theme="1"/>
        <rFont val="Calibri"/>
        <family val="2"/>
      </rPr>
      <t>Run</t>
    </r>
    <phoneticPr fontId="1" type="noConversion"/>
  </si>
  <si>
    <t>ReJect Stacker C-Tray Bottom Base Input Check</t>
    <phoneticPr fontId="1" type="noConversion"/>
  </si>
  <si>
    <t>LD Tray Flow Preciser Up Sol  operation failed.</t>
    <phoneticPr fontId="1" type="noConversion"/>
  </si>
  <si>
    <r>
      <rPr>
        <sz val="11"/>
        <color theme="1"/>
        <rFont val="맑은 고딕"/>
        <family val="2"/>
        <charset val="129"/>
      </rPr>
      <t>로드핸드</t>
    </r>
    <r>
      <rPr>
        <sz val="11"/>
        <color theme="1"/>
        <rFont val="Calibri"/>
        <family val="2"/>
        <charset val="129"/>
      </rPr>
      <t xml:space="preserve"> X</t>
    </r>
    <r>
      <rPr>
        <sz val="11"/>
        <color theme="1"/>
        <rFont val="맑은 고딕"/>
        <family val="2"/>
        <charset val="129"/>
      </rPr>
      <t>축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원하는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위치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이동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못함</t>
    </r>
    <r>
      <rPr>
        <sz val="11"/>
        <color theme="1"/>
        <rFont val="Calibri"/>
        <family val="2"/>
        <charset val="129"/>
      </rPr>
      <t xml:space="preserve"> +</t>
    </r>
    <r>
      <rPr>
        <sz val="11"/>
        <color theme="1"/>
        <rFont val="맑은 고딕"/>
        <family val="2"/>
        <charset val="129"/>
      </rPr>
      <t>리밋센서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위치조정</t>
    </r>
    <phoneticPr fontId="1" type="noConversion"/>
  </si>
  <si>
    <t>LOAD_HAND_X Axis Failed to move to desired location.</t>
    <phoneticPr fontId="1" type="noConversion"/>
  </si>
  <si>
    <t>LD#2 Stacker C-Tray Front Base Guide Tray Check</t>
    <phoneticPr fontId="1" type="noConversion"/>
  </si>
  <si>
    <r>
      <t xml:space="preserve">UP sensor POS </t>
    </r>
    <r>
      <rPr>
        <sz val="11"/>
        <color theme="1"/>
        <rFont val="맑은 고딕"/>
        <family val="2"/>
        <charset val="129"/>
      </rPr>
      <t>조절</t>
    </r>
    <phoneticPr fontId="1" type="noConversion"/>
  </si>
  <si>
    <t>Load Transfer C-Tray direction check failed.</t>
    <phoneticPr fontId="1" type="noConversion"/>
  </si>
  <si>
    <t>The module barcode could not be read properly.</t>
    <phoneticPr fontId="1" type="noConversion"/>
  </si>
  <si>
    <t>ULD#2 Stacker Manual C-Tray Middle Stopper Check   recognition failed.</t>
    <phoneticPr fontId="1" type="noConversion"/>
  </si>
  <si>
    <r>
      <rPr>
        <sz val="11"/>
        <color theme="1"/>
        <rFont val="맑은 고딕"/>
        <family val="2"/>
        <charset val="129"/>
      </rPr>
      <t>사람이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라벨지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붙이는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과정에서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발생한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휴먼에러라고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전달받음</t>
    </r>
    <phoneticPr fontId="1" type="noConversion"/>
  </si>
  <si>
    <t>LD Middle Feeder Tray Side Lock Sol  operation failed.</t>
    <phoneticPr fontId="1" type="noConversion"/>
  </si>
  <si>
    <t>LD#2 Stacker C-Tray Rear Base Guide Align On Sol  operation failed.</t>
    <phoneticPr fontId="1" type="noConversion"/>
  </si>
  <si>
    <r>
      <rPr>
        <sz val="11"/>
        <color theme="1"/>
        <rFont val="맑은 고딕"/>
        <family val="2"/>
        <charset val="129"/>
      </rPr>
      <t xml:space="preserve">투입 된 </t>
    </r>
    <r>
      <rPr>
        <sz val="11"/>
        <color theme="1"/>
        <rFont val="Calibri"/>
        <family val="2"/>
      </rPr>
      <t>C-tray</t>
    </r>
    <r>
      <rPr>
        <sz val="11"/>
        <color theme="1"/>
        <rFont val="맑은 고딕"/>
        <family val="2"/>
        <charset val="129"/>
      </rPr>
      <t xml:space="preserve">가 틀어지며 </t>
    </r>
    <r>
      <rPr>
        <sz val="11"/>
        <color theme="1"/>
        <rFont val="Calibri"/>
        <family val="2"/>
        <charset val="129"/>
      </rPr>
      <t>Guide Align On</t>
    </r>
    <r>
      <rPr>
        <sz val="11"/>
        <color theme="1"/>
        <rFont val="맑은 고딕"/>
        <family val="2"/>
        <charset val="129"/>
      </rPr>
      <t>할 때 걸림</t>
    </r>
    <phoneticPr fontId="1" type="noConversion"/>
  </si>
  <si>
    <r>
      <t xml:space="preserve">Retry </t>
    </r>
    <r>
      <rPr>
        <sz val="11"/>
        <color theme="1"/>
        <rFont val="맑은 고딕"/>
        <family val="2"/>
        <charset val="129"/>
      </rPr>
      <t>후</t>
    </r>
    <r>
      <rPr>
        <sz val="11"/>
        <color theme="1"/>
        <rFont val="Calibri"/>
        <family val="2"/>
      </rPr>
      <t xml:space="preserve"> Run</t>
    </r>
    <phoneticPr fontId="1" type="noConversion"/>
  </si>
  <si>
    <t>원인 파악 필요</t>
    <phoneticPr fontId="1" type="noConversion"/>
  </si>
  <si>
    <t>Empty Stacker Manual C-Tray Stopper Check   recognition failed</t>
    <phoneticPr fontId="1" type="noConversion"/>
  </si>
  <si>
    <r>
      <t xml:space="preserve">C-tray </t>
    </r>
    <r>
      <rPr>
        <sz val="11"/>
        <color theme="1"/>
        <rFont val="맑은 고딕"/>
        <family val="2"/>
        <charset val="129"/>
      </rPr>
      <t xml:space="preserve">투입 </t>
    </r>
    <r>
      <rPr>
        <sz val="11"/>
        <color theme="1"/>
        <rFont val="Calibri"/>
        <family val="2"/>
      </rPr>
      <t>Miss</t>
    </r>
    <phoneticPr fontId="1" type="noConversion"/>
  </si>
  <si>
    <t>LD#2 Stacker Manual C-Tray Front Stopper Check   recognition failed.</t>
    <phoneticPr fontId="1" type="noConversion"/>
  </si>
  <si>
    <r>
      <t xml:space="preserve">C-tray </t>
    </r>
    <r>
      <rPr>
        <sz val="11"/>
        <color theme="1"/>
        <rFont val="맑은 고딕"/>
        <family val="2"/>
        <charset val="129"/>
      </rPr>
      <t>투입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하면서 컨베이어 들어갈때 틀어져 위치 안맞음</t>
    </r>
    <phoneticPr fontId="1" type="noConversion"/>
  </si>
  <si>
    <r>
      <t>1</t>
    </r>
    <r>
      <rPr>
        <sz val="11"/>
        <color theme="1"/>
        <rFont val="맑은 고딕"/>
        <family val="2"/>
        <charset val="129"/>
      </rPr>
      <t>번 Insert 데미지 발생하여 자재 빠짐현상</t>
    </r>
    <phoneticPr fontId="1" type="noConversion"/>
  </si>
  <si>
    <t>Sensor 감지위치가 살짝 높아서 Gap 장착하여 검증 진행중</t>
    <phoneticPr fontId="1" type="noConversion"/>
  </si>
  <si>
    <t>Unloader Picker Module Unclamp Cylinder #6 Sol  operation failed</t>
    <phoneticPr fontId="1" type="noConversion"/>
  </si>
  <si>
    <t>Hand Module is not Exist. Check the Exist Sensor.[ No.1 ], Hand Module is not Exist. Check the Exist Sensor.[ No.5 ]</t>
    <phoneticPr fontId="1" type="noConversion"/>
  </si>
  <si>
    <t>Unloader Picker Module Unclamp Cylinder #4 Sol  operation failed</t>
    <phoneticPr fontId="1" type="noConversion"/>
  </si>
  <si>
    <t>Unloader Picker Module Unclamp Cylinder #7 Sol  operation failed.</t>
    <phoneticPr fontId="1" type="noConversion"/>
  </si>
  <si>
    <t>Loader Transfer Head Tray Check   recognition failed.</t>
    <phoneticPr fontId="1" type="noConversion"/>
  </si>
  <si>
    <t>LOAD_TRANSFER_Z Axis Motor alarm has occurred.</t>
    <phoneticPr fontId="1" type="noConversion"/>
  </si>
  <si>
    <r>
      <t>R-DIMM C-tray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Calibri"/>
        <family val="2"/>
      </rPr>
      <t xml:space="preserve"> Align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잡히지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않아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발생한것으로</t>
    </r>
    <r>
      <rPr>
        <sz val="11"/>
        <color theme="1"/>
        <rFont val="Calibri"/>
        <family val="2"/>
      </rPr>
      <t xml:space="preserve"> Bar </t>
    </r>
    <r>
      <rPr>
        <sz val="11"/>
        <color theme="1"/>
        <rFont val="맑은 고딕"/>
        <family val="2"/>
        <charset val="129"/>
      </rPr>
      <t>재장착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</rPr>
      <t xml:space="preserve"> LD2 X POS  </t>
    </r>
    <r>
      <rPr>
        <sz val="11"/>
        <color theme="1"/>
        <rFont val="맑은 고딕"/>
        <family val="2"/>
        <charset val="129"/>
      </rPr>
      <t>수정</t>
    </r>
    <phoneticPr fontId="1" type="noConversion"/>
  </si>
  <si>
    <t>pick up miss 발생</t>
    <phoneticPr fontId="1" type="noConversion"/>
  </si>
  <si>
    <r>
      <t xml:space="preserve">Unclamp </t>
    </r>
    <r>
      <rPr>
        <sz val="11"/>
        <color theme="1"/>
        <rFont val="맑은 고딕"/>
        <family val="2"/>
        <charset val="129"/>
      </rPr>
      <t>동작 실패</t>
    </r>
    <phoneticPr fontId="1" type="noConversion"/>
  </si>
  <si>
    <r>
      <t>1,5</t>
    </r>
    <r>
      <rPr>
        <sz val="11"/>
        <color theme="1"/>
        <rFont val="맑은 고딕"/>
        <family val="2"/>
        <charset val="129"/>
      </rPr>
      <t>번 Insert 데미지 발생하여 자재 빠짐현상</t>
    </r>
    <r>
      <rPr>
        <sz val="11"/>
        <color theme="1"/>
        <rFont val="Calibri"/>
        <family val="2"/>
      </rPr>
      <t xml:space="preserve">/Inset </t>
    </r>
    <r>
      <rPr>
        <sz val="11"/>
        <color theme="1"/>
        <rFont val="맑은 고딕"/>
        <family val="2"/>
        <charset val="129"/>
      </rPr>
      <t>교체 진행</t>
    </r>
    <phoneticPr fontId="1" type="noConversion"/>
  </si>
  <si>
    <t>LD#2 Stacker Manual C-Tray R-DIMM Check   recognition failed.</t>
    <phoneticPr fontId="1" type="noConversion"/>
  </si>
  <si>
    <r>
      <t xml:space="preserve">LD#2 Stacker C-tray </t>
    </r>
    <r>
      <rPr>
        <sz val="11"/>
        <color theme="1"/>
        <rFont val="맑은 고딕"/>
        <family val="2"/>
        <charset val="129"/>
      </rPr>
      <t xml:space="preserve">위치 </t>
    </r>
    <r>
      <rPr>
        <sz val="11"/>
        <color theme="1"/>
        <rFont val="Calibri"/>
        <family val="2"/>
      </rPr>
      <t>miss</t>
    </r>
    <phoneticPr fontId="1" type="noConversion"/>
  </si>
  <si>
    <t>Unloader Picker Module Unclamp Cylinder #1 Sol  operation failed</t>
    <phoneticPr fontId="1" type="noConversion"/>
  </si>
  <si>
    <t xml:space="preserve">ULD hand buffer Y POS Teaching </t>
    <phoneticPr fontId="1" type="noConversion"/>
  </si>
  <si>
    <r>
      <t xml:space="preserve">ULD RFID read miss </t>
    </r>
    <r>
      <rPr>
        <sz val="11"/>
        <color theme="1"/>
        <rFont val="맑은 고딕"/>
        <family val="2"/>
        <charset val="129"/>
      </rPr>
      <t xml:space="preserve">단발성 </t>
    </r>
    <r>
      <rPr>
        <sz val="11"/>
        <color theme="1"/>
        <rFont val="Calibri"/>
        <family val="2"/>
      </rPr>
      <t>Err.</t>
    </r>
    <phoneticPr fontId="1" type="noConversion"/>
  </si>
  <si>
    <t>Failed to read RFID</t>
    <phoneticPr fontId="1" type="noConversion"/>
  </si>
  <si>
    <t>ULD#1 Stacker C-Tray Middle Base Guide Stopper Off Sol</t>
    <phoneticPr fontId="1" type="noConversion"/>
  </si>
  <si>
    <t xml:space="preserve">pick up miss/Y POS Teaching </t>
    <phoneticPr fontId="1" type="noConversion"/>
  </si>
  <si>
    <t>Unloader Picker Module Unclamp Cylinder #8 Sol  operation failed</t>
    <phoneticPr fontId="1" type="noConversion"/>
  </si>
  <si>
    <t>LD#2 rear 위치에서 C-tray 틀어져 Pick up 이상 발생</t>
    <phoneticPr fontId="1" type="noConversion"/>
  </si>
  <si>
    <t>LD#1,2 rear 위치에서 C-tray 틀어져 Pick up 이상 발생</t>
    <phoneticPr fontId="1" type="noConversion"/>
  </si>
  <si>
    <t>pick up miss</t>
    <phoneticPr fontId="1" type="noConversion"/>
  </si>
  <si>
    <r>
      <rPr>
        <sz val="11"/>
        <color theme="1"/>
        <rFont val="맑은 고딕"/>
        <family val="2"/>
        <charset val="129"/>
      </rPr>
      <t xml:space="preserve">정비사에게 휴먼 </t>
    </r>
    <r>
      <rPr>
        <sz val="11"/>
        <color theme="1"/>
        <rFont val="Calibri"/>
        <family val="2"/>
      </rPr>
      <t>Err.</t>
    </r>
    <r>
      <rPr>
        <sz val="11"/>
        <color theme="1"/>
        <rFont val="맑은 고딕"/>
        <family val="2"/>
        <charset val="129"/>
      </rPr>
      <t>로 인폼 받음</t>
    </r>
    <phoneticPr fontId="1" type="noConversion"/>
  </si>
  <si>
    <r>
      <t>ULD hand buffer Y POS Teaching 17</t>
    </r>
    <r>
      <rPr>
        <sz val="11"/>
        <color theme="1"/>
        <rFont val="맑은 고딕"/>
        <family val="2"/>
        <charset val="129"/>
      </rPr>
      <t>일 지속 발생 후 마지막 점검 후 현재까지 미발생</t>
    </r>
    <phoneticPr fontId="1" type="noConversion"/>
  </si>
  <si>
    <t>ReJect Stacker C-Tray Top Base Output Check    Sensor detected</t>
    <phoneticPr fontId="1" type="noConversion"/>
  </si>
  <si>
    <t>Hand Module is not Exist. Check the Exist Sensor.[ No.8 ]</t>
    <phoneticPr fontId="1" type="noConversion"/>
  </si>
  <si>
    <r>
      <t xml:space="preserve">Tester Client </t>
    </r>
    <r>
      <rPr>
        <sz val="11"/>
        <color theme="1"/>
        <rFont val="맑은 고딕"/>
        <family val="2"/>
        <charset val="129"/>
      </rPr>
      <t>통신</t>
    </r>
    <r>
      <rPr>
        <sz val="11"/>
        <color theme="1"/>
        <rFont val="Calibri"/>
        <family val="2"/>
      </rPr>
      <t xml:space="preserve"> Reply Error </t>
    </r>
    <r>
      <rPr>
        <sz val="11"/>
        <color theme="1"/>
        <rFont val="맑은 고딕"/>
        <family val="2"/>
        <charset val="129"/>
      </rPr>
      <t>발생하였습니다</t>
    </r>
    <phoneticPr fontId="1" type="noConversion"/>
  </si>
  <si>
    <t xml:space="preserve">ReJect Stacker C-Tray Top Base Output Check </t>
    <phoneticPr fontId="1" type="noConversion"/>
  </si>
  <si>
    <t xml:space="preserve">LD#2 Stacker C-Tray Front Base Guide Tray Check </t>
    <phoneticPr fontId="1" type="noConversion"/>
  </si>
  <si>
    <t>Load Transfer C-Tray Step check failed.</t>
    <phoneticPr fontId="1" type="noConversion"/>
  </si>
  <si>
    <t>Tester communication Result error.</t>
    <phoneticPr fontId="1" type="noConversion"/>
  </si>
  <si>
    <t>Unload Transfer C-Tray direction check failed</t>
    <phoneticPr fontId="1" type="noConversion"/>
  </si>
  <si>
    <t>Tester communication error occurred.</t>
    <phoneticPr fontId="1" type="noConversion"/>
  </si>
  <si>
    <t>Tester Server     Serial ID Error</t>
    <phoneticPr fontId="1" type="noConversion"/>
  </si>
  <si>
    <t>LD#1 Stacker Manual C-Tray Input Check</t>
    <phoneticPr fontId="1" type="noConversion"/>
  </si>
  <si>
    <t>Hand Module is exist. Check the Exist Sensor.[ No.7 ]</t>
    <phoneticPr fontId="1" type="noConversion"/>
  </si>
  <si>
    <r>
      <t>7</t>
    </r>
    <r>
      <rPr>
        <sz val="11"/>
        <color theme="1"/>
        <rFont val="맑은 고딕"/>
        <family val="2"/>
        <charset val="129"/>
      </rPr>
      <t xml:space="preserve">번 </t>
    </r>
    <r>
      <rPr>
        <sz val="11"/>
        <color theme="1"/>
        <rFont val="Calibri"/>
        <family val="2"/>
      </rPr>
      <t xml:space="preserve">picker </t>
    </r>
    <r>
      <rPr>
        <sz val="11"/>
        <color theme="1"/>
        <rFont val="맑은 고딕"/>
        <family val="2"/>
        <charset val="129"/>
      </rPr>
      <t xml:space="preserve">광센서 케이블 오일 낙하 방지 BRK에 간섭발생하여 파손되어 
현재 해당 소켓 </t>
    </r>
    <r>
      <rPr>
        <sz val="11"/>
        <color theme="1"/>
        <rFont val="Calibri"/>
        <family val="2"/>
      </rPr>
      <t xml:space="preserve">off </t>
    </r>
    <r>
      <rPr>
        <sz val="11"/>
        <color theme="1"/>
        <rFont val="맑은 고딕"/>
        <family val="2"/>
        <charset val="129"/>
      </rPr>
      <t>후 가동 중</t>
    </r>
    <phoneticPr fontId="1" type="noConversion"/>
  </si>
  <si>
    <t>Hand Module is exist. Check the Exist Sensor</t>
    <phoneticPr fontId="1" type="noConversion"/>
  </si>
  <si>
    <r>
      <t>set plate</t>
    </r>
    <r>
      <rPr>
        <sz val="11"/>
        <color theme="1"/>
        <rFont val="맑은 고딕"/>
        <family val="2"/>
        <charset val="129"/>
      </rPr>
      <t xml:space="preserve">에서 </t>
    </r>
    <r>
      <rPr>
        <sz val="11"/>
        <color theme="1"/>
        <rFont val="Calibri"/>
        <family val="2"/>
      </rPr>
      <t xml:space="preserve">c-tray </t>
    </r>
    <r>
      <rPr>
        <sz val="11"/>
        <color theme="1"/>
        <rFont val="맑은 고딕"/>
        <family val="2"/>
        <charset val="129"/>
      </rPr>
      <t>자재 정리시 발생하여 정밀 티칭 진행 중</t>
    </r>
    <phoneticPr fontId="1" type="noConversion"/>
  </si>
  <si>
    <r>
      <t>set plate</t>
    </r>
    <r>
      <rPr>
        <sz val="11"/>
        <color theme="1"/>
        <rFont val="맑은 고딕"/>
        <family val="2"/>
        <charset val="129"/>
      </rPr>
      <t xml:space="preserve">에서 </t>
    </r>
    <r>
      <rPr>
        <sz val="11"/>
        <color theme="1"/>
        <rFont val="Calibri"/>
        <family val="2"/>
      </rPr>
      <t xml:space="preserve">c-tray </t>
    </r>
    <r>
      <rPr>
        <sz val="11"/>
        <color theme="1"/>
        <rFont val="맑은 고딕"/>
        <family val="2"/>
        <charset val="129"/>
      </rPr>
      <t>자재 정리시 발생</t>
    </r>
    <phoneticPr fontId="1" type="noConversion"/>
  </si>
  <si>
    <t>Tester communication error o+F51ccurred.</t>
    <phoneticPr fontId="1" type="noConversion"/>
  </si>
  <si>
    <r>
      <rPr>
        <sz val="11"/>
        <color theme="1"/>
        <rFont val="맑은 고딕"/>
        <family val="2"/>
        <charset val="129"/>
      </rPr>
      <t>발생 당시 컨베이어 정지 신호 후 3</t>
    </r>
    <r>
      <rPr>
        <sz val="11"/>
        <color theme="1"/>
        <rFont val="Calibri"/>
        <family val="2"/>
      </rPr>
      <t>mm</t>
    </r>
    <r>
      <rPr>
        <sz val="11"/>
        <color theme="1"/>
        <rFont val="맑은 고딕"/>
        <family val="2"/>
        <charset val="129"/>
      </rPr>
      <t xml:space="preserve">정도 </t>
    </r>
    <r>
      <rPr>
        <sz val="11"/>
        <color theme="1"/>
        <rFont val="Calibri"/>
        <family val="2"/>
      </rPr>
      <t xml:space="preserve">POS </t>
    </r>
    <r>
      <rPr>
        <sz val="11"/>
        <color theme="1"/>
        <rFont val="맑은 고딕"/>
        <family val="2"/>
        <charset val="129"/>
      </rPr>
      <t>벗어난 것으로 확인되어 
고객사와 컨베이어 인버터 조정하여 속도 조절 협의 중</t>
    </r>
    <phoneticPr fontId="1" type="noConversion"/>
  </si>
  <si>
    <r>
      <t>Y</t>
    </r>
    <r>
      <rPr>
        <sz val="11"/>
        <color theme="1"/>
        <rFont val="맑은 고딕"/>
        <family val="2"/>
        <charset val="129"/>
      </rPr>
      <t>축 티칭 진행</t>
    </r>
    <phoneticPr fontId="1" type="noConversion"/>
  </si>
  <si>
    <t>STACKER LD1, LD2 STEP Cyl. Pos 조정
LD TRANSFER LD1, LD2 X-Axis, Z-Axis TEACHING.
LD TRANSFER GRIP TEACHING.</t>
    <phoneticPr fontId="1" type="noConversion"/>
  </si>
  <si>
    <r>
      <t xml:space="preserve">c-tray </t>
    </r>
    <r>
      <rPr>
        <sz val="11"/>
        <color theme="1"/>
        <rFont val="맑은 고딕"/>
        <family val="2"/>
        <charset val="129"/>
      </rPr>
      <t>미감지로 원인파악 중</t>
    </r>
    <phoneticPr fontId="1" type="noConversion"/>
  </si>
  <si>
    <r>
      <t>BCR reading fail/</t>
    </r>
    <r>
      <rPr>
        <sz val="11"/>
        <color theme="1"/>
        <rFont val="맑은 고딕"/>
        <family val="2"/>
        <charset val="129"/>
      </rPr>
      <t>휴먼 에러</t>
    </r>
    <phoneticPr fontId="1" type="noConversion"/>
  </si>
  <si>
    <r>
      <rPr>
        <sz val="11"/>
        <color theme="1"/>
        <rFont val="맑은 고딕"/>
        <family val="2"/>
        <charset val="129"/>
      </rPr>
      <t>원인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파악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필요</t>
    </r>
    <phoneticPr fontId="1" type="noConversion"/>
  </si>
  <si>
    <r>
      <rPr>
        <sz val="11"/>
        <color theme="1"/>
        <rFont val="맑은 고딕"/>
        <family val="2"/>
        <charset val="129"/>
      </rPr>
      <t>구버전</t>
    </r>
    <r>
      <rPr>
        <sz val="11"/>
        <color theme="1"/>
        <rFont val="Calibri"/>
        <family val="2"/>
        <charset val="129"/>
      </rPr>
      <t xml:space="preserve"> OS</t>
    </r>
    <r>
      <rPr>
        <sz val="11"/>
        <color theme="1"/>
        <rFont val="맑은 고딕"/>
        <family val="2"/>
        <charset val="129"/>
      </rPr>
      <t>로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인한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시퀀스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변경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건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미적용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  <charset val="129"/>
      </rPr>
      <t xml:space="preserve">
</t>
    </r>
    <r>
      <rPr>
        <sz val="11"/>
        <color theme="1"/>
        <rFont val="맑은 고딕"/>
        <family val="2"/>
        <charset val="129"/>
      </rPr>
      <t>휴먼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에러로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인한</t>
    </r>
    <r>
      <rPr>
        <sz val="11"/>
        <color theme="1"/>
        <rFont val="Calibri"/>
        <family val="2"/>
        <charset val="129"/>
      </rPr>
      <t xml:space="preserve"> Transfer Err. </t>
    </r>
    <r>
      <rPr>
        <sz val="11"/>
        <color theme="1"/>
        <rFont val="맑은 고딕"/>
        <family val="2"/>
        <charset val="129"/>
      </rPr>
      <t>다량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발생하여 불필요한 파일 정리</t>
    </r>
    <phoneticPr fontId="1" type="noConversion"/>
  </si>
  <si>
    <r>
      <rPr>
        <sz val="11"/>
        <color theme="1"/>
        <rFont val="맑은 고딕"/>
        <family val="3"/>
        <charset val="129"/>
      </rPr>
      <t>구버전</t>
    </r>
    <r>
      <rPr>
        <sz val="11"/>
        <color theme="1"/>
        <rFont val="Calibri"/>
        <family val="2"/>
      </rPr>
      <t xml:space="preserve"> OS</t>
    </r>
    <r>
      <rPr>
        <sz val="11"/>
        <color theme="1"/>
        <rFont val="맑은 고딕"/>
        <family val="3"/>
        <charset val="129"/>
      </rPr>
      <t>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인한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시퀀스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변경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미적용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및
휴먼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에러로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인한</t>
    </r>
    <r>
      <rPr>
        <sz val="11"/>
        <color theme="1"/>
        <rFont val="Calibri"/>
        <family val="2"/>
      </rPr>
      <t xml:space="preserve"> Transfer Err. </t>
    </r>
    <r>
      <rPr>
        <sz val="11"/>
        <color theme="1"/>
        <rFont val="맑은 고딕"/>
        <family val="3"/>
        <charset val="129"/>
      </rPr>
      <t>다량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발생하여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불필요한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파일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정리</t>
    </r>
    <phoneticPr fontId="1" type="noConversion"/>
  </si>
  <si>
    <r>
      <t xml:space="preserve">Tester SAMSUNG UI </t>
    </r>
    <r>
      <rPr>
        <sz val="11"/>
        <color theme="1"/>
        <rFont val="맑은 고딕"/>
        <family val="2"/>
        <charset val="129"/>
      </rPr>
      <t>펌웨어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업데이트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이후 발생</t>
    </r>
    <phoneticPr fontId="1" type="noConversion"/>
  </si>
  <si>
    <t>LD Middle Feeder Tray Side Lock Sol  operation failed</t>
    <phoneticPr fontId="1" type="noConversion"/>
  </si>
  <si>
    <r>
      <t>Side Lock Sol Y</t>
    </r>
    <r>
      <rPr>
        <sz val="11"/>
        <color theme="1"/>
        <rFont val="맑은 고딕"/>
        <family val="2"/>
        <charset val="129"/>
      </rPr>
      <t>축 티칭 진행</t>
    </r>
    <phoneticPr fontId="1" type="noConversion"/>
  </si>
  <si>
    <r>
      <t xml:space="preserve">C-tray </t>
    </r>
    <r>
      <rPr>
        <sz val="11"/>
        <color theme="1"/>
        <rFont val="맑은 고딕"/>
        <family val="2"/>
        <charset val="129"/>
      </rPr>
      <t>걸림</t>
    </r>
    <r>
      <rPr>
        <sz val="11"/>
        <color theme="1"/>
        <rFont val="Calibri"/>
        <family val="2"/>
      </rPr>
      <t xml:space="preserve"> stopper </t>
    </r>
    <r>
      <rPr>
        <sz val="11"/>
        <color theme="1"/>
        <rFont val="맑은 고딕"/>
        <family val="2"/>
        <charset val="129"/>
      </rPr>
      <t>재조립</t>
    </r>
    <phoneticPr fontId="1" type="noConversion"/>
  </si>
  <si>
    <r>
      <t xml:space="preserve">HOST </t>
    </r>
    <r>
      <rPr>
        <sz val="11"/>
        <color theme="1"/>
        <rFont val="맑은 고딕"/>
        <family val="2"/>
        <charset val="129"/>
      </rPr>
      <t>로부터</t>
    </r>
    <r>
      <rPr>
        <sz val="11"/>
        <color theme="1"/>
        <rFont val="Calibri"/>
        <family val="2"/>
      </rPr>
      <t xml:space="preserve"> STOP WORK REQ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수신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받았습니다</t>
    </r>
    <phoneticPr fontId="1" type="noConversion"/>
  </si>
  <si>
    <t>LD#2 Stacker C-Tray Front Base Guide Tray Check   recognition failed</t>
    <phoneticPr fontId="1" type="noConversion"/>
  </si>
  <si>
    <r>
      <rPr>
        <sz val="11"/>
        <color theme="1"/>
        <rFont val="맑은 고딕"/>
        <family val="2"/>
        <charset val="129"/>
      </rPr>
      <t>간헐적으로</t>
    </r>
    <r>
      <rPr>
        <sz val="11"/>
        <color theme="1"/>
        <rFont val="Calibri"/>
        <family val="2"/>
      </rPr>
      <t xml:space="preserve"> sensor </t>
    </r>
    <r>
      <rPr>
        <sz val="11"/>
        <color theme="1"/>
        <rFont val="맑은 고딕"/>
        <family val="2"/>
        <charset val="129"/>
      </rPr>
      <t>미감지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발생</t>
    </r>
    <r>
      <rPr>
        <sz val="11"/>
        <color theme="1"/>
        <rFont val="Calibri"/>
        <family val="2"/>
      </rPr>
      <t xml:space="preserve"> conveyor </t>
    </r>
    <r>
      <rPr>
        <sz val="11"/>
        <color theme="1"/>
        <rFont val="맑은 고딕"/>
        <family val="2"/>
        <charset val="129"/>
      </rPr>
      <t>속도를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줄일지</t>
    </r>
    <r>
      <rPr>
        <sz val="11"/>
        <color theme="1"/>
        <rFont val="Calibri"/>
        <family val="2"/>
      </rPr>
      <t xml:space="preserve"> sensor POS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변경할지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고객사와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협의중</t>
    </r>
    <phoneticPr fontId="1" type="noConversion"/>
  </si>
  <si>
    <r>
      <t>T-tray</t>
    </r>
    <r>
      <rPr>
        <sz val="11"/>
        <color theme="1"/>
        <rFont val="맑은 고딕"/>
        <family val="2"/>
        <charset val="129"/>
      </rPr>
      <t xml:space="preserve">에서 자재 빠져있어 </t>
    </r>
    <r>
      <rPr>
        <sz val="11"/>
        <color theme="1"/>
        <rFont val="Calibri"/>
        <family val="2"/>
      </rPr>
      <t xml:space="preserve">insert </t>
    </r>
    <r>
      <rPr>
        <sz val="11"/>
        <color theme="1"/>
        <rFont val="맑은 고딕"/>
        <family val="2"/>
        <charset val="129"/>
      </rPr>
      <t>교체</t>
    </r>
    <phoneticPr fontId="1" type="noConversion"/>
  </si>
  <si>
    <t>LD#1 Stacker C-Tray Middle Base Stopper Off Sol   operation failed</t>
    <phoneticPr fontId="1" type="noConversion"/>
  </si>
  <si>
    <r>
      <t>stopper</t>
    </r>
    <r>
      <rPr>
        <sz val="11"/>
        <color theme="1"/>
        <rFont val="맑은 고딕"/>
        <family val="2"/>
        <charset val="129"/>
      </rPr>
      <t xml:space="preserve">가 걸려서 </t>
    </r>
    <r>
      <rPr>
        <sz val="11"/>
        <color theme="1"/>
        <rFont val="Calibri"/>
        <family val="2"/>
      </rPr>
      <t xml:space="preserve">Sol </t>
    </r>
    <r>
      <rPr>
        <sz val="11"/>
        <color theme="1"/>
        <rFont val="맑은 고딕"/>
        <family val="2"/>
        <charset val="129"/>
      </rPr>
      <t>동작 실패로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재조립</t>
    </r>
    <phoneticPr fontId="1" type="noConversion"/>
  </si>
  <si>
    <t>야간 핸들러 팅김현상발생 소프트팀 인폼완료 (ETC Err.)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</si>
</sst>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theme="1"/>
      <name val="Calibri"/>
      <family val="2"/>
    </font>
    <font>
      <b/>
      <sz val="16"/>
      <color theme="1"/>
      <name val="맑은 고딕"/>
      <family val="2"/>
      <scheme val="minor"/>
    </font>
    <font>
      <sz val="11"/>
      <color theme="1"/>
      <name val="Calibri"/>
      <family val="2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  <charset val="129"/>
    </font>
    <font>
      <sz val="11"/>
      <color theme="1"/>
      <name val="맑은 고딕"/>
      <family val="2"/>
      <scheme val="minor"/>
    </font>
    <font>
      <sz val="11"/>
      <color theme="1"/>
      <name val="Calibri"/>
      <family val="3"/>
    </font>
    <font>
      <sz val="11"/>
      <color theme="1"/>
      <name val="Calibri"/>
      <family val="3"/>
      <charset val="129"/>
    </font>
    <font>
      <sz val="11"/>
      <color theme="1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505050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/>
  </cellStyleXfs>
  <cellXfs count="141">
    <xf numFmtId="0" fontId="0" fillId="0" borderId="0" xfId="0">
      <alignment vertical="center"/>
    </xf>
    <xf numFmtId="0" fontId="0" fillId="0" borderId="3" xfId="0" applyBorder="1" applyAlignment="1">
      <alignment horizontal="center"/>
    </xf>
    <xf numFmtId="16" fontId="3" fillId="0" borderId="3" xfId="0" applyNumberFormat="1" applyFont="1" applyBorder="1" applyAlignment="1">
      <alignment horizontal="center"/>
    </xf>
    <xf numFmtId="0" fontId="6" fillId="0" borderId="0" xfId="1" applyFont="1"/>
    <xf numFmtId="0" fontId="10" fillId="0" borderId="0" xfId="1" applyAlignment="1">
      <alignment horizontal="center"/>
    </xf>
    <xf numFmtId="0" fontId="10" fillId="0" borderId="0" xfId="1"/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left" vertical="top"/>
    </xf>
    <xf numFmtId="0" fontId="10" fillId="0" borderId="3" xfId="1" applyBorder="1" applyAlignment="1">
      <alignment horizontal="center"/>
    </xf>
    <xf numFmtId="0" fontId="2" fillId="0" borderId="0" xfId="1" applyFont="1"/>
    <xf numFmtId="0" fontId="10" fillId="2" borderId="3" xfId="1" applyFill="1" applyBorder="1" applyAlignment="1">
      <alignment horizontal="center"/>
    </xf>
    <xf numFmtId="1" fontId="10" fillId="4" borderId="3" xfId="1" applyNumberFormat="1" applyFill="1" applyBorder="1" applyAlignment="1">
      <alignment horizontal="center"/>
    </xf>
    <xf numFmtId="176" fontId="10" fillId="0" borderId="3" xfId="1" applyNumberFormat="1" applyBorder="1" applyAlignment="1">
      <alignment horizontal="center"/>
    </xf>
    <xf numFmtId="0" fontId="10" fillId="5" borderId="3" xfId="1" applyFill="1" applyBorder="1" applyAlignment="1">
      <alignment horizontal="center"/>
    </xf>
    <xf numFmtId="176" fontId="10" fillId="5" borderId="3" xfId="1" applyNumberFormat="1" applyFill="1" applyBorder="1" applyAlignment="1">
      <alignment horizontal="center"/>
    </xf>
    <xf numFmtId="0" fontId="10" fillId="6" borderId="3" xfId="1" applyFill="1" applyBorder="1" applyAlignment="1">
      <alignment horizontal="center"/>
    </xf>
    <xf numFmtId="176" fontId="10" fillId="6" borderId="3" xfId="1" applyNumberFormat="1" applyFill="1" applyBorder="1" applyAlignment="1">
      <alignment horizontal="center"/>
    </xf>
    <xf numFmtId="0" fontId="10" fillId="8" borderId="3" xfId="1" applyFill="1" applyBorder="1" applyAlignment="1">
      <alignment horizontal="center"/>
    </xf>
    <xf numFmtId="0" fontId="10" fillId="7" borderId="0" xfId="1" applyFill="1"/>
    <xf numFmtId="0" fontId="4" fillId="2" borderId="3" xfId="1" applyFont="1" applyFill="1" applyBorder="1" applyAlignment="1">
      <alignment horizontal="center" vertical="center"/>
    </xf>
    <xf numFmtId="0" fontId="10" fillId="2" borderId="4" xfId="1" applyFill="1" applyBorder="1" applyAlignment="1">
      <alignment horizontal="center" vertical="center"/>
    </xf>
    <xf numFmtId="0" fontId="10" fillId="8" borderId="3" xfId="1" applyFill="1" applyBorder="1" applyAlignment="1">
      <alignment horizontal="center" vertical="center"/>
    </xf>
    <xf numFmtId="0" fontId="10" fillId="4" borderId="3" xfId="1" applyFill="1" applyBorder="1" applyAlignment="1">
      <alignment horizontal="center" vertical="center"/>
    </xf>
    <xf numFmtId="1" fontId="10" fillId="4" borderId="3" xfId="1" applyNumberFormat="1" applyFill="1" applyBorder="1" applyAlignment="1">
      <alignment horizontal="center" vertical="center"/>
    </xf>
    <xf numFmtId="0" fontId="10" fillId="5" borderId="3" xfId="1" applyFill="1" applyBorder="1" applyAlignment="1">
      <alignment horizontal="center" vertical="center"/>
    </xf>
    <xf numFmtId="0" fontId="10" fillId="7" borderId="0" xfId="1" applyFill="1" applyAlignment="1">
      <alignment horizontal="center"/>
    </xf>
    <xf numFmtId="14" fontId="10" fillId="0" borderId="17" xfId="1" applyNumberFormat="1" applyBorder="1" applyAlignment="1">
      <alignment horizontal="left" vertical="center"/>
    </xf>
    <xf numFmtId="0" fontId="7" fillId="0" borderId="18" xfId="1" applyFont="1" applyBorder="1" applyAlignment="1">
      <alignment horizontal="center" vertical="top" wrapText="1"/>
    </xf>
    <xf numFmtId="0" fontId="7" fillId="0" borderId="3" xfId="1" applyFont="1" applyBorder="1" applyAlignment="1">
      <alignment horizontal="center"/>
    </xf>
    <xf numFmtId="0" fontId="5" fillId="0" borderId="14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10" fillId="0" borderId="0" xfId="1" applyAlignment="1">
      <alignment horizontal="center" vertical="center"/>
    </xf>
    <xf numFmtId="0" fontId="4" fillId="0" borderId="0" xfId="1" applyFont="1"/>
    <xf numFmtId="0" fontId="10" fillId="0" borderId="0" xfId="1" applyAlignment="1">
      <alignment vertical="center"/>
    </xf>
    <xf numFmtId="14" fontId="10" fillId="0" borderId="20" xfId="1" applyNumberFormat="1" applyBorder="1" applyAlignment="1">
      <alignment horizontal="left" vertical="center"/>
    </xf>
    <xf numFmtId="0" fontId="7" fillId="0" borderId="3" xfId="1" applyFont="1" applyBorder="1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1" fontId="0" fillId="4" borderId="3" xfId="0" applyNumberForma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7" fillId="8" borderId="1" xfId="1" applyFont="1" applyFill="1" applyBorder="1" applyAlignment="1">
      <alignment horizontal="left" vertical="center"/>
    </xf>
    <xf numFmtId="0" fontId="7" fillId="8" borderId="19" xfId="1" applyFont="1" applyFill="1" applyBorder="1" applyAlignment="1">
      <alignment horizontal="left" vertical="center"/>
    </xf>
    <xf numFmtId="0" fontId="7" fillId="8" borderId="2" xfId="1" applyFont="1" applyFill="1" applyBorder="1" applyAlignment="1">
      <alignment horizontal="left" vertical="center"/>
    </xf>
    <xf numFmtId="0" fontId="7" fillId="0" borderId="3" xfId="1" applyFont="1" applyBorder="1" applyAlignment="1">
      <alignment horizontal="center" vertical="center"/>
    </xf>
    <xf numFmtId="0" fontId="10" fillId="0" borderId="3" xfId="1" applyBorder="1" applyAlignment="1">
      <alignment horizontal="center" vertical="center"/>
    </xf>
    <xf numFmtId="0" fontId="7" fillId="0" borderId="18" xfId="1" applyFont="1" applyBorder="1" applyAlignment="1">
      <alignment horizontal="center" vertical="center" wrapText="1"/>
    </xf>
    <xf numFmtId="0" fontId="11" fillId="8" borderId="1" xfId="1" applyFont="1" applyFill="1" applyBorder="1" applyAlignment="1">
      <alignment horizontal="left" vertical="center"/>
    </xf>
    <xf numFmtId="0" fontId="7" fillId="8" borderId="19" xfId="1" applyFont="1" applyFill="1" applyBorder="1" applyAlignment="1">
      <alignment horizontal="left" vertical="center"/>
    </xf>
    <xf numFmtId="0" fontId="7" fillId="8" borderId="2" xfId="1" applyFont="1" applyFill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0" borderId="19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7" fillId="0" borderId="19" xfId="1" applyFont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0" fontId="7" fillId="0" borderId="4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left" vertical="center" wrapText="1"/>
    </xf>
    <xf numFmtId="0" fontId="9" fillId="0" borderId="1" xfId="1" applyFont="1" applyBorder="1" applyAlignment="1">
      <alignment horizontal="left" vertical="center"/>
    </xf>
    <xf numFmtId="0" fontId="7" fillId="8" borderId="1" xfId="1" applyFont="1" applyFill="1" applyBorder="1" applyAlignment="1">
      <alignment horizontal="left" vertical="center"/>
    </xf>
    <xf numFmtId="0" fontId="9" fillId="0" borderId="19" xfId="1" applyFont="1" applyBorder="1" applyAlignment="1">
      <alignment horizontal="left" vertical="center"/>
    </xf>
    <xf numFmtId="0" fontId="9" fillId="0" borderId="2" xfId="1" applyFont="1" applyBorder="1" applyAlignment="1">
      <alignment horizontal="left" vertical="center"/>
    </xf>
    <xf numFmtId="0" fontId="7" fillId="0" borderId="13" xfId="1" applyFont="1" applyBorder="1" applyAlignment="1">
      <alignment horizontal="center" vertical="center" wrapText="1"/>
    </xf>
    <xf numFmtId="0" fontId="7" fillId="0" borderId="21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12" fillId="8" borderId="1" xfId="1" applyFont="1" applyFill="1" applyBorder="1" applyAlignment="1">
      <alignment horizontal="left" vertical="center"/>
    </xf>
    <xf numFmtId="0" fontId="7" fillId="0" borderId="1" xfId="1" applyFont="1" applyBorder="1" applyAlignment="1">
      <alignment vertical="center"/>
    </xf>
    <xf numFmtId="0" fontId="7" fillId="0" borderId="19" xfId="1" applyFont="1" applyBorder="1" applyAlignment="1">
      <alignment vertical="center"/>
    </xf>
    <xf numFmtId="0" fontId="7" fillId="0" borderId="2" xfId="1" applyFont="1" applyBorder="1" applyAlignment="1">
      <alignment vertical="center"/>
    </xf>
    <xf numFmtId="0" fontId="9" fillId="0" borderId="1" xfId="1" applyFont="1" applyBorder="1" applyAlignment="1">
      <alignment vertical="center" wrapText="1"/>
    </xf>
    <xf numFmtId="0" fontId="7" fillId="0" borderId="19" xfId="1" applyFont="1" applyBorder="1" applyAlignment="1">
      <alignment vertical="center" wrapText="1"/>
    </xf>
    <xf numFmtId="0" fontId="7" fillId="0" borderId="2" xfId="1" applyFont="1" applyBorder="1" applyAlignment="1">
      <alignment vertical="center" wrapText="1"/>
    </xf>
    <xf numFmtId="0" fontId="7" fillId="0" borderId="1" xfId="1" applyFont="1" applyBorder="1" applyAlignment="1">
      <alignment vertical="center" wrapText="1"/>
    </xf>
    <xf numFmtId="0" fontId="8" fillId="0" borderId="9" xfId="1" applyFont="1" applyBorder="1" applyAlignment="1">
      <alignment horizontal="left" vertical="center" wrapText="1"/>
    </xf>
    <xf numFmtId="0" fontId="8" fillId="0" borderId="11" xfId="1" applyFont="1" applyBorder="1" applyAlignment="1">
      <alignment horizontal="left" vertical="center"/>
    </xf>
    <xf numFmtId="0" fontId="8" fillId="0" borderId="10" xfId="1" applyFont="1" applyBorder="1" applyAlignment="1">
      <alignment horizontal="left" vertical="center"/>
    </xf>
    <xf numFmtId="0" fontId="8" fillId="0" borderId="14" xfId="1" applyFont="1" applyBorder="1" applyAlignment="1">
      <alignment horizontal="left" vertical="center"/>
    </xf>
    <xf numFmtId="0" fontId="8" fillId="0" borderId="16" xfId="1" applyFont="1" applyBorder="1" applyAlignment="1">
      <alignment horizontal="left" vertical="center"/>
    </xf>
    <xf numFmtId="0" fontId="8" fillId="0" borderId="15" xfId="1" applyFont="1" applyBorder="1" applyAlignment="1">
      <alignment horizontal="left" vertical="center"/>
    </xf>
    <xf numFmtId="0" fontId="10" fillId="7" borderId="1" xfId="1" applyFill="1" applyBorder="1" applyAlignment="1">
      <alignment horizontal="center"/>
    </xf>
    <xf numFmtId="0" fontId="10" fillId="7" borderId="2" xfId="1" applyFill="1" applyBorder="1" applyAlignment="1">
      <alignment horizontal="center"/>
    </xf>
    <xf numFmtId="0" fontId="10" fillId="5" borderId="1" xfId="1" applyFill="1" applyBorder="1" applyAlignment="1">
      <alignment horizontal="center"/>
    </xf>
    <xf numFmtId="0" fontId="10" fillId="5" borderId="2" xfId="1" applyFill="1" applyBorder="1" applyAlignment="1">
      <alignment horizontal="center"/>
    </xf>
    <xf numFmtId="0" fontId="10" fillId="6" borderId="1" xfId="1" applyFill="1" applyBorder="1" applyAlignment="1">
      <alignment horizontal="center"/>
    </xf>
    <xf numFmtId="0" fontId="10" fillId="6" borderId="2" xfId="1" applyFill="1" applyBorder="1" applyAlignment="1">
      <alignment horizontal="center"/>
    </xf>
    <xf numFmtId="0" fontId="10" fillId="8" borderId="3" xfId="1" applyFill="1" applyBorder="1" applyAlignment="1">
      <alignment horizontal="center"/>
    </xf>
    <xf numFmtId="0" fontId="7" fillId="0" borderId="1" xfId="1" applyFont="1" applyBorder="1" applyAlignment="1">
      <alignment horizontal="left" vertical="top"/>
    </xf>
    <xf numFmtId="0" fontId="7" fillId="0" borderId="19" xfId="1" applyFont="1" applyBorder="1" applyAlignment="1">
      <alignment horizontal="left" vertical="top"/>
    </xf>
    <xf numFmtId="0" fontId="7" fillId="0" borderId="2" xfId="1" applyFont="1" applyBorder="1" applyAlignment="1">
      <alignment horizontal="left" vertical="top"/>
    </xf>
    <xf numFmtId="14" fontId="10" fillId="0" borderId="1" xfId="1" applyNumberFormat="1" applyBorder="1" applyAlignment="1">
      <alignment horizontal="center"/>
    </xf>
    <xf numFmtId="14" fontId="10" fillId="0" borderId="2" xfId="1" applyNumberFormat="1" applyBorder="1" applyAlignment="1">
      <alignment horizontal="center"/>
    </xf>
    <xf numFmtId="0" fontId="5" fillId="0" borderId="7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10" fillId="0" borderId="1" xfId="1" applyBorder="1" applyAlignment="1">
      <alignment horizontal="center"/>
    </xf>
    <xf numFmtId="0" fontId="10" fillId="0" borderId="2" xfId="1" applyBorder="1" applyAlignment="1">
      <alignment horizontal="center"/>
    </xf>
    <xf numFmtId="0" fontId="10" fillId="0" borderId="4" xfId="1" applyBorder="1" applyAlignment="1">
      <alignment horizontal="center" vertical="center" wrapText="1"/>
    </xf>
    <xf numFmtId="0" fontId="10" fillId="0" borderId="5" xfId="1" applyBorder="1" applyAlignment="1">
      <alignment horizontal="center" vertical="center" wrapText="1"/>
    </xf>
    <xf numFmtId="0" fontId="10" fillId="0" borderId="6" xfId="1" applyBorder="1" applyAlignment="1">
      <alignment horizontal="center" vertical="center" wrapText="1"/>
    </xf>
    <xf numFmtId="0" fontId="10" fillId="0" borderId="4" xfId="1" applyBorder="1" applyAlignment="1">
      <alignment horizontal="center" vertical="center"/>
    </xf>
    <xf numFmtId="0" fontId="10" fillId="0" borderId="5" xfId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14" fontId="10" fillId="2" borderId="1" xfId="1" applyNumberFormat="1" applyFill="1" applyBorder="1" applyAlignment="1">
      <alignment horizontal="center"/>
    </xf>
    <xf numFmtId="14" fontId="10" fillId="2" borderId="2" xfId="1" applyNumberFormat="1" applyFill="1" applyBorder="1" applyAlignment="1">
      <alignment horizontal="center"/>
    </xf>
    <xf numFmtId="14" fontId="10" fillId="4" borderId="1" xfId="1" applyNumberFormat="1" applyFill="1" applyBorder="1" applyAlignment="1">
      <alignment horizontal="center"/>
    </xf>
    <xf numFmtId="14" fontId="10" fillId="4" borderId="2" xfId="1" applyNumberFormat="1" applyFill="1" applyBorder="1" applyAlignment="1">
      <alignment horizontal="center"/>
    </xf>
    <xf numFmtId="0" fontId="5" fillId="0" borderId="4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8" borderId="9" xfId="1" applyFont="1" applyFill="1" applyBorder="1" applyAlignment="1">
      <alignment horizontal="center" vertical="center"/>
    </xf>
    <xf numFmtId="0" fontId="5" fillId="8" borderId="11" xfId="1" applyFont="1" applyFill="1" applyBorder="1" applyAlignment="1">
      <alignment horizontal="center" vertical="center"/>
    </xf>
    <xf numFmtId="0" fontId="5" fillId="8" borderId="10" xfId="1" applyFont="1" applyFill="1" applyBorder="1" applyAlignment="1">
      <alignment horizontal="center" vertical="center"/>
    </xf>
    <xf numFmtId="0" fontId="5" fillId="8" borderId="14" xfId="1" applyFont="1" applyFill="1" applyBorder="1" applyAlignment="1">
      <alignment horizontal="center" vertical="center"/>
    </xf>
    <xf numFmtId="0" fontId="5" fillId="8" borderId="16" xfId="1" applyFont="1" applyFill="1" applyBorder="1" applyAlignment="1">
      <alignment horizontal="center" vertical="center"/>
    </xf>
    <xf numFmtId="0" fontId="5" fillId="8" borderId="15" xfId="1" applyFont="1" applyFill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9" fillId="0" borderId="1" xfId="1" applyFont="1" applyBorder="1" applyAlignment="1">
      <alignment horizontal="left" vertical="center" wrapText="1"/>
    </xf>
    <xf numFmtId="0" fontId="12" fillId="0" borderId="9" xfId="1" applyFont="1" applyBorder="1" applyAlignment="1">
      <alignment horizontal="left" vertical="center" wrapText="1"/>
    </xf>
    <xf numFmtId="0" fontId="7" fillId="0" borderId="11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7" fillId="0" borderId="14" xfId="1" applyFont="1" applyBorder="1" applyAlignment="1">
      <alignment horizontal="left" vertical="center"/>
    </xf>
    <xf numFmtId="0" fontId="7" fillId="0" borderId="16" xfId="1" applyFont="1" applyBorder="1" applyAlignment="1">
      <alignment horizontal="left" vertical="center"/>
    </xf>
    <xf numFmtId="0" fontId="7" fillId="0" borderId="15" xfId="1" applyFont="1" applyBorder="1" applyAlignment="1">
      <alignment horizontal="left" vertical="center"/>
    </xf>
  </cellXfs>
  <cellStyles count="2">
    <cellStyle name="표준" xfId="0" builtinId="0"/>
    <cellStyle name="표준 2" xfId="1" xr:uid="{9F80B894-5CFE-4FD2-A255-D022BC908A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b="1"/>
              <a:t>SLH1</a:t>
            </a:r>
          </a:p>
        </c:rich>
      </c:tx>
      <c:layout>
        <c:manualLayout>
          <c:xMode val="edge"/>
          <c:yMode val="edge"/>
          <c:x val="0.43904153383661498"/>
          <c:y val="1.4633245639480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>
        <c:manualLayout>
          <c:layoutTarget val="inner"/>
          <c:xMode val="edge"/>
          <c:yMode val="edge"/>
          <c:x val="5.843161310771823E-2"/>
          <c:y val="0.12325254418275196"/>
          <c:w val="0.91073330844931066"/>
          <c:h val="0.69947752648748618"/>
        </c:manualLayout>
      </c:layout>
      <c:barChart>
        <c:barDir val="col"/>
        <c:grouping val="stacked"/>
        <c:varyColors val="0"/>
        <c:ser>
          <c:idx val="3"/>
          <c:order val="3"/>
          <c:tx>
            <c:strRef>
              <c:f>'#SLH1'!$A$25</c:f>
              <c:strCache>
                <c:ptCount val="1"/>
                <c:pt idx="0">
                  <c:v>Stacker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cat>
          <c:val>
            <c:numRef>
              <c:f>'#SLH1'!$C$25:$AG$25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4</c:v>
                </c:pt>
                <c:pt idx="18">
                  <c:v>0</c:v>
                </c:pt>
                <c:pt idx="19">
                  <c:v>6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2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7-4E01-B3C2-243B9FE74D82}"/>
            </c:ext>
          </c:extLst>
        </c:ser>
        <c:ser>
          <c:idx val="4"/>
          <c:order val="4"/>
          <c:tx>
            <c:strRef>
              <c:f>'#SLH1'!$A$26</c:f>
              <c:strCache>
                <c:ptCount val="1"/>
                <c:pt idx="0">
                  <c:v>Transfer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cat>
          <c:val>
            <c:numRef>
              <c:f>'#SLH1'!$C$26:$AG$26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7</c:v>
                </c:pt>
                <c:pt idx="10">
                  <c:v>7</c:v>
                </c:pt>
                <c:pt idx="11">
                  <c:v>3</c:v>
                </c:pt>
                <c:pt idx="12">
                  <c:v>5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12</c:v>
                </c:pt>
                <c:pt idx="17">
                  <c:v>1</c:v>
                </c:pt>
                <c:pt idx="18">
                  <c:v>4</c:v>
                </c:pt>
                <c:pt idx="19">
                  <c:v>0</c:v>
                </c:pt>
                <c:pt idx="20">
                  <c:v>4</c:v>
                </c:pt>
                <c:pt idx="21">
                  <c:v>0</c:v>
                </c:pt>
                <c:pt idx="22">
                  <c:v>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F7-4E01-B3C2-243B9FE74D82}"/>
            </c:ext>
          </c:extLst>
        </c:ser>
        <c:ser>
          <c:idx val="5"/>
          <c:order val="5"/>
          <c:tx>
            <c:strRef>
              <c:f>'#SLH1'!$A$27</c:f>
              <c:strCache>
                <c:ptCount val="1"/>
                <c:pt idx="0">
                  <c:v>Set Plate&amp;BUFFER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F7-4E01-B3C2-243B9FE74D82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BF7-4E01-B3C2-243B9FE74D82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BF7-4E01-B3C2-243B9FE74D82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cat>
          <c:val>
            <c:numRef>
              <c:f>'#SLH1'!$C$27:$AG$27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F7-4E01-B3C2-243B9FE74D82}"/>
            </c:ext>
          </c:extLst>
        </c:ser>
        <c:ser>
          <c:idx val="6"/>
          <c:order val="6"/>
          <c:tx>
            <c:strRef>
              <c:f>'#SLH1'!$A$28</c:f>
              <c:strCache>
                <c:ptCount val="1"/>
                <c:pt idx="0">
                  <c:v>LD Flow&amp;Middle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cat>
          <c:val>
            <c:numRef>
              <c:f>'#SLH1'!$C$28:$AG$28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BF7-4E01-B3C2-243B9FE74D82}"/>
            </c:ext>
          </c:extLst>
        </c:ser>
        <c:ser>
          <c:idx val="7"/>
          <c:order val="7"/>
          <c:tx>
            <c:strRef>
              <c:f>'#SLH1'!$A$29</c:f>
              <c:strCache>
                <c:ptCount val="1"/>
                <c:pt idx="0">
                  <c:v>Load Hand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BF7-4E01-B3C2-243B9FE74D82}"/>
              </c:ext>
            </c:extLst>
          </c:dPt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BF7-4E01-B3C2-243B9FE74D82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cat>
          <c:val>
            <c:numRef>
              <c:f>'#SLH1'!$C$29:$AG$29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BF7-4E01-B3C2-243B9FE74D82}"/>
            </c:ext>
          </c:extLst>
        </c:ser>
        <c:ser>
          <c:idx val="8"/>
          <c:order val="8"/>
          <c:tx>
            <c:strRef>
              <c:f>'#SLH1'!$A$30</c:f>
              <c:strCache>
                <c:ptCount val="1"/>
                <c:pt idx="0">
                  <c:v>Unload Hand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tx2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BF7-4E01-B3C2-243B9FE74D82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BF7-4E01-B3C2-243B9FE74D82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BF7-4E01-B3C2-243B9FE74D82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cat>
          <c:val>
            <c:numRef>
              <c:f>'#SLH1'!$C$30:$AG$30</c:f>
              <c:numCache>
                <c:formatCode>General</c:formatCode>
                <c:ptCount val="3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6</c:v>
                </c:pt>
                <c:pt idx="13">
                  <c:v>2</c:v>
                </c:pt>
                <c:pt idx="14">
                  <c:v>2</c:v>
                </c:pt>
                <c:pt idx="15">
                  <c:v>12</c:v>
                </c:pt>
                <c:pt idx="16">
                  <c:v>4</c:v>
                </c:pt>
                <c:pt idx="17">
                  <c:v>8</c:v>
                </c:pt>
                <c:pt idx="18">
                  <c:v>4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4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BF7-4E01-B3C2-243B9FE74D82}"/>
            </c:ext>
          </c:extLst>
        </c:ser>
        <c:ser>
          <c:idx val="9"/>
          <c:order val="9"/>
          <c:tx>
            <c:strRef>
              <c:f>'#SLH1'!$A$31</c:f>
              <c:strCache>
                <c:ptCount val="1"/>
                <c:pt idx="0">
                  <c:v>INPUT FLOW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cat>
          <c:val>
            <c:numRef>
              <c:f>'#SLH1'!$C$31:$AG$31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BF7-4E01-B3C2-243B9FE74D82}"/>
            </c:ext>
          </c:extLst>
        </c:ser>
        <c:ser>
          <c:idx val="10"/>
          <c:order val="10"/>
          <c:tx>
            <c:strRef>
              <c:f>'#SLH1'!$A$32</c:f>
              <c:strCache>
                <c:ptCount val="1"/>
                <c:pt idx="0">
                  <c:v>TEST SITE</c:v>
                </c:pt>
              </c:strCache>
            </c:strRef>
          </c:tx>
          <c:spPr>
            <a:solidFill>
              <a:srgbClr val="F583ED"/>
            </a:solidFill>
            <a:ln>
              <a:solidFill>
                <a:srgbClr val="FF66FF"/>
              </a:solidFill>
            </a:ln>
            <a:effectLst/>
          </c:spPr>
          <c:invertIfNegative val="0"/>
          <c:dPt>
            <c:idx val="11"/>
            <c:invertIfNegative val="0"/>
            <c:bubble3D val="0"/>
            <c:spPr>
              <a:solidFill>
                <a:srgbClr val="F583ED"/>
              </a:solidFill>
              <a:ln>
                <a:solidFill>
                  <a:srgbClr val="FF66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BF7-4E01-B3C2-243B9FE74D82}"/>
              </c:ext>
            </c:extLst>
          </c:dPt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BF7-4E01-B3C2-243B9FE74D82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cat>
          <c:val>
            <c:numRef>
              <c:f>'#SLH1'!$C$32:$AG$32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3</c:v>
                </c:pt>
                <c:pt idx="23">
                  <c:v>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BF7-4E01-B3C2-243B9FE74D82}"/>
            </c:ext>
          </c:extLst>
        </c:ser>
        <c:ser>
          <c:idx val="11"/>
          <c:order val="11"/>
          <c:tx>
            <c:strRef>
              <c:f>'#SLH1'!$A$34</c:f>
              <c:strCache>
                <c:ptCount val="1"/>
                <c:pt idx="0">
                  <c:v>UD Flow&amp;Middle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cat>
          <c:val>
            <c:numRef>
              <c:f>'#SLH1'!$C$34:$AG$34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BF7-4E01-B3C2-243B9FE74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9041424"/>
        <c:axId val="1179055152"/>
      </c:barChart>
      <c:lineChart>
        <c:grouping val="standard"/>
        <c:varyColors val="0"/>
        <c:ser>
          <c:idx val="0"/>
          <c:order val="0"/>
          <c:tx>
            <c:v>#REF!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F-EBF7-4E01-B3C2-243B9FE74D82}"/>
            </c:ext>
          </c:extLst>
        </c:ser>
        <c:ser>
          <c:idx val="1"/>
          <c:order val="1"/>
          <c:tx>
            <c:strRef>
              <c:f>'#SLH1'!$A$23</c:f>
              <c:strCache>
                <c:ptCount val="1"/>
                <c:pt idx="0">
                  <c:v>Total Unit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9175795329096054E-3"/>
                  <c:y val="-3.82788998679839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BF7-4E01-B3C2-243B9FE74D82}"/>
                </c:ext>
              </c:extLst>
            </c:dLbl>
            <c:dLbl>
              <c:idx val="1"/>
              <c:layout>
                <c:manualLayout>
                  <c:x val="-6.6587913157423574E-3"/>
                  <c:y val="-3.96215289610078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BF7-4E01-B3C2-243B9FE74D82}"/>
                </c:ext>
              </c:extLst>
            </c:dLbl>
            <c:dLbl>
              <c:idx val="2"/>
              <c:layout>
                <c:manualLayout>
                  <c:x val="-7.4000030985751095E-3"/>
                  <c:y val="-3.88985083595296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BF7-4E01-B3C2-243B9FE74D82}"/>
                </c:ext>
              </c:extLst>
            </c:dLbl>
            <c:dLbl>
              <c:idx val="3"/>
              <c:layout>
                <c:manualLayout>
                  <c:x val="-5.9201422642033846E-3"/>
                  <c:y val="-3.88037379300928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BF7-4E01-B3C2-243B9FE74D82}"/>
                </c:ext>
              </c:extLst>
            </c:dLbl>
            <c:dLbl>
              <c:idx val="4"/>
              <c:layout>
                <c:manualLayout>
                  <c:x val="2.2189716377003497E-3"/>
                  <c:y val="-7.13091236940185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BF7-4E01-B3C2-243B9FE74D82}"/>
                </c:ext>
              </c:extLst>
            </c:dLbl>
            <c:dLbl>
              <c:idx val="5"/>
              <c:layout>
                <c:manualLayout>
                  <c:x val="7.7893246474086068E-4"/>
                  <c:y val="-0.101186650977319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BF7-4E01-B3C2-243B9FE74D82}"/>
                </c:ext>
              </c:extLst>
            </c:dLbl>
            <c:dLbl>
              <c:idx val="6"/>
              <c:layout>
                <c:manualLayout>
                  <c:x val="-3.9422961443358225E-3"/>
                  <c:y val="-3.70627273662145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BF7-4E01-B3C2-243B9FE74D82}"/>
                </c:ext>
              </c:extLst>
            </c:dLbl>
            <c:dLbl>
              <c:idx val="7"/>
              <c:layout>
                <c:manualLayout>
                  <c:x val="-7.7438750430859739E-3"/>
                  <c:y val="-3.65373131920725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BF7-4E01-B3C2-243B9FE74D82}"/>
                </c:ext>
              </c:extLst>
            </c:dLbl>
            <c:dLbl>
              <c:idx val="8"/>
              <c:layout>
                <c:manualLayout>
                  <c:x val="-2.8914497807674849E-3"/>
                  <c:y val="-2.54134662737386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BF7-4E01-B3C2-243B9FE74D82}"/>
                </c:ext>
              </c:extLst>
            </c:dLbl>
            <c:dLbl>
              <c:idx val="9"/>
              <c:layout>
                <c:manualLayout>
                  <c:x val="-9.8664572371589977E-3"/>
                  <c:y val="-3.75688417872493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BF7-4E01-B3C2-243B9FE74D82}"/>
                </c:ext>
              </c:extLst>
            </c:dLbl>
            <c:dLbl>
              <c:idx val="10"/>
              <c:layout>
                <c:manualLayout>
                  <c:x val="-8.6604591878634632E-3"/>
                  <c:y val="-3.69123621255883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BF7-4E01-B3C2-243B9FE74D82}"/>
                </c:ext>
              </c:extLst>
            </c:dLbl>
            <c:dLbl>
              <c:idx val="11"/>
              <c:layout>
                <c:manualLayout>
                  <c:x val="-8.0586832849695467E-3"/>
                  <c:y val="-4.47958791858499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BF7-4E01-B3C2-243B9FE74D82}"/>
                </c:ext>
              </c:extLst>
            </c:dLbl>
            <c:dLbl>
              <c:idx val="12"/>
              <c:layout>
                <c:manualLayout>
                  <c:x val="-7.1873006949302962E-3"/>
                  <c:y val="-4.32661525647490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BF7-4E01-B3C2-243B9FE74D82}"/>
                </c:ext>
              </c:extLst>
            </c:dLbl>
            <c:dLbl>
              <c:idx val="13"/>
              <c:layout>
                <c:manualLayout>
                  <c:x val="1.697774675230923E-3"/>
                  <c:y val="-9.76934365808975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BF7-4E01-B3C2-243B9FE74D82}"/>
                </c:ext>
              </c:extLst>
            </c:dLbl>
            <c:dLbl>
              <c:idx val="14"/>
              <c:layout>
                <c:manualLayout>
                  <c:x val="-1.0048407259956652E-3"/>
                  <c:y val="-7.06936455922454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EBF7-4E01-B3C2-243B9FE74D82}"/>
                </c:ext>
              </c:extLst>
            </c:dLbl>
            <c:dLbl>
              <c:idx val="15"/>
              <c:layout>
                <c:manualLayout>
                  <c:x val="-2.907725001182533E-4"/>
                  <c:y val="-5.22194811032967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BF7-4E01-B3C2-243B9FE74D82}"/>
                </c:ext>
              </c:extLst>
            </c:dLbl>
            <c:dLbl>
              <c:idx val="16"/>
              <c:layout>
                <c:manualLayout>
                  <c:x val="0"/>
                  <c:y val="-4.70758645663589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BF7-4E01-B3C2-243B9FE74D82}"/>
                </c:ext>
              </c:extLst>
            </c:dLbl>
            <c:dLbl>
              <c:idx val="17"/>
              <c:layout>
                <c:manualLayout>
                  <c:x val="2.2491581642216552E-3"/>
                  <c:y val="-3.92210781693873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BF7-4E01-B3C2-243B9FE74D82}"/>
                </c:ext>
              </c:extLst>
            </c:dLbl>
            <c:dLbl>
              <c:idx val="18"/>
              <c:layout>
                <c:manualLayout>
                  <c:x val="-8.2068071525391948E-3"/>
                  <c:y val="-3.48514047169935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BF7-4E01-B3C2-243B9FE74D82}"/>
                </c:ext>
              </c:extLst>
            </c:dLbl>
            <c:dLbl>
              <c:idx val="19"/>
              <c:layout>
                <c:manualLayout>
                  <c:x val="-1.053427941103469E-3"/>
                  <c:y val="-4.28867095986961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BF7-4E01-B3C2-243B9FE74D82}"/>
                </c:ext>
              </c:extLst>
            </c:dLbl>
            <c:dLbl>
              <c:idx val="20"/>
              <c:layout>
                <c:manualLayout>
                  <c:x val="-4.0759836616083697E-3"/>
                  <c:y val="-4.20704012376275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BF7-4E01-B3C2-243B9FE74D82}"/>
                </c:ext>
              </c:extLst>
            </c:dLbl>
            <c:dLbl>
              <c:idx val="21"/>
              <c:layout>
                <c:manualLayout>
                  <c:x val="-9.0217170920920044E-3"/>
                  <c:y val="-3.40791584579362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BF7-4E01-B3C2-243B9FE74D82}"/>
                </c:ext>
              </c:extLst>
            </c:dLbl>
            <c:dLbl>
              <c:idx val="22"/>
              <c:layout>
                <c:manualLayout>
                  <c:x val="1.6793731521523316E-3"/>
                  <c:y val="-7.3089991620549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BF7-4E01-B3C2-243B9FE74D82}"/>
                </c:ext>
              </c:extLst>
            </c:dLbl>
            <c:dLbl>
              <c:idx val="23"/>
              <c:layout>
                <c:manualLayout>
                  <c:x val="-7.363528593625179E-4"/>
                  <c:y val="-6.33976304372966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EBF7-4E01-B3C2-243B9FE74D82}"/>
                </c:ext>
              </c:extLst>
            </c:dLbl>
            <c:dLbl>
              <c:idx val="24"/>
              <c:layout>
                <c:manualLayout>
                  <c:x val="-1.2315260848839537E-16"/>
                  <c:y val="-7.30899916205489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BF7-4E01-B3C2-243B9FE74D82}"/>
                </c:ext>
              </c:extLst>
            </c:dLbl>
            <c:dLbl>
              <c:idx val="25"/>
              <c:layout>
                <c:manualLayout>
                  <c:x val="3.6862915929795361E-3"/>
                  <c:y val="-7.498848601986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EBF7-4E01-B3C2-243B9FE74D82}"/>
                </c:ext>
              </c:extLst>
            </c:dLbl>
            <c:dLbl>
              <c:idx val="26"/>
              <c:layout>
                <c:manualLayout>
                  <c:x val="-2.5166904704418459E-3"/>
                  <c:y val="-7.3167645611306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BF7-4E01-B3C2-243B9FE74D82}"/>
                </c:ext>
              </c:extLst>
            </c:dLbl>
            <c:dLbl>
              <c:idx val="27"/>
              <c:layout>
                <c:manualLayout>
                  <c:x val="-1.1731199606888736E-16"/>
                  <c:y val="-4.3529947404169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EBF7-4E01-B3C2-243B9FE74D82}"/>
                </c:ext>
              </c:extLst>
            </c:dLbl>
            <c:dLbl>
              <c:idx val="28"/>
              <c:layout>
                <c:manualLayout>
                  <c:x val="1.9632227375846628E-3"/>
                  <c:y val="-7.02585162094060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EBF7-4E01-B3C2-243B9FE74D82}"/>
                </c:ext>
              </c:extLst>
            </c:dLbl>
            <c:dLbl>
              <c:idx val="29"/>
              <c:layout>
                <c:manualLayout>
                  <c:x val="-1.0804603540704206E-16"/>
                  <c:y val="-8.55892714634473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EBF7-4E01-B3C2-243B9FE74D82}"/>
                </c:ext>
              </c:extLst>
            </c:dLbl>
            <c:dLbl>
              <c:idx val="30"/>
              <c:layout>
                <c:manualLayout>
                  <c:x val="-1.1043379277706967E-16"/>
                  <c:y val="-2.1370687587568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BF7-4E01-B3C2-243B9FE74D82}"/>
                </c:ext>
              </c:extLst>
            </c:dLbl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cat>
          <c:val>
            <c:numRef>
              <c:f>'#SLH1'!$C$23:$AG$23</c:f>
              <c:numCache>
                <c:formatCode>General</c:formatCode>
                <c:ptCount val="31"/>
                <c:pt idx="0">
                  <c:v>2038</c:v>
                </c:pt>
                <c:pt idx="1">
                  <c:v>0</c:v>
                </c:pt>
                <c:pt idx="2">
                  <c:v>24442</c:v>
                </c:pt>
                <c:pt idx="3">
                  <c:v>27066</c:v>
                </c:pt>
                <c:pt idx="4">
                  <c:v>19902</c:v>
                </c:pt>
                <c:pt idx="5">
                  <c:v>20762</c:v>
                </c:pt>
                <c:pt idx="6">
                  <c:v>26255</c:v>
                </c:pt>
                <c:pt idx="7">
                  <c:v>20921</c:v>
                </c:pt>
                <c:pt idx="8">
                  <c:v>28533</c:v>
                </c:pt>
                <c:pt idx="9">
                  <c:v>29501</c:v>
                </c:pt>
                <c:pt idx="10">
                  <c:v>11806</c:v>
                </c:pt>
                <c:pt idx="11">
                  <c:v>21720</c:v>
                </c:pt>
                <c:pt idx="12">
                  <c:v>19593</c:v>
                </c:pt>
                <c:pt idx="13">
                  <c:v>6428</c:v>
                </c:pt>
                <c:pt idx="14">
                  <c:v>1675</c:v>
                </c:pt>
                <c:pt idx="15">
                  <c:v>13415</c:v>
                </c:pt>
                <c:pt idx="16">
                  <c:v>7346</c:v>
                </c:pt>
                <c:pt idx="17">
                  <c:v>11525</c:v>
                </c:pt>
                <c:pt idx="18">
                  <c:v>15897</c:v>
                </c:pt>
                <c:pt idx="19">
                  <c:v>19933</c:v>
                </c:pt>
                <c:pt idx="20">
                  <c:v>21204</c:v>
                </c:pt>
                <c:pt idx="21">
                  <c:v>23596</c:v>
                </c:pt>
                <c:pt idx="22">
                  <c:v>13915</c:v>
                </c:pt>
                <c:pt idx="23">
                  <c:v>8409</c:v>
                </c:pt>
                <c:pt idx="24">
                  <c:v>8616</c:v>
                </c:pt>
                <c:pt idx="25">
                  <c:v>7871</c:v>
                </c:pt>
                <c:pt idx="26">
                  <c:v>13338</c:v>
                </c:pt>
                <c:pt idx="27">
                  <c:v>18850</c:v>
                </c:pt>
                <c:pt idx="28">
                  <c:v>16773</c:v>
                </c:pt>
                <c:pt idx="29">
                  <c:v>12663</c:v>
                </c:pt>
                <c:pt idx="30">
                  <c:v>2399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EBF7-4E01-B3C2-243B9FE74D82}"/>
            </c:ext>
          </c:extLst>
        </c:ser>
        <c:ser>
          <c:idx val="2"/>
          <c:order val="2"/>
          <c:tx>
            <c:strRef>
              <c:f>'#SLH1'!$A$24</c:f>
              <c:strCache>
                <c:ptCount val="1"/>
                <c:pt idx="0">
                  <c:v>PPJ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-7.3969744161372778E-4"/>
                  <c:y val="-4.3899736918440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BF7-4E01-B3C2-243B9FE74D82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EBF7-4E01-B3C2-243B9FE74D82}"/>
                </c:ext>
              </c:extLst>
            </c:dLbl>
            <c:dLbl>
              <c:idx val="13"/>
              <c:layout>
                <c:manualLayout>
                  <c:x val="7.3274452983124541E-4"/>
                  <c:y val="-5.3969369195814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BF7-4E01-B3C2-243B9FE74D82}"/>
                </c:ext>
              </c:extLst>
            </c:dLbl>
            <c:dLbl>
              <c:idx val="14"/>
              <c:layout>
                <c:manualLayout>
                  <c:x val="7.3274452983129908E-4"/>
                  <c:y val="-4.3175495356651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EBF7-4E01-B3C2-243B9FE74D82}"/>
                </c:ext>
              </c:extLst>
            </c:dLbl>
            <c:dLbl>
              <c:idx val="15"/>
              <c:layout>
                <c:manualLayout>
                  <c:x val="0"/>
                  <c:y val="-3.59795794638759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BF7-4E01-B3C2-243B9FE74D82}"/>
                </c:ext>
              </c:extLst>
            </c:dLbl>
            <c:dLbl>
              <c:idx val="16"/>
              <c:layout>
                <c:manualLayout>
                  <c:x val="7.3274452983129908E-4"/>
                  <c:y val="-6.11652850885892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EBF7-4E01-B3C2-243B9FE74D82}"/>
                </c:ext>
              </c:extLst>
            </c:dLbl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cat>
          <c:val>
            <c:numRef>
              <c:f>'#SLH1'!$C$24:$AG$24</c:f>
              <c:numCache>
                <c:formatCode>0</c:formatCode>
                <c:ptCount val="31"/>
                <c:pt idx="0">
                  <c:v>2038</c:v>
                </c:pt>
                <c:pt idx="1">
                  <c:v>0</c:v>
                </c:pt>
                <c:pt idx="2">
                  <c:v>3055.25</c:v>
                </c:pt>
                <c:pt idx="3">
                  <c:v>2460.5454545454545</c:v>
                </c:pt>
                <c:pt idx="4">
                  <c:v>4975.5</c:v>
                </c:pt>
                <c:pt idx="5">
                  <c:v>2595.25</c:v>
                </c:pt>
                <c:pt idx="6">
                  <c:v>3281.875</c:v>
                </c:pt>
                <c:pt idx="7">
                  <c:v>5230.25</c:v>
                </c:pt>
                <c:pt idx="8">
                  <c:v>2853.3</c:v>
                </c:pt>
                <c:pt idx="9">
                  <c:v>2681.909090909091</c:v>
                </c:pt>
                <c:pt idx="10">
                  <c:v>1475.75</c:v>
                </c:pt>
                <c:pt idx="11">
                  <c:v>2172</c:v>
                </c:pt>
                <c:pt idx="12">
                  <c:v>1399.5</c:v>
                </c:pt>
                <c:pt idx="13">
                  <c:v>3214</c:v>
                </c:pt>
                <c:pt idx="14">
                  <c:v>418.75</c:v>
                </c:pt>
                <c:pt idx="15">
                  <c:v>1117.9166666666667</c:v>
                </c:pt>
                <c:pt idx="16">
                  <c:v>432.11764705882354</c:v>
                </c:pt>
                <c:pt idx="17">
                  <c:v>768.33333333333337</c:v>
                </c:pt>
                <c:pt idx="18">
                  <c:v>1987.125</c:v>
                </c:pt>
                <c:pt idx="19">
                  <c:v>2847.5714285714284</c:v>
                </c:pt>
                <c:pt idx="20">
                  <c:v>2356</c:v>
                </c:pt>
                <c:pt idx="21">
                  <c:v>3932.6666666666665</c:v>
                </c:pt>
                <c:pt idx="22">
                  <c:v>1070.3846153846155</c:v>
                </c:pt>
                <c:pt idx="23">
                  <c:v>1401.5</c:v>
                </c:pt>
                <c:pt idx="24">
                  <c:v>8616</c:v>
                </c:pt>
                <c:pt idx="25">
                  <c:v>3935.5</c:v>
                </c:pt>
                <c:pt idx="26">
                  <c:v>3334.5</c:v>
                </c:pt>
                <c:pt idx="27">
                  <c:v>6283.333333333333</c:v>
                </c:pt>
                <c:pt idx="28">
                  <c:v>2795.5</c:v>
                </c:pt>
                <c:pt idx="29">
                  <c:v>6331.5</c:v>
                </c:pt>
                <c:pt idx="30">
                  <c:v>1199.5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BF7-4E01-B3C2-243B9FE74D82}"/>
            </c:ext>
          </c:extLst>
        </c:ser>
        <c:ser>
          <c:idx val="12"/>
          <c:order val="12"/>
          <c:tx>
            <c:v>#REF!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7-EBF7-4E01-B3C2-243B9FE74D82}"/>
            </c:ext>
          </c:extLst>
        </c:ser>
        <c:ser>
          <c:idx val="14"/>
          <c:order val="13"/>
          <c:tx>
            <c:v>#REF!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8-EBF7-4E01-B3C2-243B9FE74D82}"/>
            </c:ext>
          </c:extLst>
        </c:ser>
        <c:ser>
          <c:idx val="15"/>
          <c:order val="14"/>
          <c:tx>
            <c:v>#REF!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9-EBF7-4E01-B3C2-243B9FE74D82}"/>
            </c:ext>
          </c:extLst>
        </c:ser>
        <c:ser>
          <c:idx val="16"/>
          <c:order val="15"/>
          <c:tx>
            <c:v>#REF!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A-EBF7-4E01-B3C2-243B9FE74D82}"/>
            </c:ext>
          </c:extLst>
        </c:ser>
        <c:ser>
          <c:idx val="17"/>
          <c:order val="16"/>
          <c:tx>
            <c:v>#REF!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B-EBF7-4E01-B3C2-243B9FE74D82}"/>
            </c:ext>
          </c:extLst>
        </c:ser>
        <c:ser>
          <c:idx val="18"/>
          <c:order val="17"/>
          <c:tx>
            <c:v>#REF!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C-EBF7-4E01-B3C2-243B9FE74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1737744"/>
        <c:axId val="1041736912"/>
      </c:lineChart>
      <c:dateAx>
        <c:axId val="104173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736912"/>
        <c:crosses val="autoZero"/>
        <c:auto val="1"/>
        <c:lblOffset val="100"/>
        <c:baseTimeUnit val="days"/>
      </c:dateAx>
      <c:valAx>
        <c:axId val="1041736912"/>
        <c:scaling>
          <c:orientation val="minMax"/>
          <c:max val="3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  <a:r>
                  <a:rPr lang="en-MY" baseline="0"/>
                  <a:t> UNIT</a:t>
                </a:r>
                <a:endParaRPr lang="en-MY"/>
              </a:p>
            </c:rich>
          </c:tx>
          <c:layout>
            <c:manualLayout>
              <c:xMode val="edge"/>
              <c:yMode val="edge"/>
              <c:x val="1.5041394074690869E-2"/>
              <c:y val="0.358126662578172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737744"/>
        <c:crosses val="autoZero"/>
        <c:crossBetween val="between"/>
        <c:majorUnit val="1500"/>
      </c:valAx>
      <c:valAx>
        <c:axId val="1179055152"/>
        <c:scaling>
          <c:orientation val="minMax"/>
          <c:max val="2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  <a:r>
                  <a:rPr lang="en-MY" baseline="0"/>
                  <a:t> JAM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041424"/>
        <c:crosses val="max"/>
        <c:crossBetween val="between"/>
        <c:majorUnit val="4"/>
      </c:valAx>
      <c:dateAx>
        <c:axId val="1179041424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117905515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36</xdr:col>
      <xdr:colOff>41555</xdr:colOff>
      <xdr:row>18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37601A-31AD-4478-B891-B80023987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4E8A7-2692-4F1C-95CC-1EFDD134811D}">
  <dimension ref="A1:AN1371"/>
  <sheetViews>
    <sheetView tabSelected="1" zoomScaleNormal="100" zoomScaleSheetLayoutView="80" workbookViewId="0">
      <selection activeCell="A36" sqref="A36:B36"/>
    </sheetView>
  </sheetViews>
  <sheetFormatPr defaultColWidth="9" defaultRowHeight="16.5" x14ac:dyDescent="0.3"/>
  <cols>
    <col min="1" max="1" width="11.625" style="5" bestFit="1" customWidth="1"/>
    <col min="2" max="2" width="10.25" style="5" customWidth="1"/>
    <col min="3" max="4" width="7.75" style="4" customWidth="1"/>
    <col min="5" max="7" width="8.375" style="4" bestFit="1" customWidth="1"/>
    <col min="8" max="30" width="8.375" style="5" bestFit="1" customWidth="1"/>
    <col min="31" max="31" width="8.375" style="5" customWidth="1"/>
    <col min="32" max="33" width="8.375" style="5" bestFit="1" customWidth="1"/>
    <col min="34" max="34" width="6" style="5" customWidth="1"/>
    <col min="35" max="35" width="12.5" style="5" bestFit="1" customWidth="1"/>
    <col min="36" max="16384" width="9" style="5"/>
  </cols>
  <sheetData>
    <row r="1" spans="1:22" ht="14.45" customHeight="1" x14ac:dyDescent="0.5">
      <c r="A1" s="3"/>
      <c r="B1" s="3"/>
      <c r="C1" s="3"/>
      <c r="D1" s="3"/>
      <c r="L1" s="3"/>
      <c r="M1" s="3"/>
      <c r="N1" s="3"/>
      <c r="S1" s="6"/>
      <c r="T1" s="6"/>
      <c r="U1" s="6"/>
      <c r="V1" s="6"/>
    </row>
    <row r="2" spans="1:22" ht="14.45" customHeight="1" x14ac:dyDescent="0.5">
      <c r="A2" s="3"/>
      <c r="B2" s="3"/>
      <c r="C2" s="3"/>
      <c r="D2" s="3"/>
      <c r="L2" s="3"/>
      <c r="M2" s="3"/>
      <c r="N2" s="3"/>
      <c r="S2" s="6"/>
      <c r="T2" s="6"/>
      <c r="U2" s="6"/>
      <c r="V2" s="6"/>
    </row>
    <row r="3" spans="1:22" ht="14.45" customHeight="1" x14ac:dyDescent="0.5">
      <c r="A3" s="3"/>
      <c r="B3" s="3"/>
      <c r="C3" s="3"/>
      <c r="D3" s="3"/>
      <c r="L3" s="3"/>
      <c r="M3" s="3"/>
      <c r="N3" s="3"/>
      <c r="S3" s="6"/>
      <c r="T3" s="6"/>
      <c r="U3" s="6"/>
      <c r="V3" s="6"/>
    </row>
    <row r="4" spans="1:22" ht="14.45" customHeight="1" x14ac:dyDescent="0.5">
      <c r="A4" s="3"/>
      <c r="B4" s="3"/>
      <c r="C4" s="3"/>
      <c r="D4" s="3"/>
      <c r="L4" s="3"/>
      <c r="M4" s="3"/>
      <c r="N4" s="3"/>
      <c r="S4" s="6"/>
      <c r="T4" s="6"/>
      <c r="U4" s="6"/>
      <c r="V4" s="6"/>
    </row>
    <row r="5" spans="1:22" ht="14.45" customHeight="1" x14ac:dyDescent="0.5">
      <c r="A5" s="3"/>
      <c r="B5" s="3"/>
      <c r="C5" s="3"/>
      <c r="D5" s="3"/>
      <c r="L5" s="3"/>
      <c r="M5" s="3"/>
      <c r="N5" s="3"/>
      <c r="S5" s="6"/>
      <c r="T5" s="6"/>
      <c r="U5" s="6"/>
      <c r="V5" s="6"/>
    </row>
    <row r="6" spans="1:22" ht="14.45" customHeight="1" x14ac:dyDescent="0.5">
      <c r="A6" s="3"/>
      <c r="B6" s="3"/>
      <c r="C6" s="3"/>
      <c r="D6" s="3"/>
      <c r="L6" s="3"/>
      <c r="M6" s="3"/>
      <c r="N6" s="3"/>
      <c r="S6" s="6"/>
      <c r="T6" s="6"/>
      <c r="U6" s="6"/>
      <c r="V6" s="6"/>
    </row>
    <row r="7" spans="1:22" ht="14.45" customHeight="1" x14ac:dyDescent="0.5">
      <c r="A7" s="3"/>
      <c r="B7" s="3"/>
      <c r="C7" s="3"/>
      <c r="D7" s="3"/>
      <c r="L7" s="3"/>
      <c r="M7" s="3"/>
      <c r="N7" s="3"/>
      <c r="S7" s="6"/>
      <c r="T7" s="6"/>
      <c r="U7" s="6"/>
      <c r="V7" s="6"/>
    </row>
    <row r="8" spans="1:22" ht="14.45" customHeight="1" x14ac:dyDescent="0.5">
      <c r="A8" s="3"/>
      <c r="B8" s="3"/>
      <c r="C8" s="3"/>
      <c r="D8" s="3"/>
      <c r="L8" s="3"/>
      <c r="M8" s="3"/>
      <c r="N8" s="3"/>
      <c r="S8" s="6"/>
      <c r="T8" s="6"/>
      <c r="U8" s="6"/>
      <c r="V8" s="6"/>
    </row>
    <row r="9" spans="1:22" ht="14.45" customHeight="1" x14ac:dyDescent="0.5">
      <c r="A9" s="3"/>
      <c r="B9" s="3"/>
      <c r="C9" s="3"/>
      <c r="D9" s="3"/>
      <c r="L9" s="3"/>
      <c r="M9" s="3"/>
      <c r="N9" s="3"/>
      <c r="S9" s="6"/>
      <c r="T9" s="6"/>
      <c r="U9" s="6"/>
      <c r="V9" s="6"/>
    </row>
    <row r="10" spans="1:22" ht="14.45" customHeight="1" x14ac:dyDescent="0.5">
      <c r="A10" s="3"/>
      <c r="B10" s="3"/>
      <c r="C10" s="3"/>
      <c r="D10" s="3"/>
      <c r="L10" s="3"/>
      <c r="M10" s="3"/>
      <c r="N10" s="3"/>
      <c r="S10" s="6"/>
      <c r="T10" s="6"/>
      <c r="U10" s="6"/>
      <c r="V10" s="6"/>
    </row>
    <row r="11" spans="1:22" ht="14.45" customHeight="1" x14ac:dyDescent="0.5">
      <c r="A11" s="3"/>
      <c r="B11" s="3"/>
      <c r="C11" s="3"/>
      <c r="D11" s="3"/>
      <c r="L11" s="3"/>
      <c r="M11" s="3"/>
      <c r="N11" s="3"/>
      <c r="S11" s="6"/>
      <c r="T11" s="6"/>
      <c r="U11" s="6"/>
      <c r="V11" s="6"/>
    </row>
    <row r="12" spans="1:22" ht="14.45" customHeight="1" x14ac:dyDescent="0.5">
      <c r="A12" s="3"/>
      <c r="B12" s="3"/>
      <c r="C12" s="3"/>
      <c r="D12" s="3"/>
      <c r="L12" s="3"/>
      <c r="M12" s="3"/>
      <c r="N12" s="3"/>
      <c r="S12" s="6"/>
      <c r="T12" s="6"/>
      <c r="U12" s="6"/>
      <c r="V12" s="6"/>
    </row>
    <row r="13" spans="1:22" ht="14.45" customHeight="1" x14ac:dyDescent="0.5">
      <c r="A13" s="3"/>
      <c r="B13" s="3"/>
      <c r="C13" s="3"/>
      <c r="D13" s="3"/>
      <c r="G13" s="7"/>
      <c r="H13" s="7"/>
      <c r="I13" s="7"/>
      <c r="K13" s="8"/>
      <c r="L13" s="8"/>
      <c r="M13" s="8"/>
    </row>
    <row r="14" spans="1:22" ht="14.45" customHeight="1" x14ac:dyDescent="0.5">
      <c r="A14" s="3"/>
      <c r="B14" s="3"/>
      <c r="C14" s="3"/>
      <c r="D14" s="3"/>
      <c r="G14" s="7"/>
      <c r="H14" s="7"/>
      <c r="I14" s="7"/>
      <c r="K14" s="8"/>
      <c r="L14" s="8"/>
      <c r="M14" s="8"/>
    </row>
    <row r="15" spans="1:22" ht="14.45" customHeight="1" x14ac:dyDescent="0.5">
      <c r="A15" s="3"/>
      <c r="B15" s="3"/>
      <c r="C15" s="3"/>
      <c r="D15" s="3"/>
      <c r="G15" s="7"/>
      <c r="H15" s="7"/>
      <c r="I15" s="7"/>
      <c r="K15" s="8"/>
      <c r="L15" s="8"/>
      <c r="M15" s="8"/>
    </row>
    <row r="16" spans="1:22" ht="14.45" customHeight="1" x14ac:dyDescent="0.5">
      <c r="A16" s="3"/>
      <c r="B16" s="3"/>
      <c r="C16" s="3"/>
      <c r="D16" s="3"/>
      <c r="G16" s="7"/>
      <c r="H16" s="7"/>
      <c r="I16" s="7"/>
      <c r="K16" s="8"/>
      <c r="L16" s="8"/>
      <c r="M16" s="8"/>
    </row>
    <row r="17" spans="1:36" ht="14.45" customHeight="1" x14ac:dyDescent="0.5">
      <c r="A17" s="3"/>
      <c r="B17" s="3"/>
      <c r="C17" s="3"/>
      <c r="D17" s="3"/>
      <c r="G17" s="7"/>
      <c r="H17" s="7"/>
      <c r="I17" s="7"/>
      <c r="K17" s="8"/>
      <c r="L17" s="8"/>
      <c r="M17" s="8"/>
    </row>
    <row r="18" spans="1:36" ht="14.45" customHeight="1" x14ac:dyDescent="0.5">
      <c r="A18" s="3"/>
      <c r="B18" s="3"/>
      <c r="C18" s="3"/>
      <c r="D18" s="3"/>
      <c r="G18" s="7"/>
      <c r="H18" s="7"/>
      <c r="I18" s="7"/>
      <c r="K18" s="8"/>
      <c r="L18" s="8"/>
      <c r="M18" s="8"/>
    </row>
    <row r="19" spans="1:36" ht="14.45" customHeight="1" x14ac:dyDescent="0.5">
      <c r="A19" s="3"/>
      <c r="B19" s="3"/>
      <c r="C19" s="3"/>
      <c r="D19" s="3"/>
      <c r="G19" s="7"/>
      <c r="H19" s="7"/>
      <c r="I19" s="7"/>
      <c r="K19" s="8"/>
      <c r="L19" s="8"/>
      <c r="M19" s="8"/>
    </row>
    <row r="20" spans="1:36" ht="14.45" customHeight="1" x14ac:dyDescent="0.5">
      <c r="A20" s="3"/>
      <c r="B20" s="3"/>
      <c r="C20" s="3"/>
      <c r="D20" s="3"/>
      <c r="G20" s="7"/>
      <c r="H20" s="7"/>
      <c r="I20" s="7"/>
      <c r="K20" s="8"/>
      <c r="L20" s="8"/>
      <c r="M20" s="8"/>
    </row>
    <row r="21" spans="1:36" ht="14.45" customHeight="1" x14ac:dyDescent="0.3">
      <c r="A21" s="103" t="s">
        <v>0</v>
      </c>
      <c r="B21" s="104"/>
      <c r="C21" s="1" t="s">
        <v>3</v>
      </c>
      <c r="D21" s="1" t="s">
        <v>4</v>
      </c>
      <c r="E21" s="1" t="s">
        <v>5</v>
      </c>
      <c r="F21" s="1" t="s">
        <v>6</v>
      </c>
      <c r="G21" s="1" t="s">
        <v>7</v>
      </c>
      <c r="H21" s="1" t="s">
        <v>1</v>
      </c>
      <c r="I21" s="1" t="s">
        <v>2</v>
      </c>
      <c r="J21" s="1" t="s">
        <v>3</v>
      </c>
      <c r="K21" s="1" t="s">
        <v>4</v>
      </c>
      <c r="L21" s="1" t="s">
        <v>5</v>
      </c>
      <c r="M21" s="1" t="s">
        <v>6</v>
      </c>
      <c r="N21" s="1" t="s">
        <v>7</v>
      </c>
      <c r="O21" s="1" t="s">
        <v>1</v>
      </c>
      <c r="P21" s="1" t="s">
        <v>2</v>
      </c>
      <c r="Q21" s="1" t="s">
        <v>3</v>
      </c>
      <c r="R21" s="1" t="s">
        <v>4</v>
      </c>
      <c r="S21" s="1" t="s">
        <v>5</v>
      </c>
      <c r="T21" s="1" t="s">
        <v>6</v>
      </c>
      <c r="U21" s="1" t="s">
        <v>7</v>
      </c>
      <c r="V21" s="1" t="s">
        <v>1</v>
      </c>
      <c r="W21" s="1" t="s">
        <v>2</v>
      </c>
      <c r="X21" s="1" t="s">
        <v>3</v>
      </c>
      <c r="Y21" s="1" t="s">
        <v>4</v>
      </c>
      <c r="Z21" s="1" t="s">
        <v>5</v>
      </c>
      <c r="AA21" s="1" t="s">
        <v>6</v>
      </c>
      <c r="AB21" s="1" t="s">
        <v>7</v>
      </c>
      <c r="AC21" s="1" t="s">
        <v>1</v>
      </c>
      <c r="AD21" s="1" t="s">
        <v>2</v>
      </c>
      <c r="AE21" s="1" t="s">
        <v>1</v>
      </c>
      <c r="AF21" s="1" t="s">
        <v>2</v>
      </c>
      <c r="AG21" s="1" t="s">
        <v>5</v>
      </c>
      <c r="AH21" s="105" t="s">
        <v>8</v>
      </c>
      <c r="AI21" s="108" t="s">
        <v>9</v>
      </c>
      <c r="AJ21" s="105" t="s">
        <v>10</v>
      </c>
    </row>
    <row r="22" spans="1:36" s="10" customFormat="1" ht="14.45" customHeight="1" x14ac:dyDescent="0.25">
      <c r="A22" s="110" t="s">
        <v>11</v>
      </c>
      <c r="B22" s="111"/>
      <c r="C22" s="2">
        <v>45931</v>
      </c>
      <c r="D22" s="2">
        <v>45932</v>
      </c>
      <c r="E22" s="2">
        <v>45933</v>
      </c>
      <c r="F22" s="2">
        <v>45934</v>
      </c>
      <c r="G22" s="2">
        <v>45935</v>
      </c>
      <c r="H22" s="2">
        <v>45936</v>
      </c>
      <c r="I22" s="2">
        <v>45937</v>
      </c>
      <c r="J22" s="2">
        <v>45938</v>
      </c>
      <c r="K22" s="2">
        <v>45939</v>
      </c>
      <c r="L22" s="2">
        <v>45940</v>
      </c>
      <c r="M22" s="2">
        <v>45941</v>
      </c>
      <c r="N22" s="2">
        <v>45942</v>
      </c>
      <c r="O22" s="2">
        <v>45943</v>
      </c>
      <c r="P22" s="2">
        <v>45944</v>
      </c>
      <c r="Q22" s="2">
        <v>45945</v>
      </c>
      <c r="R22" s="2">
        <v>45946</v>
      </c>
      <c r="S22" s="2">
        <v>45947</v>
      </c>
      <c r="T22" s="2">
        <v>45948</v>
      </c>
      <c r="U22" s="2">
        <v>45949</v>
      </c>
      <c r="V22" s="2">
        <v>45950</v>
      </c>
      <c r="W22" s="2">
        <v>45951</v>
      </c>
      <c r="X22" s="2">
        <v>45952</v>
      </c>
      <c r="Y22" s="2">
        <v>45953</v>
      </c>
      <c r="Z22" s="2">
        <v>45954</v>
      </c>
      <c r="AA22" s="2">
        <v>45955</v>
      </c>
      <c r="AB22" s="2">
        <v>45956</v>
      </c>
      <c r="AC22" s="2">
        <v>45957</v>
      </c>
      <c r="AD22" s="2">
        <v>45958</v>
      </c>
      <c r="AE22" s="2">
        <v>45959</v>
      </c>
      <c r="AF22" s="2">
        <v>45960</v>
      </c>
      <c r="AG22" s="2">
        <v>45961</v>
      </c>
      <c r="AH22" s="106"/>
      <c r="AI22" s="109"/>
      <c r="AJ22" s="106"/>
    </row>
    <row r="23" spans="1:36" ht="14.45" customHeight="1" x14ac:dyDescent="0.3">
      <c r="A23" s="112" t="s">
        <v>12</v>
      </c>
      <c r="B23" s="113"/>
      <c r="C23" s="41">
        <f>SUMIF($A39:$A395,C22,$B39:$B395)</f>
        <v>2038</v>
      </c>
      <c r="D23" s="41">
        <v>0</v>
      </c>
      <c r="E23" s="41">
        <f>SUMIF($A39:$A395,E22,$B39:$B395)</f>
        <v>24442</v>
      </c>
      <c r="F23" s="41">
        <f>SUMIF($A39:$A395,F22,$B39:$B395)</f>
        <v>27066</v>
      </c>
      <c r="G23" s="41">
        <f>SUMIF($A39:$A395,G22,$B39:$B395)</f>
        <v>19902</v>
      </c>
      <c r="H23" s="41">
        <f>SUMIF($A39:$A395,H22,$B39:$B395)</f>
        <v>20762</v>
      </c>
      <c r="I23" s="41">
        <f>SUMIF($A39:$A395,I22,$B39:$B395)</f>
        <v>26255</v>
      </c>
      <c r="J23" s="41">
        <f>SUMIF($A39:$A395,J22,$B39:$B395)</f>
        <v>20921</v>
      </c>
      <c r="K23" s="41">
        <f>SUMIF($A39:$A395,K22,$B39:$B395)</f>
        <v>28533</v>
      </c>
      <c r="L23" s="41">
        <f>SUMIF($A39:$A395,L22,$B39:$B395)</f>
        <v>29501</v>
      </c>
      <c r="M23" s="41">
        <f>SUMIF($A39:$A395,M22,$B39:$B395)</f>
        <v>11806</v>
      </c>
      <c r="N23" s="41">
        <f>SUMIF($A39:$A395,N22,$B39:$B395)</f>
        <v>21720</v>
      </c>
      <c r="O23" s="41">
        <f>SUMIF($A39:$A395,O22,$B39:$B395)</f>
        <v>19593</v>
      </c>
      <c r="P23" s="41">
        <f>SUMIF($A39:$A395,P22,$B39:$B395)</f>
        <v>6428</v>
      </c>
      <c r="Q23" s="41">
        <f>SUMIF($A39:$A395,Q22,$B39:$B395)</f>
        <v>1675</v>
      </c>
      <c r="R23" s="41">
        <f>SUMIF($A39:$A395,R22,$B39:$B395)</f>
        <v>13415</v>
      </c>
      <c r="S23" s="41">
        <f>SUMIF($A39:$A395,S22,$B39:$B395)</f>
        <v>7346</v>
      </c>
      <c r="T23" s="41">
        <f>SUMIF($A39:$A395,T22,$B39:$B395)</f>
        <v>11525</v>
      </c>
      <c r="U23" s="41">
        <f>SUMIF($A39:$A395,U22,$B39:$B395)</f>
        <v>15897</v>
      </c>
      <c r="V23" s="41">
        <f>SUMIF($A39:$A395,V22,$B39:$B395)</f>
        <v>19933</v>
      </c>
      <c r="W23" s="41">
        <f>SUMIF($A39:$A395,W22,$B39:$B395)</f>
        <v>21204</v>
      </c>
      <c r="X23" s="41">
        <f>SUMIF($A39:$A395,X22,$B39:$B395)</f>
        <v>23596</v>
      </c>
      <c r="Y23" s="41">
        <f>SUMIF($A39:$A395,Y22,$B39:$B395)</f>
        <v>13915</v>
      </c>
      <c r="Z23" s="41">
        <f>SUMIF($A39:$A395,Z22,$B39:$B395)</f>
        <v>8409</v>
      </c>
      <c r="AA23" s="41">
        <f>SUMIF($A39:$A395,AA22,$B39:$B395)</f>
        <v>8616</v>
      </c>
      <c r="AB23" s="41">
        <f>SUMIF($A39:$A395,AB22,$B39:$B395)</f>
        <v>7871</v>
      </c>
      <c r="AC23" s="41">
        <f>SUMIF($A39:$A395,AC22,$B39:$B395)</f>
        <v>13338</v>
      </c>
      <c r="AD23" s="41">
        <f>SUMIF($A39:$A395,AD22,$B39:$B395)</f>
        <v>18850</v>
      </c>
      <c r="AE23" s="41">
        <f>SUMIF($A39:$A395,AE22,$B39:$B395)</f>
        <v>16773</v>
      </c>
      <c r="AF23" s="41">
        <f>SUMIF($A39:$A395,AF22,$B39:$B395)</f>
        <v>12663</v>
      </c>
      <c r="AG23" s="41">
        <f>SUMIF($A39:$A395,AG22,$B39:$B395)</f>
        <v>2399</v>
      </c>
      <c r="AH23" s="106"/>
      <c r="AI23" s="11">
        <f>SUM(C23:AG23)</f>
        <v>476392</v>
      </c>
      <c r="AJ23" s="106"/>
    </row>
    <row r="24" spans="1:36" ht="14.45" customHeight="1" x14ac:dyDescent="0.3">
      <c r="A24" s="114" t="s">
        <v>13</v>
      </c>
      <c r="B24" s="115"/>
      <c r="C24" s="42">
        <f t="shared" ref="C24" si="0">IFERROR(C23/C36,0)</f>
        <v>2038</v>
      </c>
      <c r="D24" s="42">
        <f>IFERROR(D23/D36,0)</f>
        <v>0</v>
      </c>
      <c r="E24" s="42">
        <f>IFERROR(E23/E36,0)</f>
        <v>3055.25</v>
      </c>
      <c r="F24" s="42">
        <f>IFERROR(F23/F36,0)</f>
        <v>2460.5454545454545</v>
      </c>
      <c r="G24" s="42">
        <f>IFERROR(G23/G36,0)</f>
        <v>4975.5</v>
      </c>
      <c r="H24" s="42">
        <f t="shared" ref="H24:AG24" si="1">IFERROR(H23/H36,0)</f>
        <v>2595.25</v>
      </c>
      <c r="I24" s="42">
        <f t="shared" si="1"/>
        <v>3281.875</v>
      </c>
      <c r="J24" s="42">
        <f t="shared" si="1"/>
        <v>5230.25</v>
      </c>
      <c r="K24" s="42">
        <f t="shared" si="1"/>
        <v>2853.3</v>
      </c>
      <c r="L24" s="42">
        <f t="shared" si="1"/>
        <v>2681.909090909091</v>
      </c>
      <c r="M24" s="42">
        <f t="shared" si="1"/>
        <v>1475.75</v>
      </c>
      <c r="N24" s="42">
        <f t="shared" si="1"/>
        <v>2172</v>
      </c>
      <c r="O24" s="42">
        <f t="shared" si="1"/>
        <v>1399.5</v>
      </c>
      <c r="P24" s="42">
        <f t="shared" si="1"/>
        <v>3214</v>
      </c>
      <c r="Q24" s="42">
        <f>IFERROR(Q23/Q36,0)</f>
        <v>418.75</v>
      </c>
      <c r="R24" s="42">
        <f t="shared" si="1"/>
        <v>1117.9166666666667</v>
      </c>
      <c r="S24" s="42">
        <f t="shared" si="1"/>
        <v>432.11764705882354</v>
      </c>
      <c r="T24" s="42">
        <f t="shared" si="1"/>
        <v>768.33333333333337</v>
      </c>
      <c r="U24" s="42">
        <f t="shared" si="1"/>
        <v>1987.125</v>
      </c>
      <c r="V24" s="42">
        <f t="shared" si="1"/>
        <v>2847.5714285714284</v>
      </c>
      <c r="W24" s="42">
        <f t="shared" si="1"/>
        <v>2356</v>
      </c>
      <c r="X24" s="42">
        <f t="shared" si="1"/>
        <v>3932.6666666666665</v>
      </c>
      <c r="Y24" s="42">
        <f t="shared" si="1"/>
        <v>1070.3846153846155</v>
      </c>
      <c r="Z24" s="42">
        <f t="shared" si="1"/>
        <v>1401.5</v>
      </c>
      <c r="AA24" s="42">
        <f t="shared" si="1"/>
        <v>8616</v>
      </c>
      <c r="AB24" s="42">
        <f t="shared" si="1"/>
        <v>3935.5</v>
      </c>
      <c r="AC24" s="42">
        <f t="shared" si="1"/>
        <v>3334.5</v>
      </c>
      <c r="AD24" s="42">
        <f t="shared" si="1"/>
        <v>6283.333333333333</v>
      </c>
      <c r="AE24" s="42">
        <f t="shared" si="1"/>
        <v>2795.5</v>
      </c>
      <c r="AF24" s="42">
        <f t="shared" si="1"/>
        <v>6331.5</v>
      </c>
      <c r="AG24" s="42">
        <f t="shared" si="1"/>
        <v>1199.5</v>
      </c>
      <c r="AH24" s="107"/>
      <c r="AI24" s="12">
        <f>AI23/AH36</f>
        <v>2205.5185185185187</v>
      </c>
      <c r="AJ24" s="107"/>
    </row>
    <row r="25" spans="1:36" ht="14.45" customHeight="1" x14ac:dyDescent="0.3">
      <c r="A25" s="97" t="s">
        <v>14</v>
      </c>
      <c r="B25" s="98"/>
      <c r="C25" s="1">
        <v>0</v>
      </c>
      <c r="D25" s="1">
        <v>0</v>
      </c>
      <c r="E25" s="1">
        <v>1</v>
      </c>
      <c r="F25" s="1">
        <v>4</v>
      </c>
      <c r="G25" s="1">
        <v>1</v>
      </c>
      <c r="H25" s="1">
        <v>3</v>
      </c>
      <c r="I25" s="1">
        <v>5</v>
      </c>
      <c r="J25" s="1">
        <v>3</v>
      </c>
      <c r="K25" s="1">
        <v>3</v>
      </c>
      <c r="L25" s="1">
        <v>2</v>
      </c>
      <c r="M25" s="1">
        <v>1</v>
      </c>
      <c r="N25" s="1">
        <v>2</v>
      </c>
      <c r="O25" s="1">
        <v>3</v>
      </c>
      <c r="P25" s="1">
        <v>0</v>
      </c>
      <c r="Q25" s="1">
        <v>0</v>
      </c>
      <c r="R25" s="1">
        <v>0</v>
      </c>
      <c r="S25" s="1">
        <v>1</v>
      </c>
      <c r="T25" s="1">
        <v>4</v>
      </c>
      <c r="U25" s="1">
        <v>0</v>
      </c>
      <c r="V25" s="1">
        <v>6</v>
      </c>
      <c r="W25" s="1">
        <v>1</v>
      </c>
      <c r="X25" s="1">
        <v>2</v>
      </c>
      <c r="Y25" s="1">
        <v>1</v>
      </c>
      <c r="Z25" s="1">
        <v>0</v>
      </c>
      <c r="AA25" s="1">
        <v>1</v>
      </c>
      <c r="AB25" s="1">
        <v>0</v>
      </c>
      <c r="AC25" s="1">
        <v>1</v>
      </c>
      <c r="AD25" s="1">
        <v>1</v>
      </c>
      <c r="AE25" s="1">
        <v>2</v>
      </c>
      <c r="AF25" s="1">
        <v>2</v>
      </c>
      <c r="AG25" s="1">
        <v>1</v>
      </c>
      <c r="AH25" s="9">
        <f>SUBTOTAL(9,C25:AG25)</f>
        <v>51</v>
      </c>
      <c r="AI25" s="13">
        <f>AH25/AH36</f>
        <v>0.2361111111111111</v>
      </c>
      <c r="AJ25" s="9"/>
    </row>
    <row r="26" spans="1:36" ht="14.45" customHeight="1" x14ac:dyDescent="0.3">
      <c r="A26" s="89" t="s">
        <v>15</v>
      </c>
      <c r="B26" s="90"/>
      <c r="C26" s="1">
        <v>0</v>
      </c>
      <c r="D26" s="1">
        <v>0</v>
      </c>
      <c r="E26" s="1">
        <v>2</v>
      </c>
      <c r="F26" s="1">
        <v>5</v>
      </c>
      <c r="G26" s="1">
        <v>1</v>
      </c>
      <c r="H26" s="1">
        <v>5</v>
      </c>
      <c r="I26" s="1">
        <v>0</v>
      </c>
      <c r="J26" s="1">
        <v>0</v>
      </c>
      <c r="K26" s="1">
        <v>5</v>
      </c>
      <c r="L26" s="1">
        <v>7</v>
      </c>
      <c r="M26" s="1">
        <v>7</v>
      </c>
      <c r="N26" s="1">
        <v>3</v>
      </c>
      <c r="O26" s="1">
        <v>5</v>
      </c>
      <c r="P26" s="1">
        <v>0</v>
      </c>
      <c r="Q26" s="1">
        <v>2</v>
      </c>
      <c r="R26" s="1">
        <v>0</v>
      </c>
      <c r="S26" s="1">
        <v>12</v>
      </c>
      <c r="T26" s="1">
        <v>1</v>
      </c>
      <c r="U26" s="1">
        <v>4</v>
      </c>
      <c r="V26" s="1">
        <v>0</v>
      </c>
      <c r="W26" s="1">
        <v>4</v>
      </c>
      <c r="X26" s="1">
        <v>0</v>
      </c>
      <c r="Y26" s="1">
        <v>9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4">
        <f t="shared" ref="AH26:AH32" si="2">SUBTOTAL(9,C26:AG26)</f>
        <v>72</v>
      </c>
      <c r="AI26" s="15">
        <f>AH26/AH36</f>
        <v>0.33333333333333331</v>
      </c>
      <c r="AJ26" s="9"/>
    </row>
    <row r="27" spans="1:36" ht="14.45" customHeight="1" x14ac:dyDescent="0.3">
      <c r="A27" s="91" t="s">
        <v>16</v>
      </c>
      <c r="B27" s="92"/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6">
        <f t="shared" si="2"/>
        <v>0</v>
      </c>
      <c r="AI27" s="17">
        <f>AH27/AH36</f>
        <v>0</v>
      </c>
      <c r="AJ27" s="9"/>
    </row>
    <row r="28" spans="1:36" ht="14.45" customHeight="1" x14ac:dyDescent="0.3">
      <c r="A28" s="87" t="s">
        <v>17</v>
      </c>
      <c r="B28" s="88"/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2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1</v>
      </c>
      <c r="AE28" s="1">
        <v>0</v>
      </c>
      <c r="AF28" s="1">
        <v>0</v>
      </c>
      <c r="AG28" s="1">
        <v>0</v>
      </c>
      <c r="AH28" s="9">
        <f>SUBTOTAL(9,C28:AF28)</f>
        <v>4</v>
      </c>
      <c r="AI28" s="13">
        <f>AH28/AH36</f>
        <v>1.8518518518518517E-2</v>
      </c>
      <c r="AJ28" s="9"/>
    </row>
    <row r="29" spans="1:36" ht="14.45" customHeight="1" x14ac:dyDescent="0.3">
      <c r="A29" s="89" t="s">
        <v>18</v>
      </c>
      <c r="B29" s="90"/>
      <c r="C29" s="1">
        <v>0</v>
      </c>
      <c r="D29" s="1">
        <v>0</v>
      </c>
      <c r="E29" s="1">
        <v>5</v>
      </c>
      <c r="F29" s="1">
        <v>1</v>
      </c>
      <c r="G29" s="1">
        <v>2</v>
      </c>
      <c r="H29" s="1">
        <v>0</v>
      </c>
      <c r="I29" s="1">
        <v>2</v>
      </c>
      <c r="J29" s="1">
        <v>1</v>
      </c>
      <c r="K29" s="1">
        <v>2</v>
      </c>
      <c r="L29" s="1">
        <v>1</v>
      </c>
      <c r="M29" s="1">
        <v>0</v>
      </c>
      <c r="N29" s="1">
        <v>3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1</v>
      </c>
      <c r="X29" s="1">
        <v>2</v>
      </c>
      <c r="Y29" s="1">
        <v>0</v>
      </c>
      <c r="Z29" s="1">
        <v>0</v>
      </c>
      <c r="AA29" s="1">
        <v>0</v>
      </c>
      <c r="AB29" s="1">
        <v>1</v>
      </c>
      <c r="AC29" s="1">
        <v>2</v>
      </c>
      <c r="AD29" s="1">
        <v>0</v>
      </c>
      <c r="AE29" s="1">
        <v>0</v>
      </c>
      <c r="AF29" s="1">
        <v>0</v>
      </c>
      <c r="AG29" s="1">
        <v>1</v>
      </c>
      <c r="AH29" s="14">
        <f>SUBTOTAL(9,C29:AG29)</f>
        <v>25</v>
      </c>
      <c r="AI29" s="15">
        <f>AH29/AH36</f>
        <v>0.11574074074074074</v>
      </c>
      <c r="AJ29" s="9"/>
    </row>
    <row r="30" spans="1:36" ht="14.45" customHeight="1" x14ac:dyDescent="0.3">
      <c r="A30" s="91" t="s">
        <v>19</v>
      </c>
      <c r="B30" s="92"/>
      <c r="C30" s="1">
        <v>1</v>
      </c>
      <c r="D30" s="1">
        <v>0</v>
      </c>
      <c r="E30" s="1">
        <v>0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1</v>
      </c>
      <c r="M30" s="1">
        <v>0</v>
      </c>
      <c r="N30" s="1">
        <v>0</v>
      </c>
      <c r="O30" s="1">
        <v>6</v>
      </c>
      <c r="P30" s="1">
        <v>2</v>
      </c>
      <c r="Q30" s="1">
        <v>2</v>
      </c>
      <c r="R30" s="1">
        <v>12</v>
      </c>
      <c r="S30" s="1">
        <v>4</v>
      </c>
      <c r="T30" s="1">
        <v>8</v>
      </c>
      <c r="U30" s="1">
        <v>4</v>
      </c>
      <c r="V30" s="1">
        <v>1</v>
      </c>
      <c r="W30" s="1">
        <v>3</v>
      </c>
      <c r="X30" s="1">
        <v>1</v>
      </c>
      <c r="Y30" s="1">
        <v>0</v>
      </c>
      <c r="Z30" s="1">
        <v>1</v>
      </c>
      <c r="AA30" s="1">
        <v>0</v>
      </c>
      <c r="AB30" s="1">
        <v>0</v>
      </c>
      <c r="AC30" s="1">
        <v>1</v>
      </c>
      <c r="AD30" s="1">
        <v>1</v>
      </c>
      <c r="AE30" s="1">
        <v>4</v>
      </c>
      <c r="AF30" s="1">
        <v>0</v>
      </c>
      <c r="AG30" s="1">
        <v>0</v>
      </c>
      <c r="AH30" s="16">
        <f t="shared" si="2"/>
        <v>53</v>
      </c>
      <c r="AI30" s="17">
        <f>AH30/AH36</f>
        <v>0.24537037037037038</v>
      </c>
      <c r="AJ30" s="9"/>
    </row>
    <row r="31" spans="1:36" ht="14.45" customHeight="1" x14ac:dyDescent="0.3">
      <c r="A31" s="87" t="s">
        <v>20</v>
      </c>
      <c r="B31" s="88"/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9">
        <f t="shared" si="2"/>
        <v>0</v>
      </c>
      <c r="AI31" s="13">
        <f>AH31/AH36</f>
        <v>0</v>
      </c>
      <c r="AJ31" s="9"/>
    </row>
    <row r="32" spans="1:36" ht="14.45" customHeight="1" x14ac:dyDescent="0.3">
      <c r="A32" s="89" t="s">
        <v>21</v>
      </c>
      <c r="B32" s="90"/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1</v>
      </c>
      <c r="Y32" s="1">
        <v>3</v>
      </c>
      <c r="Z32" s="1">
        <v>5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4">
        <f t="shared" si="2"/>
        <v>9</v>
      </c>
      <c r="AI32" s="15">
        <f>AH32/AH36</f>
        <v>4.1666666666666664E-2</v>
      </c>
      <c r="AJ32" s="9"/>
    </row>
    <row r="33" spans="1:40" ht="14.45" customHeight="1" x14ac:dyDescent="0.3">
      <c r="A33" s="89" t="s">
        <v>22</v>
      </c>
      <c r="B33" s="90"/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4"/>
      <c r="AI33" s="15"/>
      <c r="AJ33" s="9"/>
    </row>
    <row r="34" spans="1:40" ht="14.45" customHeight="1" x14ac:dyDescent="0.3">
      <c r="A34" s="91" t="s">
        <v>23</v>
      </c>
      <c r="B34" s="92"/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1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1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6">
        <f>SUBTOTAL(9,C34:AG34)</f>
        <v>2</v>
      </c>
      <c r="AI34" s="17">
        <f>AH34/AH36</f>
        <v>9.2592592592592587E-3</v>
      </c>
      <c r="AJ34" s="9"/>
    </row>
    <row r="35" spans="1:40" ht="14.45" customHeight="1" x14ac:dyDescent="0.3">
      <c r="A35" s="91" t="s">
        <v>24</v>
      </c>
      <c r="B35" s="92"/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6"/>
      <c r="AI35" s="17"/>
      <c r="AJ35" s="9"/>
    </row>
    <row r="36" spans="1:40" x14ac:dyDescent="0.3">
      <c r="A36" s="93" t="s">
        <v>25</v>
      </c>
      <c r="B36" s="93"/>
      <c r="C36" s="43">
        <f t="shared" ref="C36:AG36" si="3">SUM(C25:C35)</f>
        <v>1</v>
      </c>
      <c r="D36" s="43">
        <f t="shared" si="3"/>
        <v>0</v>
      </c>
      <c r="E36" s="43">
        <f t="shared" ref="E36" si="4">SUM(E25:E35)</f>
        <v>8</v>
      </c>
      <c r="F36" s="43">
        <f t="shared" si="3"/>
        <v>11</v>
      </c>
      <c r="G36" s="43">
        <f t="shared" si="3"/>
        <v>4</v>
      </c>
      <c r="H36" s="43">
        <f t="shared" si="3"/>
        <v>8</v>
      </c>
      <c r="I36" s="43">
        <f t="shared" si="3"/>
        <v>8</v>
      </c>
      <c r="J36" s="43">
        <f t="shared" si="3"/>
        <v>4</v>
      </c>
      <c r="K36" s="43">
        <f t="shared" si="3"/>
        <v>10</v>
      </c>
      <c r="L36" s="43">
        <f t="shared" si="3"/>
        <v>11</v>
      </c>
      <c r="M36" s="43">
        <f t="shared" si="3"/>
        <v>8</v>
      </c>
      <c r="N36" s="43">
        <f t="shared" si="3"/>
        <v>10</v>
      </c>
      <c r="O36" s="43">
        <f t="shared" si="3"/>
        <v>14</v>
      </c>
      <c r="P36" s="43">
        <f t="shared" si="3"/>
        <v>2</v>
      </c>
      <c r="Q36" s="43">
        <f t="shared" si="3"/>
        <v>4</v>
      </c>
      <c r="R36" s="43">
        <f t="shared" si="3"/>
        <v>12</v>
      </c>
      <c r="S36" s="43">
        <f t="shared" si="3"/>
        <v>17</v>
      </c>
      <c r="T36" s="43">
        <f t="shared" si="3"/>
        <v>15</v>
      </c>
      <c r="U36" s="43">
        <f t="shared" si="3"/>
        <v>8</v>
      </c>
      <c r="V36" s="43">
        <f t="shared" si="3"/>
        <v>7</v>
      </c>
      <c r="W36" s="43">
        <f t="shared" si="3"/>
        <v>9</v>
      </c>
      <c r="X36" s="43">
        <f t="shared" si="3"/>
        <v>6</v>
      </c>
      <c r="Y36" s="43">
        <f t="shared" si="3"/>
        <v>13</v>
      </c>
      <c r="Z36" s="43">
        <f t="shared" si="3"/>
        <v>6</v>
      </c>
      <c r="AA36" s="43">
        <f t="shared" si="3"/>
        <v>1</v>
      </c>
      <c r="AB36" s="43">
        <f t="shared" si="3"/>
        <v>2</v>
      </c>
      <c r="AC36" s="43">
        <f t="shared" si="3"/>
        <v>4</v>
      </c>
      <c r="AD36" s="43">
        <f t="shared" si="3"/>
        <v>3</v>
      </c>
      <c r="AE36" s="43">
        <f t="shared" si="3"/>
        <v>6</v>
      </c>
      <c r="AF36" s="43">
        <f t="shared" si="3"/>
        <v>2</v>
      </c>
      <c r="AG36" s="43">
        <f t="shared" si="3"/>
        <v>2</v>
      </c>
      <c r="AH36" s="18">
        <f>SUBTOTAL(9,C36:AG36)</f>
        <v>216</v>
      </c>
      <c r="AI36" s="93" t="s">
        <v>26</v>
      </c>
      <c r="AJ36" s="93"/>
    </row>
    <row r="37" spans="1:40" s="19" customFormat="1" x14ac:dyDescent="0.3"/>
    <row r="38" spans="1:40" s="19" customFormat="1" x14ac:dyDescent="0.3">
      <c r="A38" s="20" t="s">
        <v>27</v>
      </c>
      <c r="B38" s="21">
        <f>SUM(B40:B484)</f>
        <v>477992</v>
      </c>
      <c r="C38" s="22" t="s">
        <v>28</v>
      </c>
      <c r="D38" s="18">
        <f>AH36</f>
        <v>216</v>
      </c>
      <c r="E38" s="23" t="s">
        <v>13</v>
      </c>
      <c r="F38" s="24">
        <f>AI24</f>
        <v>2205.5185185185187</v>
      </c>
      <c r="G38" s="25" t="s">
        <v>29</v>
      </c>
      <c r="H38" s="25" t="e">
        <f>#REF!</f>
        <v>#REF!</v>
      </c>
    </row>
    <row r="39" spans="1:40" s="19" customFormat="1" x14ac:dyDescent="0.3">
      <c r="A39" s="99" t="s">
        <v>11</v>
      </c>
      <c r="B39" s="101" t="s">
        <v>12</v>
      </c>
      <c r="C39" s="116" t="s">
        <v>30</v>
      </c>
      <c r="D39" s="118" t="s">
        <v>31</v>
      </c>
      <c r="E39" s="119"/>
      <c r="F39" s="122" t="s">
        <v>32</v>
      </c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4"/>
      <c r="U39" s="128" t="s">
        <v>33</v>
      </c>
      <c r="V39" s="129"/>
      <c r="W39" s="129"/>
      <c r="X39" s="129"/>
      <c r="Y39" s="129"/>
      <c r="Z39" s="129"/>
      <c r="AA39" s="129"/>
      <c r="AB39" s="130"/>
      <c r="AC39" s="128" t="s">
        <v>34</v>
      </c>
      <c r="AD39" s="129"/>
      <c r="AE39" s="129"/>
      <c r="AF39" s="129"/>
      <c r="AG39" s="129"/>
      <c r="AH39" s="130"/>
      <c r="AI39" s="26"/>
      <c r="AJ39" s="26"/>
      <c r="AK39" s="26"/>
      <c r="AL39" s="26"/>
      <c r="AM39" s="26"/>
      <c r="AN39" s="26"/>
    </row>
    <row r="40" spans="1:40" s="19" customFormat="1" x14ac:dyDescent="0.3">
      <c r="A40" s="100"/>
      <c r="B40" s="102"/>
      <c r="C40" s="117"/>
      <c r="D40" s="120"/>
      <c r="E40" s="121"/>
      <c r="F40" s="125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7"/>
      <c r="U40" s="131"/>
      <c r="V40" s="132"/>
      <c r="W40" s="132"/>
      <c r="X40" s="132"/>
      <c r="Y40" s="132"/>
      <c r="Z40" s="132"/>
      <c r="AA40" s="132"/>
      <c r="AB40" s="133"/>
      <c r="AC40" s="131"/>
      <c r="AD40" s="132"/>
      <c r="AE40" s="132"/>
      <c r="AF40" s="132"/>
      <c r="AG40" s="132"/>
      <c r="AH40" s="133"/>
      <c r="AI40" s="26"/>
      <c r="AJ40" s="26"/>
      <c r="AK40" s="26"/>
      <c r="AL40" s="26"/>
      <c r="AM40" s="26"/>
      <c r="AN40" s="26"/>
    </row>
    <row r="41" spans="1:40" s="19" customFormat="1" x14ac:dyDescent="0.3">
      <c r="A41" s="39">
        <v>45961</v>
      </c>
      <c r="B41" s="69">
        <v>2399</v>
      </c>
      <c r="C41" s="28"/>
      <c r="D41" s="47">
        <v>38014</v>
      </c>
      <c r="E41" s="48">
        <v>1</v>
      </c>
      <c r="F41" s="64" t="s">
        <v>35</v>
      </c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2"/>
      <c r="U41" s="56" t="s">
        <v>141</v>
      </c>
      <c r="V41" s="57"/>
      <c r="W41" s="57"/>
      <c r="X41" s="57"/>
      <c r="Y41" s="57"/>
      <c r="Z41" s="57"/>
      <c r="AA41" s="57"/>
      <c r="AB41" s="58"/>
      <c r="AC41" s="30"/>
      <c r="AD41" s="31"/>
      <c r="AE41" s="31"/>
      <c r="AF41" s="31"/>
      <c r="AG41" s="31"/>
      <c r="AH41" s="32"/>
      <c r="AI41" s="26"/>
      <c r="AJ41" s="26"/>
      <c r="AK41" s="26"/>
      <c r="AL41" s="26"/>
      <c r="AM41" s="26"/>
      <c r="AN41" s="26"/>
    </row>
    <row r="42" spans="1:40" s="19" customFormat="1" x14ac:dyDescent="0.3">
      <c r="A42" s="39">
        <v>45961</v>
      </c>
      <c r="B42" s="69"/>
      <c r="C42" s="28"/>
      <c r="D42" s="29">
        <v>258</v>
      </c>
      <c r="E42" s="9">
        <v>1</v>
      </c>
      <c r="F42" s="64" t="s">
        <v>55</v>
      </c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2"/>
      <c r="U42" s="53" t="s">
        <v>54</v>
      </c>
      <c r="V42" s="57"/>
      <c r="W42" s="57"/>
      <c r="X42" s="57"/>
      <c r="Y42" s="57"/>
      <c r="Z42" s="57"/>
      <c r="AA42" s="57"/>
      <c r="AB42" s="58"/>
      <c r="AC42" s="30"/>
      <c r="AD42" s="31"/>
      <c r="AE42" s="31"/>
      <c r="AF42" s="31"/>
      <c r="AG42" s="31"/>
      <c r="AH42" s="32"/>
      <c r="AI42" s="26"/>
      <c r="AJ42" s="26"/>
      <c r="AK42" s="26"/>
      <c r="AL42" s="26"/>
      <c r="AM42" s="26"/>
      <c r="AN42" s="26"/>
    </row>
    <row r="43" spans="1:40" s="19" customFormat="1" x14ac:dyDescent="0.3">
      <c r="A43" s="39">
        <v>45960</v>
      </c>
      <c r="B43" s="69">
        <v>12663</v>
      </c>
      <c r="C43" s="28"/>
      <c r="D43" s="29">
        <v>258</v>
      </c>
      <c r="E43" s="9">
        <v>1</v>
      </c>
      <c r="F43" s="64" t="s">
        <v>55</v>
      </c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2"/>
      <c r="U43" s="53" t="s">
        <v>54</v>
      </c>
      <c r="V43" s="57"/>
      <c r="W43" s="57"/>
      <c r="X43" s="57"/>
      <c r="Y43" s="57"/>
      <c r="Z43" s="57"/>
      <c r="AA43" s="57"/>
      <c r="AB43" s="58"/>
      <c r="AC43" s="30"/>
      <c r="AD43" s="31"/>
      <c r="AE43" s="31"/>
      <c r="AF43" s="31"/>
      <c r="AG43" s="31"/>
      <c r="AH43" s="32"/>
      <c r="AI43" s="26"/>
      <c r="AJ43" s="26"/>
      <c r="AK43" s="26"/>
      <c r="AL43" s="26"/>
      <c r="AM43" s="26"/>
      <c r="AN43" s="26"/>
    </row>
    <row r="44" spans="1:40" s="19" customFormat="1" x14ac:dyDescent="0.3">
      <c r="A44" s="39">
        <v>45960</v>
      </c>
      <c r="B44" s="69"/>
      <c r="C44" s="28"/>
      <c r="D44" s="29">
        <v>5002</v>
      </c>
      <c r="E44" s="9">
        <v>1</v>
      </c>
      <c r="F44" s="64" t="s">
        <v>142</v>
      </c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2"/>
      <c r="U44" s="74" t="s">
        <v>143</v>
      </c>
      <c r="V44" s="75"/>
      <c r="W44" s="75"/>
      <c r="X44" s="75"/>
      <c r="Y44" s="75"/>
      <c r="Z44" s="75"/>
      <c r="AA44" s="75"/>
      <c r="AB44" s="76"/>
      <c r="AC44" s="30"/>
      <c r="AD44" s="31"/>
      <c r="AE44" s="31"/>
      <c r="AF44" s="31"/>
      <c r="AG44" s="31"/>
      <c r="AH44" s="32"/>
      <c r="AI44" s="26"/>
      <c r="AJ44" s="26"/>
      <c r="AK44" s="26"/>
      <c r="AL44" s="26"/>
      <c r="AM44" s="26"/>
      <c r="AN44" s="26"/>
    </row>
    <row r="45" spans="1:40" s="19" customFormat="1" x14ac:dyDescent="0.3">
      <c r="A45" s="39">
        <v>45959</v>
      </c>
      <c r="B45" s="69">
        <v>16773</v>
      </c>
      <c r="C45" s="28"/>
      <c r="D45" s="47">
        <v>38014</v>
      </c>
      <c r="E45" s="48">
        <v>1</v>
      </c>
      <c r="F45" s="64" t="s">
        <v>110</v>
      </c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2"/>
      <c r="U45" s="56" t="s">
        <v>141</v>
      </c>
      <c r="V45" s="57"/>
      <c r="W45" s="57"/>
      <c r="X45" s="57"/>
      <c r="Y45" s="57"/>
      <c r="Z45" s="57"/>
      <c r="AA45" s="57"/>
      <c r="AB45" s="58"/>
      <c r="AC45" s="30"/>
      <c r="AD45" s="31"/>
      <c r="AE45" s="31"/>
      <c r="AF45" s="31"/>
      <c r="AG45" s="31"/>
      <c r="AH45" s="32"/>
      <c r="AI45" s="26"/>
      <c r="AJ45" s="26"/>
      <c r="AK45" s="26"/>
      <c r="AL45" s="26"/>
      <c r="AM45" s="26"/>
      <c r="AN45" s="26"/>
    </row>
    <row r="46" spans="1:40" s="19" customFormat="1" x14ac:dyDescent="0.3">
      <c r="A46" s="39">
        <v>45959</v>
      </c>
      <c r="B46" s="69"/>
      <c r="C46" s="28"/>
      <c r="D46" s="47">
        <v>38014</v>
      </c>
      <c r="E46" s="48">
        <v>1</v>
      </c>
      <c r="F46" s="64" t="s">
        <v>35</v>
      </c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2"/>
      <c r="U46" s="56" t="s">
        <v>123</v>
      </c>
      <c r="V46" s="57"/>
      <c r="W46" s="57"/>
      <c r="X46" s="57"/>
      <c r="Y46" s="57"/>
      <c r="Z46" s="57"/>
      <c r="AA46" s="57"/>
      <c r="AB46" s="58"/>
      <c r="AC46" s="30"/>
      <c r="AD46" s="31"/>
      <c r="AE46" s="31"/>
      <c r="AF46" s="31"/>
      <c r="AG46" s="31"/>
      <c r="AH46" s="32"/>
      <c r="AI46" s="26"/>
      <c r="AJ46" s="26"/>
      <c r="AK46" s="26"/>
      <c r="AL46" s="26"/>
      <c r="AM46" s="26"/>
      <c r="AN46" s="26"/>
    </row>
    <row r="47" spans="1:40" s="19" customFormat="1" ht="33" customHeight="1" x14ac:dyDescent="0.3">
      <c r="A47" s="39">
        <v>45959</v>
      </c>
      <c r="B47" s="69"/>
      <c r="C47" s="28"/>
      <c r="D47" s="47">
        <v>2178</v>
      </c>
      <c r="E47" s="48">
        <v>1</v>
      </c>
      <c r="F47" s="64" t="s">
        <v>139</v>
      </c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2"/>
      <c r="U47" s="63" t="s">
        <v>140</v>
      </c>
      <c r="V47" s="57"/>
      <c r="W47" s="57"/>
      <c r="X47" s="57"/>
      <c r="Y47" s="57"/>
      <c r="Z47" s="57"/>
      <c r="AA47" s="57"/>
      <c r="AB47" s="58"/>
      <c r="AC47" s="30"/>
      <c r="AD47" s="31"/>
      <c r="AE47" s="31"/>
      <c r="AF47" s="31"/>
      <c r="AG47" s="31"/>
      <c r="AH47" s="32"/>
      <c r="AI47" s="26"/>
      <c r="AJ47" s="26"/>
      <c r="AK47" s="26"/>
      <c r="AL47" s="26"/>
      <c r="AM47" s="26"/>
      <c r="AN47" s="26"/>
    </row>
    <row r="48" spans="1:40" s="19" customFormat="1" x14ac:dyDescent="0.3">
      <c r="A48" s="39">
        <v>45959</v>
      </c>
      <c r="B48" s="69"/>
      <c r="C48" s="28"/>
      <c r="D48" s="47">
        <v>118027</v>
      </c>
      <c r="E48" s="48">
        <v>1</v>
      </c>
      <c r="F48" s="64" t="s">
        <v>138</v>
      </c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2"/>
      <c r="U48" s="53" t="s">
        <v>144</v>
      </c>
      <c r="V48" s="57"/>
      <c r="W48" s="57"/>
      <c r="X48" s="57"/>
      <c r="Y48" s="57"/>
      <c r="Z48" s="57"/>
      <c r="AA48" s="57"/>
      <c r="AB48" s="58"/>
      <c r="AC48" s="30"/>
      <c r="AD48" s="31"/>
      <c r="AE48" s="31"/>
      <c r="AF48" s="31"/>
      <c r="AG48" s="31"/>
      <c r="AH48" s="32"/>
      <c r="AI48" s="26"/>
      <c r="AJ48" s="26"/>
      <c r="AK48" s="26"/>
      <c r="AL48" s="26"/>
      <c r="AM48" s="26"/>
      <c r="AN48" s="26"/>
    </row>
    <row r="49" spans="1:40" s="19" customFormat="1" x14ac:dyDescent="0.3">
      <c r="A49" s="39">
        <v>45959</v>
      </c>
      <c r="B49" s="69"/>
      <c r="C49" s="28"/>
      <c r="D49" s="47">
        <v>38014</v>
      </c>
      <c r="E49" s="48">
        <v>2</v>
      </c>
      <c r="F49" s="64" t="s">
        <v>45</v>
      </c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2"/>
      <c r="U49" s="56" t="s">
        <v>141</v>
      </c>
      <c r="V49" s="57"/>
      <c r="W49" s="57"/>
      <c r="X49" s="57"/>
      <c r="Y49" s="57"/>
      <c r="Z49" s="57"/>
      <c r="AA49" s="57"/>
      <c r="AB49" s="58"/>
      <c r="AC49" s="30"/>
      <c r="AD49" s="31"/>
      <c r="AE49" s="31"/>
      <c r="AF49" s="31"/>
      <c r="AG49" s="31"/>
      <c r="AH49" s="32"/>
      <c r="AI49" s="26"/>
      <c r="AJ49" s="26"/>
      <c r="AK49" s="26"/>
      <c r="AL49" s="26"/>
      <c r="AM49" s="26"/>
      <c r="AN49" s="26"/>
    </row>
    <row r="50" spans="1:40" s="19" customFormat="1" ht="33" customHeight="1" x14ac:dyDescent="0.3">
      <c r="A50" s="39">
        <v>45959</v>
      </c>
      <c r="B50" s="69"/>
      <c r="C50" s="28"/>
      <c r="D50" s="47">
        <v>2130</v>
      </c>
      <c r="E50" s="48">
        <v>1</v>
      </c>
      <c r="F50" s="64" t="s">
        <v>44</v>
      </c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2"/>
      <c r="U50" s="63" t="s">
        <v>140</v>
      </c>
      <c r="V50" s="57"/>
      <c r="W50" s="57"/>
      <c r="X50" s="57"/>
      <c r="Y50" s="57"/>
      <c r="Z50" s="57"/>
      <c r="AA50" s="57"/>
      <c r="AB50" s="58"/>
      <c r="AC50" s="30"/>
      <c r="AD50" s="31"/>
      <c r="AE50" s="31"/>
      <c r="AF50" s="31"/>
      <c r="AG50" s="31"/>
      <c r="AH50" s="32"/>
      <c r="AI50" s="26"/>
      <c r="AJ50" s="26"/>
      <c r="AK50" s="26"/>
      <c r="AL50" s="26"/>
      <c r="AM50" s="26"/>
      <c r="AN50" s="26"/>
    </row>
    <row r="51" spans="1:40" s="19" customFormat="1" x14ac:dyDescent="0.3">
      <c r="A51" s="39">
        <v>45958</v>
      </c>
      <c r="B51" s="69">
        <v>18850</v>
      </c>
      <c r="C51" s="28"/>
      <c r="D51" s="29">
        <v>54117</v>
      </c>
      <c r="E51" s="9">
        <v>1</v>
      </c>
      <c r="F51" s="64" t="s">
        <v>135</v>
      </c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2"/>
      <c r="U51" s="56" t="s">
        <v>136</v>
      </c>
      <c r="V51" s="57"/>
      <c r="W51" s="57"/>
      <c r="X51" s="57"/>
      <c r="Y51" s="57"/>
      <c r="Z51" s="57"/>
      <c r="AA51" s="57"/>
      <c r="AB51" s="58"/>
      <c r="AC51" s="30"/>
      <c r="AD51" s="31"/>
      <c r="AE51" s="31"/>
      <c r="AF51" s="31"/>
      <c r="AG51" s="31"/>
      <c r="AH51" s="32"/>
      <c r="AI51" s="26"/>
      <c r="AJ51" s="26"/>
      <c r="AK51" s="26"/>
      <c r="AL51" s="26"/>
      <c r="AM51" s="26"/>
      <c r="AN51" s="26"/>
    </row>
    <row r="52" spans="1:40" s="19" customFormat="1" x14ac:dyDescent="0.3">
      <c r="A52" s="39">
        <v>45958</v>
      </c>
      <c r="B52" s="69"/>
      <c r="C52" s="28"/>
      <c r="D52" s="29">
        <v>5034</v>
      </c>
      <c r="E52" s="9">
        <v>1</v>
      </c>
      <c r="F52" s="64" t="s">
        <v>39</v>
      </c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2"/>
      <c r="U52" s="74" t="s">
        <v>137</v>
      </c>
      <c r="V52" s="75"/>
      <c r="W52" s="75"/>
      <c r="X52" s="75"/>
      <c r="Y52" s="75"/>
      <c r="Z52" s="75"/>
      <c r="AA52" s="75"/>
      <c r="AB52" s="76"/>
      <c r="AC52" s="30"/>
      <c r="AD52" s="31"/>
      <c r="AE52" s="31"/>
      <c r="AF52" s="31"/>
      <c r="AG52" s="31"/>
      <c r="AH52" s="32"/>
      <c r="AI52" s="26"/>
      <c r="AJ52" s="26"/>
      <c r="AK52" s="26"/>
      <c r="AL52" s="26"/>
      <c r="AM52" s="26"/>
      <c r="AN52" s="26"/>
    </row>
    <row r="53" spans="1:40" s="19" customFormat="1" x14ac:dyDescent="0.3">
      <c r="A53" s="39">
        <v>45958</v>
      </c>
      <c r="B53" s="69"/>
      <c r="C53" s="28"/>
      <c r="D53" s="29">
        <v>38014</v>
      </c>
      <c r="E53" s="9">
        <v>1</v>
      </c>
      <c r="F53" s="64" t="s">
        <v>35</v>
      </c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2"/>
      <c r="U53" s="56" t="s">
        <v>123</v>
      </c>
      <c r="V53" s="57"/>
      <c r="W53" s="57"/>
      <c r="X53" s="57"/>
      <c r="Y53" s="57"/>
      <c r="Z53" s="57"/>
      <c r="AA53" s="57"/>
      <c r="AB53" s="58"/>
      <c r="AC53" s="30"/>
      <c r="AD53" s="31"/>
      <c r="AE53" s="31"/>
      <c r="AF53" s="31"/>
      <c r="AG53" s="31"/>
      <c r="AH53" s="32"/>
      <c r="AI53" s="26"/>
      <c r="AJ53" s="26"/>
      <c r="AK53" s="26"/>
      <c r="AL53" s="26"/>
      <c r="AM53" s="26"/>
      <c r="AN53" s="26"/>
    </row>
    <row r="54" spans="1:40" s="19" customFormat="1" x14ac:dyDescent="0.3">
      <c r="A54" s="39">
        <v>45957</v>
      </c>
      <c r="B54" s="69">
        <v>13338</v>
      </c>
      <c r="C54" s="28"/>
      <c r="D54" s="29">
        <v>38014</v>
      </c>
      <c r="E54" s="9">
        <v>1</v>
      </c>
      <c r="F54" s="64" t="s">
        <v>35</v>
      </c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2"/>
      <c r="U54" s="56" t="s">
        <v>123</v>
      </c>
      <c r="V54" s="57"/>
      <c r="W54" s="57"/>
      <c r="X54" s="57"/>
      <c r="Y54" s="57"/>
      <c r="Z54" s="57"/>
      <c r="AA54" s="57"/>
      <c r="AB54" s="58"/>
      <c r="AC54" s="30"/>
      <c r="AD54" s="31"/>
      <c r="AE54" s="31"/>
      <c r="AF54" s="31"/>
      <c r="AG54" s="31"/>
      <c r="AH54" s="32"/>
      <c r="AI54" s="26"/>
      <c r="AJ54" s="26"/>
      <c r="AK54" s="26"/>
      <c r="AL54" s="26"/>
      <c r="AM54" s="26"/>
      <c r="AN54" s="26"/>
    </row>
    <row r="55" spans="1:40" s="19" customFormat="1" ht="34.5" customHeight="1" x14ac:dyDescent="0.3">
      <c r="A55" s="39">
        <v>45957</v>
      </c>
      <c r="B55" s="69"/>
      <c r="C55" s="28"/>
      <c r="D55" s="47">
        <v>2178</v>
      </c>
      <c r="E55" s="48">
        <v>1</v>
      </c>
      <c r="F55" s="64" t="s">
        <v>68</v>
      </c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2"/>
      <c r="U55" s="134" t="s">
        <v>126</v>
      </c>
      <c r="V55" s="57"/>
      <c r="W55" s="57"/>
      <c r="X55" s="57"/>
      <c r="Y55" s="57"/>
      <c r="Z55" s="57"/>
      <c r="AA55" s="57"/>
      <c r="AB55" s="58"/>
      <c r="AC55" s="30"/>
      <c r="AD55" s="31"/>
      <c r="AE55" s="31"/>
      <c r="AF55" s="31"/>
      <c r="AG55" s="31"/>
      <c r="AH55" s="32"/>
      <c r="AI55" s="26"/>
      <c r="AJ55" s="26"/>
      <c r="AK55" s="26"/>
      <c r="AL55" s="26"/>
      <c r="AM55" s="26"/>
      <c r="AN55" s="26"/>
    </row>
    <row r="56" spans="1:40" s="19" customFormat="1" ht="34.5" customHeight="1" x14ac:dyDescent="0.3">
      <c r="A56" s="39">
        <v>45957</v>
      </c>
      <c r="B56" s="69"/>
      <c r="C56" s="28"/>
      <c r="D56" s="47">
        <v>28015</v>
      </c>
      <c r="E56" s="48">
        <v>2</v>
      </c>
      <c r="F56" s="64" t="s">
        <v>122</v>
      </c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2"/>
      <c r="U56" s="80" t="s">
        <v>121</v>
      </c>
      <c r="V56" s="75"/>
      <c r="W56" s="75"/>
      <c r="X56" s="75"/>
      <c r="Y56" s="75"/>
      <c r="Z56" s="75"/>
      <c r="AA56" s="75"/>
      <c r="AB56" s="76"/>
      <c r="AC56" s="30"/>
      <c r="AD56" s="31"/>
      <c r="AE56" s="31"/>
      <c r="AF56" s="31"/>
      <c r="AG56" s="31"/>
      <c r="AH56" s="32"/>
      <c r="AI56" s="26"/>
      <c r="AJ56" s="26"/>
      <c r="AK56" s="26"/>
      <c r="AL56" s="26"/>
      <c r="AM56" s="26"/>
      <c r="AN56" s="26"/>
    </row>
    <row r="57" spans="1:40" s="19" customFormat="1" ht="33.75" customHeight="1" x14ac:dyDescent="0.3">
      <c r="A57" s="39">
        <v>45956</v>
      </c>
      <c r="B57" s="59">
        <v>7871</v>
      </c>
      <c r="C57" s="28"/>
      <c r="D57" s="47">
        <v>28015</v>
      </c>
      <c r="E57" s="48">
        <v>1</v>
      </c>
      <c r="F57" s="64" t="s">
        <v>120</v>
      </c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2"/>
      <c r="U57" s="80" t="s">
        <v>121</v>
      </c>
      <c r="V57" s="75"/>
      <c r="W57" s="75"/>
      <c r="X57" s="75"/>
      <c r="Y57" s="75"/>
      <c r="Z57" s="75"/>
      <c r="AA57" s="75"/>
      <c r="AB57" s="76"/>
      <c r="AC57" s="30"/>
      <c r="AD57" s="31"/>
      <c r="AE57" s="31"/>
      <c r="AF57" s="31"/>
      <c r="AG57" s="31"/>
      <c r="AH57" s="32"/>
      <c r="AI57" s="26"/>
      <c r="AJ57" s="26"/>
      <c r="AK57" s="26"/>
      <c r="AL57" s="26"/>
      <c r="AM57" s="26"/>
      <c r="AN57" s="26"/>
    </row>
    <row r="58" spans="1:40" s="19" customFormat="1" x14ac:dyDescent="0.3">
      <c r="A58" s="39">
        <v>45956</v>
      </c>
      <c r="B58" s="61"/>
      <c r="C58" s="28"/>
      <c r="D58" s="29">
        <v>98000</v>
      </c>
      <c r="E58" s="9">
        <v>1</v>
      </c>
      <c r="F58" s="64" t="s">
        <v>100</v>
      </c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2"/>
      <c r="U58" s="74" t="s">
        <v>99</v>
      </c>
      <c r="V58" s="75"/>
      <c r="W58" s="75"/>
      <c r="X58" s="75"/>
      <c r="Y58" s="75"/>
      <c r="Z58" s="75"/>
      <c r="AA58" s="75"/>
      <c r="AB58" s="76"/>
      <c r="AC58" s="30"/>
      <c r="AD58" s="31"/>
      <c r="AE58" s="31"/>
      <c r="AF58" s="31"/>
      <c r="AG58" s="31"/>
      <c r="AH58" s="32"/>
      <c r="AI58" s="26"/>
      <c r="AJ58" s="26"/>
      <c r="AK58" s="26"/>
      <c r="AL58" s="26"/>
      <c r="AM58" s="26"/>
      <c r="AN58" s="26"/>
    </row>
    <row r="59" spans="1:40" s="19" customFormat="1" x14ac:dyDescent="0.3">
      <c r="A59" s="39">
        <v>45955</v>
      </c>
      <c r="B59" s="40">
        <v>8616</v>
      </c>
      <c r="C59" s="28"/>
      <c r="D59" s="29">
        <v>171</v>
      </c>
      <c r="E59" s="9">
        <v>1</v>
      </c>
      <c r="F59" s="64" t="s">
        <v>119</v>
      </c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2"/>
      <c r="U59" s="53" t="s">
        <v>54</v>
      </c>
      <c r="V59" s="57"/>
      <c r="W59" s="57"/>
      <c r="X59" s="57"/>
      <c r="Y59" s="57"/>
      <c r="Z59" s="57"/>
      <c r="AA59" s="57"/>
      <c r="AB59" s="58"/>
      <c r="AC59" s="30"/>
      <c r="AD59" s="31"/>
      <c r="AE59" s="31"/>
      <c r="AF59" s="31"/>
      <c r="AG59" s="31"/>
      <c r="AH59" s="32"/>
      <c r="AI59" s="26"/>
      <c r="AJ59" s="26"/>
      <c r="AK59" s="26"/>
      <c r="AL59" s="26"/>
      <c r="AM59" s="26"/>
      <c r="AN59" s="26"/>
    </row>
    <row r="60" spans="1:40" s="19" customFormat="1" x14ac:dyDescent="0.3">
      <c r="A60" s="39">
        <v>45954</v>
      </c>
      <c r="B60" s="69">
        <v>8409</v>
      </c>
      <c r="C60" s="28"/>
      <c r="D60" s="29">
        <v>38014</v>
      </c>
      <c r="E60" s="28">
        <v>1</v>
      </c>
      <c r="F60" s="64" t="s">
        <v>35</v>
      </c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2"/>
      <c r="U60" s="56" t="s">
        <v>123</v>
      </c>
      <c r="V60" s="57"/>
      <c r="W60" s="57"/>
      <c r="X60" s="57"/>
      <c r="Y60" s="57"/>
      <c r="Z60" s="57"/>
      <c r="AA60" s="57"/>
      <c r="AB60" s="58"/>
      <c r="AC60" s="30"/>
      <c r="AD60" s="31"/>
      <c r="AE60" s="31"/>
      <c r="AF60" s="31"/>
      <c r="AG60" s="31"/>
      <c r="AH60" s="32"/>
      <c r="AI60" s="26"/>
      <c r="AJ60" s="26"/>
      <c r="AK60" s="26"/>
      <c r="AL60" s="26"/>
      <c r="AM60" s="26"/>
      <c r="AN60" s="26"/>
    </row>
    <row r="61" spans="1:40" s="19" customFormat="1" x14ac:dyDescent="0.3">
      <c r="A61" s="39">
        <v>45954</v>
      </c>
      <c r="B61" s="69"/>
      <c r="C61" s="28"/>
      <c r="D61" s="29">
        <v>78009</v>
      </c>
      <c r="E61" s="28">
        <v>1</v>
      </c>
      <c r="F61" s="64" t="s">
        <v>118</v>
      </c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2"/>
      <c r="U61" s="94" t="s">
        <v>134</v>
      </c>
      <c r="V61" s="95"/>
      <c r="W61" s="95"/>
      <c r="X61" s="95"/>
      <c r="Y61" s="95"/>
      <c r="Z61" s="95"/>
      <c r="AA61" s="95"/>
      <c r="AB61" s="96"/>
      <c r="AC61" s="30"/>
      <c r="AD61" s="31"/>
      <c r="AE61" s="31"/>
      <c r="AF61" s="31"/>
      <c r="AG61" s="31"/>
      <c r="AH61" s="32"/>
      <c r="AI61" s="26"/>
      <c r="AJ61" s="26"/>
      <c r="AK61" s="26"/>
      <c r="AL61" s="26"/>
      <c r="AM61" s="26"/>
      <c r="AN61" s="26"/>
    </row>
    <row r="62" spans="1:40" s="19" customFormat="1" x14ac:dyDescent="0.3">
      <c r="A62" s="39">
        <v>45954</v>
      </c>
      <c r="B62" s="69"/>
      <c r="C62" s="28"/>
      <c r="D62" s="29">
        <v>78000</v>
      </c>
      <c r="E62" s="28">
        <v>3</v>
      </c>
      <c r="F62" s="64" t="s">
        <v>125</v>
      </c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2"/>
      <c r="U62" s="94" t="s">
        <v>134</v>
      </c>
      <c r="V62" s="95"/>
      <c r="W62" s="95"/>
      <c r="X62" s="95"/>
      <c r="Y62" s="95"/>
      <c r="Z62" s="95"/>
      <c r="AA62" s="95"/>
      <c r="AB62" s="96"/>
      <c r="AC62" s="30"/>
      <c r="AD62" s="31"/>
      <c r="AE62" s="31"/>
      <c r="AF62" s="31"/>
      <c r="AG62" s="31"/>
      <c r="AH62" s="32"/>
      <c r="AI62" s="26"/>
      <c r="AJ62" s="26"/>
      <c r="AK62" s="26"/>
      <c r="AL62" s="26"/>
      <c r="AM62" s="26"/>
      <c r="AN62" s="26"/>
    </row>
    <row r="63" spans="1:40" s="19" customFormat="1" x14ac:dyDescent="0.3">
      <c r="A63" s="39">
        <v>45954</v>
      </c>
      <c r="B63" s="69"/>
      <c r="C63" s="28"/>
      <c r="D63" s="29">
        <v>78003</v>
      </c>
      <c r="E63" s="28">
        <v>1</v>
      </c>
      <c r="F63" s="64" t="s">
        <v>115</v>
      </c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2"/>
      <c r="U63" s="94" t="s">
        <v>134</v>
      </c>
      <c r="V63" s="95"/>
      <c r="W63" s="95"/>
      <c r="X63" s="95"/>
      <c r="Y63" s="95"/>
      <c r="Z63" s="95"/>
      <c r="AA63" s="95"/>
      <c r="AB63" s="96"/>
      <c r="AC63" s="30"/>
      <c r="AD63" s="31"/>
      <c r="AE63" s="31"/>
      <c r="AF63" s="31"/>
      <c r="AG63" s="31"/>
      <c r="AH63" s="32"/>
      <c r="AI63" s="26"/>
      <c r="AJ63" s="26"/>
      <c r="AK63" s="26"/>
      <c r="AL63" s="26"/>
      <c r="AM63" s="26"/>
      <c r="AN63" s="26"/>
    </row>
    <row r="64" spans="1:40" s="19" customFormat="1" x14ac:dyDescent="0.3">
      <c r="A64" s="39">
        <v>45953</v>
      </c>
      <c r="B64" s="69">
        <v>13915</v>
      </c>
      <c r="C64" s="28"/>
      <c r="D64" s="29">
        <v>78009</v>
      </c>
      <c r="E64" s="28">
        <v>1</v>
      </c>
      <c r="F64" s="64" t="s">
        <v>118</v>
      </c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2"/>
      <c r="U64" s="94" t="s">
        <v>134</v>
      </c>
      <c r="V64" s="95"/>
      <c r="W64" s="95"/>
      <c r="X64" s="95"/>
      <c r="Y64" s="95"/>
      <c r="Z64" s="95"/>
      <c r="AA64" s="95"/>
      <c r="AB64" s="96"/>
      <c r="AC64" s="30"/>
      <c r="AD64" s="31"/>
      <c r="AE64" s="31"/>
      <c r="AF64" s="31"/>
      <c r="AG64" s="31"/>
      <c r="AH64" s="32"/>
      <c r="AI64" s="26"/>
      <c r="AJ64" s="26"/>
      <c r="AK64" s="26"/>
      <c r="AL64" s="26"/>
      <c r="AM64" s="26"/>
      <c r="AN64" s="26"/>
    </row>
    <row r="65" spans="1:40" s="19" customFormat="1" x14ac:dyDescent="0.3">
      <c r="A65" s="39">
        <v>45953</v>
      </c>
      <c r="B65" s="69"/>
      <c r="C65" s="28"/>
      <c r="D65" s="29">
        <v>78000</v>
      </c>
      <c r="E65" s="28">
        <v>1</v>
      </c>
      <c r="F65" s="64" t="s">
        <v>117</v>
      </c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2"/>
      <c r="U65" s="94" t="s">
        <v>134</v>
      </c>
      <c r="V65" s="95"/>
      <c r="W65" s="95"/>
      <c r="X65" s="95"/>
      <c r="Y65" s="95"/>
      <c r="Z65" s="95"/>
      <c r="AA65" s="95"/>
      <c r="AB65" s="96"/>
      <c r="AC65" s="30"/>
      <c r="AD65" s="31"/>
      <c r="AE65" s="31"/>
      <c r="AF65" s="31"/>
      <c r="AG65" s="31"/>
      <c r="AH65" s="32"/>
      <c r="AI65" s="26"/>
      <c r="AJ65" s="26"/>
      <c r="AK65" s="26"/>
      <c r="AL65" s="26"/>
      <c r="AM65" s="26"/>
      <c r="AN65" s="26"/>
    </row>
    <row r="66" spans="1:40" s="19" customFormat="1" x14ac:dyDescent="0.3">
      <c r="A66" s="39">
        <v>45953</v>
      </c>
      <c r="B66" s="69"/>
      <c r="C66" s="28"/>
      <c r="D66" s="29">
        <v>18003</v>
      </c>
      <c r="E66" s="28">
        <v>3</v>
      </c>
      <c r="F66" s="64" t="s">
        <v>116</v>
      </c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2"/>
      <c r="U66" s="135" t="s">
        <v>133</v>
      </c>
      <c r="V66" s="136"/>
      <c r="W66" s="136"/>
      <c r="X66" s="136"/>
      <c r="Y66" s="136"/>
      <c r="Z66" s="136"/>
      <c r="AA66" s="136"/>
      <c r="AB66" s="137"/>
      <c r="AC66" s="30"/>
      <c r="AD66" s="31"/>
      <c r="AE66" s="31"/>
      <c r="AF66" s="31"/>
      <c r="AG66" s="31"/>
      <c r="AH66" s="32"/>
      <c r="AI66" s="26"/>
      <c r="AJ66" s="26"/>
      <c r="AK66" s="26"/>
      <c r="AL66" s="26"/>
      <c r="AM66" s="26"/>
      <c r="AN66" s="26"/>
    </row>
    <row r="67" spans="1:40" s="19" customFormat="1" x14ac:dyDescent="0.3">
      <c r="A67" s="39">
        <v>45953</v>
      </c>
      <c r="B67" s="69"/>
      <c r="C67" s="28"/>
      <c r="D67" s="29">
        <v>18002</v>
      </c>
      <c r="E67" s="28">
        <v>5</v>
      </c>
      <c r="F67" s="64" t="s">
        <v>40</v>
      </c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2"/>
      <c r="U67" s="138"/>
      <c r="V67" s="139"/>
      <c r="W67" s="139"/>
      <c r="X67" s="139"/>
      <c r="Y67" s="139"/>
      <c r="Z67" s="139"/>
      <c r="AA67" s="139"/>
      <c r="AB67" s="140"/>
      <c r="AC67" s="30"/>
      <c r="AD67" s="31"/>
      <c r="AE67" s="31"/>
      <c r="AF67" s="31"/>
      <c r="AG67" s="31"/>
      <c r="AH67" s="32"/>
      <c r="AI67" s="26"/>
      <c r="AJ67" s="26"/>
      <c r="AK67" s="26"/>
      <c r="AL67" s="26"/>
      <c r="AM67" s="26"/>
      <c r="AN67" s="26"/>
    </row>
    <row r="68" spans="1:40" s="19" customFormat="1" x14ac:dyDescent="0.3">
      <c r="A68" s="39">
        <v>45953</v>
      </c>
      <c r="B68" s="69"/>
      <c r="C68" s="28"/>
      <c r="D68" s="29">
        <v>78003</v>
      </c>
      <c r="E68" s="28">
        <v>1</v>
      </c>
      <c r="F68" s="64" t="s">
        <v>115</v>
      </c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2"/>
      <c r="U68" s="94" t="s">
        <v>134</v>
      </c>
      <c r="V68" s="95"/>
      <c r="W68" s="95"/>
      <c r="X68" s="95"/>
      <c r="Y68" s="95"/>
      <c r="Z68" s="95"/>
      <c r="AA68" s="95"/>
      <c r="AB68" s="96"/>
      <c r="AC68" s="30"/>
      <c r="AD68" s="31"/>
      <c r="AE68" s="31"/>
      <c r="AF68" s="31"/>
      <c r="AG68" s="31"/>
      <c r="AH68" s="32"/>
      <c r="AI68" s="26"/>
      <c r="AJ68" s="26"/>
      <c r="AK68" s="26"/>
      <c r="AL68" s="26"/>
      <c r="AM68" s="26"/>
      <c r="AN68" s="26"/>
    </row>
    <row r="69" spans="1:40" s="19" customFormat="1" x14ac:dyDescent="0.3">
      <c r="A69" s="39">
        <v>45953</v>
      </c>
      <c r="B69" s="69"/>
      <c r="C69" s="28"/>
      <c r="D69" s="29">
        <v>2178</v>
      </c>
      <c r="E69" s="28">
        <v>1</v>
      </c>
      <c r="F69" s="64" t="s">
        <v>113</v>
      </c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2"/>
      <c r="U69" s="56" t="s">
        <v>129</v>
      </c>
      <c r="V69" s="57"/>
      <c r="W69" s="57"/>
      <c r="X69" s="57"/>
      <c r="Y69" s="57"/>
      <c r="Z69" s="57"/>
      <c r="AA69" s="57"/>
      <c r="AB69" s="58"/>
      <c r="AC69" s="30"/>
      <c r="AD69" s="31"/>
      <c r="AE69" s="31"/>
      <c r="AF69" s="31"/>
      <c r="AG69" s="31"/>
      <c r="AH69" s="32"/>
      <c r="AI69" s="26"/>
      <c r="AJ69" s="26"/>
      <c r="AK69" s="26"/>
      <c r="AL69" s="26"/>
      <c r="AM69" s="26"/>
      <c r="AN69" s="26"/>
    </row>
    <row r="70" spans="1:40" s="19" customFormat="1" ht="33.75" customHeight="1" x14ac:dyDescent="0.3">
      <c r="A70" s="39">
        <v>45953</v>
      </c>
      <c r="B70" s="69"/>
      <c r="C70" s="28"/>
      <c r="D70" s="47">
        <v>18004</v>
      </c>
      <c r="E70" s="49">
        <v>1</v>
      </c>
      <c r="F70" s="64" t="s">
        <v>114</v>
      </c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2"/>
      <c r="U70" s="134" t="s">
        <v>132</v>
      </c>
      <c r="V70" s="57"/>
      <c r="W70" s="57"/>
      <c r="X70" s="57"/>
      <c r="Y70" s="57"/>
      <c r="Z70" s="57"/>
      <c r="AA70" s="57"/>
      <c r="AB70" s="58"/>
      <c r="AC70" s="30"/>
      <c r="AD70" s="31"/>
      <c r="AE70" s="31"/>
      <c r="AF70" s="31"/>
      <c r="AG70" s="31"/>
      <c r="AH70" s="32"/>
      <c r="AI70" s="26"/>
      <c r="AJ70" s="26"/>
      <c r="AK70" s="26"/>
      <c r="AL70" s="26"/>
      <c r="AM70" s="26"/>
      <c r="AN70" s="26"/>
    </row>
    <row r="71" spans="1:40" s="19" customFormat="1" x14ac:dyDescent="0.3">
      <c r="A71" s="39">
        <v>45952</v>
      </c>
      <c r="B71" s="59">
        <v>23596</v>
      </c>
      <c r="C71" s="28"/>
      <c r="D71" s="29">
        <v>38013</v>
      </c>
      <c r="E71" s="28">
        <v>1</v>
      </c>
      <c r="F71" s="64" t="s">
        <v>35</v>
      </c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2"/>
      <c r="U71" s="56" t="s">
        <v>124</v>
      </c>
      <c r="V71" s="57"/>
      <c r="W71" s="57"/>
      <c r="X71" s="57"/>
      <c r="Y71" s="57"/>
      <c r="Z71" s="57"/>
      <c r="AA71" s="57"/>
      <c r="AB71" s="58"/>
      <c r="AC71" s="30"/>
      <c r="AD71" s="31"/>
      <c r="AE71" s="31"/>
      <c r="AF71" s="31"/>
      <c r="AG71" s="31"/>
      <c r="AH71" s="32"/>
      <c r="AI71" s="26"/>
      <c r="AJ71" s="26"/>
      <c r="AK71" s="26"/>
      <c r="AL71" s="26"/>
      <c r="AM71" s="26"/>
      <c r="AN71" s="26"/>
    </row>
    <row r="72" spans="1:40" s="19" customFormat="1" x14ac:dyDescent="0.3">
      <c r="A72" s="39">
        <v>45952</v>
      </c>
      <c r="B72" s="60"/>
      <c r="C72" s="28"/>
      <c r="D72" s="29">
        <v>2178</v>
      </c>
      <c r="E72" s="28">
        <v>1</v>
      </c>
      <c r="F72" s="64" t="s">
        <v>113</v>
      </c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2"/>
      <c r="U72" s="56" t="s">
        <v>129</v>
      </c>
      <c r="V72" s="57"/>
      <c r="W72" s="57"/>
      <c r="X72" s="57"/>
      <c r="Y72" s="57"/>
      <c r="Z72" s="57"/>
      <c r="AA72" s="57"/>
      <c r="AB72" s="58"/>
      <c r="AC72" s="30"/>
      <c r="AD72" s="31"/>
      <c r="AE72" s="31"/>
      <c r="AF72" s="31"/>
      <c r="AG72" s="31"/>
      <c r="AH72" s="32"/>
      <c r="AI72" s="26"/>
      <c r="AJ72" s="26"/>
      <c r="AK72" s="26"/>
      <c r="AL72" s="26"/>
      <c r="AM72" s="26"/>
      <c r="AN72" s="26"/>
    </row>
    <row r="73" spans="1:40" s="19" customFormat="1" x14ac:dyDescent="0.3">
      <c r="A73" s="39">
        <v>45952</v>
      </c>
      <c r="B73" s="60"/>
      <c r="C73" s="28"/>
      <c r="D73" s="29">
        <v>28003</v>
      </c>
      <c r="E73" s="28">
        <v>2</v>
      </c>
      <c r="F73" s="64" t="s">
        <v>37</v>
      </c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2"/>
      <c r="U73" s="56" t="s">
        <v>130</v>
      </c>
      <c r="V73" s="57"/>
      <c r="W73" s="57"/>
      <c r="X73" s="57"/>
      <c r="Y73" s="57"/>
      <c r="Z73" s="57"/>
      <c r="AA73" s="57"/>
      <c r="AB73" s="58"/>
      <c r="AC73" s="30"/>
      <c r="AD73" s="31"/>
      <c r="AE73" s="31"/>
      <c r="AF73" s="31"/>
      <c r="AG73" s="31"/>
      <c r="AH73" s="32"/>
      <c r="AI73" s="26"/>
      <c r="AJ73" s="26"/>
      <c r="AK73" s="26"/>
      <c r="AL73" s="26"/>
      <c r="AM73" s="26"/>
      <c r="AN73" s="26"/>
    </row>
    <row r="74" spans="1:40" s="19" customFormat="1" x14ac:dyDescent="0.3">
      <c r="A74" s="39">
        <v>45952</v>
      </c>
      <c r="B74" s="60"/>
      <c r="C74" s="28"/>
      <c r="D74" s="29">
        <v>258</v>
      </c>
      <c r="E74" s="28">
        <v>1</v>
      </c>
      <c r="F74" s="64" t="s">
        <v>112</v>
      </c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2"/>
      <c r="U74" s="53" t="s">
        <v>54</v>
      </c>
      <c r="V74" s="57"/>
      <c r="W74" s="57"/>
      <c r="X74" s="57"/>
      <c r="Y74" s="57"/>
      <c r="Z74" s="57"/>
      <c r="AA74" s="57"/>
      <c r="AB74" s="58"/>
      <c r="AC74" s="30"/>
      <c r="AD74" s="31"/>
      <c r="AE74" s="31"/>
      <c r="AF74" s="31"/>
      <c r="AG74" s="31"/>
      <c r="AH74" s="32"/>
      <c r="AI74" s="26"/>
      <c r="AJ74" s="26"/>
      <c r="AK74" s="26"/>
      <c r="AL74" s="26"/>
      <c r="AM74" s="26"/>
      <c r="AN74" s="26"/>
    </row>
    <row r="75" spans="1:40" s="19" customFormat="1" x14ac:dyDescent="0.3">
      <c r="A75" s="39">
        <v>45952</v>
      </c>
      <c r="B75" s="61"/>
      <c r="C75" s="28"/>
      <c r="D75" s="29">
        <v>78001</v>
      </c>
      <c r="E75" s="28">
        <v>1</v>
      </c>
      <c r="F75" s="64" t="s">
        <v>111</v>
      </c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2"/>
      <c r="U75" s="63" t="s">
        <v>131</v>
      </c>
      <c r="V75" s="57"/>
      <c r="W75" s="57"/>
      <c r="X75" s="57"/>
      <c r="Y75" s="57"/>
      <c r="Z75" s="57"/>
      <c r="AA75" s="57"/>
      <c r="AB75" s="58"/>
      <c r="AC75" s="30"/>
      <c r="AD75" s="31"/>
      <c r="AE75" s="31"/>
      <c r="AF75" s="31"/>
      <c r="AG75" s="31"/>
      <c r="AH75" s="32"/>
      <c r="AI75" s="26"/>
      <c r="AJ75" s="26"/>
      <c r="AK75" s="26"/>
      <c r="AL75" s="26"/>
      <c r="AM75" s="26"/>
      <c r="AN75" s="26"/>
    </row>
    <row r="76" spans="1:40" s="19" customFormat="1" x14ac:dyDescent="0.3">
      <c r="A76" s="39">
        <v>45951</v>
      </c>
      <c r="B76" s="59">
        <v>21204</v>
      </c>
      <c r="C76" s="28"/>
      <c r="D76" s="29">
        <v>258</v>
      </c>
      <c r="E76" s="28">
        <v>1</v>
      </c>
      <c r="F76" s="64" t="s">
        <v>55</v>
      </c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2"/>
      <c r="U76" s="53" t="s">
        <v>54</v>
      </c>
      <c r="V76" s="57"/>
      <c r="W76" s="57"/>
      <c r="X76" s="57"/>
      <c r="Y76" s="57"/>
      <c r="Z76" s="57"/>
      <c r="AA76" s="57"/>
      <c r="AB76" s="58"/>
      <c r="AC76" s="30"/>
      <c r="AD76" s="31"/>
      <c r="AE76" s="31"/>
      <c r="AF76" s="31"/>
      <c r="AG76" s="31"/>
      <c r="AH76" s="32"/>
      <c r="AI76" s="26"/>
      <c r="AJ76" s="26"/>
      <c r="AK76" s="26"/>
      <c r="AL76" s="26"/>
      <c r="AM76" s="26"/>
      <c r="AN76" s="26"/>
    </row>
    <row r="77" spans="1:40" s="19" customFormat="1" x14ac:dyDescent="0.3">
      <c r="A77" s="39">
        <v>45951</v>
      </c>
      <c r="B77" s="60"/>
      <c r="C77" s="28"/>
      <c r="D77" s="29">
        <v>28014</v>
      </c>
      <c r="E77" s="28">
        <v>1</v>
      </c>
      <c r="F77" s="64" t="s">
        <v>110</v>
      </c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2"/>
      <c r="U77" s="56" t="s">
        <v>127</v>
      </c>
      <c r="V77" s="57"/>
      <c r="W77" s="57"/>
      <c r="X77" s="57"/>
      <c r="Y77" s="57"/>
      <c r="Z77" s="57"/>
      <c r="AA77" s="57"/>
      <c r="AB77" s="58"/>
      <c r="AC77" s="30"/>
      <c r="AD77" s="31"/>
      <c r="AE77" s="31"/>
      <c r="AF77" s="31"/>
      <c r="AG77" s="31"/>
      <c r="AH77" s="32"/>
      <c r="AI77" s="26"/>
      <c r="AJ77" s="26"/>
      <c r="AK77" s="26"/>
      <c r="AL77" s="26"/>
      <c r="AM77" s="26"/>
      <c r="AN77" s="26"/>
    </row>
    <row r="78" spans="1:40" s="19" customFormat="1" x14ac:dyDescent="0.3">
      <c r="A78" s="39">
        <v>45951</v>
      </c>
      <c r="B78" s="60"/>
      <c r="C78" s="28"/>
      <c r="D78" s="29">
        <v>38013</v>
      </c>
      <c r="E78" s="28">
        <v>3</v>
      </c>
      <c r="F78" s="64" t="s">
        <v>35</v>
      </c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2"/>
      <c r="U78" s="56" t="s">
        <v>124</v>
      </c>
      <c r="V78" s="57"/>
      <c r="W78" s="57"/>
      <c r="X78" s="57"/>
      <c r="Y78" s="57"/>
      <c r="Z78" s="57"/>
      <c r="AA78" s="57"/>
      <c r="AB78" s="58"/>
      <c r="AC78" s="30"/>
      <c r="AD78" s="31"/>
      <c r="AE78" s="31"/>
      <c r="AF78" s="31"/>
      <c r="AG78" s="31"/>
      <c r="AH78" s="32"/>
      <c r="AI78" s="26"/>
      <c r="AJ78" s="26"/>
      <c r="AK78" s="26"/>
      <c r="AL78" s="26"/>
      <c r="AM78" s="26"/>
      <c r="AN78" s="26"/>
    </row>
    <row r="79" spans="1:40" s="19" customFormat="1" x14ac:dyDescent="0.3">
      <c r="A79" s="39">
        <v>45951</v>
      </c>
      <c r="B79" s="60"/>
      <c r="C79" s="28"/>
      <c r="D79" s="29">
        <v>12384</v>
      </c>
      <c r="E79" s="28">
        <v>2</v>
      </c>
      <c r="F79" s="64" t="s">
        <v>46</v>
      </c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2"/>
      <c r="U79" s="81" t="s">
        <v>128</v>
      </c>
      <c r="V79" s="82"/>
      <c r="W79" s="82"/>
      <c r="X79" s="82"/>
      <c r="Y79" s="82"/>
      <c r="Z79" s="82"/>
      <c r="AA79" s="82"/>
      <c r="AB79" s="83"/>
      <c r="AC79" s="30"/>
      <c r="AD79" s="31"/>
      <c r="AE79" s="31"/>
      <c r="AF79" s="31"/>
      <c r="AG79" s="31"/>
      <c r="AH79" s="32"/>
      <c r="AI79" s="26"/>
      <c r="AJ79" s="26"/>
      <c r="AK79" s="26"/>
      <c r="AL79" s="26"/>
      <c r="AM79" s="26"/>
      <c r="AN79" s="26"/>
    </row>
    <row r="80" spans="1:40" s="19" customFormat="1" ht="33" customHeight="1" x14ac:dyDescent="0.3">
      <c r="A80" s="39">
        <v>45951</v>
      </c>
      <c r="B80" s="61"/>
      <c r="C80" s="28"/>
      <c r="D80" s="47">
        <v>18002</v>
      </c>
      <c r="E80" s="49">
        <v>2</v>
      </c>
      <c r="F80" s="64" t="s">
        <v>40</v>
      </c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2"/>
      <c r="U80" s="84"/>
      <c r="V80" s="85"/>
      <c r="W80" s="85"/>
      <c r="X80" s="85"/>
      <c r="Y80" s="85"/>
      <c r="Z80" s="85"/>
      <c r="AA80" s="85"/>
      <c r="AB80" s="86"/>
      <c r="AC80" s="30"/>
      <c r="AD80" s="31"/>
      <c r="AE80" s="31"/>
      <c r="AF80" s="31"/>
      <c r="AG80" s="31"/>
      <c r="AH80" s="32"/>
      <c r="AI80" s="26"/>
      <c r="AJ80" s="26"/>
      <c r="AK80" s="26"/>
      <c r="AL80" s="26"/>
      <c r="AM80" s="26"/>
      <c r="AN80" s="26"/>
    </row>
    <row r="81" spans="1:40" s="19" customFormat="1" x14ac:dyDescent="0.3">
      <c r="A81" s="39">
        <v>45950</v>
      </c>
      <c r="B81" s="59">
        <v>19933</v>
      </c>
      <c r="C81" s="28"/>
      <c r="D81" s="29">
        <v>258</v>
      </c>
      <c r="E81" s="9">
        <v>1</v>
      </c>
      <c r="F81" s="64" t="s">
        <v>109</v>
      </c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2"/>
      <c r="U81" s="63" t="s">
        <v>107</v>
      </c>
      <c r="V81" s="57"/>
      <c r="W81" s="57"/>
      <c r="X81" s="57"/>
      <c r="Y81" s="57"/>
      <c r="Z81" s="57"/>
      <c r="AA81" s="57"/>
      <c r="AB81" s="58"/>
      <c r="AC81" s="30"/>
      <c r="AD81" s="31"/>
      <c r="AE81" s="31"/>
      <c r="AF81" s="31"/>
      <c r="AG81" s="31"/>
      <c r="AH81" s="32"/>
      <c r="AI81" s="26"/>
      <c r="AJ81" s="26"/>
      <c r="AK81" s="26"/>
      <c r="AL81" s="26"/>
      <c r="AM81" s="26"/>
      <c r="AN81" s="26"/>
    </row>
    <row r="82" spans="1:40" s="19" customFormat="1" ht="33" customHeight="1" x14ac:dyDescent="0.3">
      <c r="A82" s="39">
        <v>45950</v>
      </c>
      <c r="B82" s="60"/>
      <c r="C82" s="28"/>
      <c r="D82" s="47">
        <v>35082</v>
      </c>
      <c r="E82" s="48">
        <v>1</v>
      </c>
      <c r="F82" s="64" t="s">
        <v>87</v>
      </c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2"/>
      <c r="U82" s="77" t="s">
        <v>108</v>
      </c>
      <c r="V82" s="78"/>
      <c r="W82" s="78"/>
      <c r="X82" s="78"/>
      <c r="Y82" s="78"/>
      <c r="Z82" s="78"/>
      <c r="AA82" s="78"/>
      <c r="AB82" s="79"/>
      <c r="AC82" s="30"/>
      <c r="AD82" s="31"/>
      <c r="AE82" s="31"/>
      <c r="AF82" s="31"/>
      <c r="AG82" s="31"/>
      <c r="AH82" s="32"/>
      <c r="AI82" s="26"/>
      <c r="AJ82" s="26"/>
      <c r="AK82" s="26"/>
      <c r="AL82" s="26"/>
      <c r="AM82" s="26"/>
      <c r="AN82" s="26"/>
    </row>
    <row r="83" spans="1:40" s="19" customFormat="1" x14ac:dyDescent="0.3">
      <c r="A83" s="39">
        <v>45950</v>
      </c>
      <c r="B83" s="61"/>
      <c r="C83" s="28"/>
      <c r="D83" s="29">
        <v>5034</v>
      </c>
      <c r="E83" s="9">
        <v>5</v>
      </c>
      <c r="F83" s="64" t="s">
        <v>101</v>
      </c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2"/>
      <c r="U83" s="74" t="s">
        <v>50</v>
      </c>
      <c r="V83" s="75"/>
      <c r="W83" s="75"/>
      <c r="X83" s="75"/>
      <c r="Y83" s="75"/>
      <c r="Z83" s="75"/>
      <c r="AA83" s="75"/>
      <c r="AB83" s="76"/>
      <c r="AC83" s="30"/>
      <c r="AD83" s="31"/>
      <c r="AE83" s="31"/>
      <c r="AF83" s="31"/>
      <c r="AG83" s="31"/>
      <c r="AH83" s="32"/>
      <c r="AI83" s="26"/>
      <c r="AJ83" s="26"/>
      <c r="AK83" s="26"/>
      <c r="AL83" s="26"/>
      <c r="AM83" s="26"/>
      <c r="AN83" s="26"/>
    </row>
    <row r="84" spans="1:40" s="19" customFormat="1" x14ac:dyDescent="0.3">
      <c r="A84" s="39">
        <v>45949</v>
      </c>
      <c r="B84" s="59">
        <v>15897</v>
      </c>
      <c r="C84" s="28"/>
      <c r="D84" s="29">
        <v>18002</v>
      </c>
      <c r="E84" s="9">
        <v>4</v>
      </c>
      <c r="F84" s="64" t="s">
        <v>70</v>
      </c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2"/>
      <c r="U84" s="53" t="s">
        <v>105</v>
      </c>
      <c r="V84" s="57"/>
      <c r="W84" s="57"/>
      <c r="X84" s="57"/>
      <c r="Y84" s="57"/>
      <c r="Z84" s="57"/>
      <c r="AA84" s="57"/>
      <c r="AB84" s="58"/>
      <c r="AC84" s="30"/>
      <c r="AD84" s="31"/>
      <c r="AE84" s="31"/>
      <c r="AF84" s="31"/>
      <c r="AG84" s="31"/>
      <c r="AH84" s="32"/>
      <c r="AI84" s="26"/>
      <c r="AJ84" s="26"/>
      <c r="AK84" s="26"/>
      <c r="AL84" s="26"/>
      <c r="AM84" s="26"/>
      <c r="AN84" s="26"/>
    </row>
    <row r="85" spans="1:40" s="19" customFormat="1" x14ac:dyDescent="0.3">
      <c r="A85" s="39">
        <v>45949</v>
      </c>
      <c r="B85" s="61"/>
      <c r="C85" s="28"/>
      <c r="D85" s="29">
        <v>35082</v>
      </c>
      <c r="E85" s="9">
        <v>4</v>
      </c>
      <c r="F85" s="64" t="s">
        <v>87</v>
      </c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2"/>
      <c r="U85" s="77" t="s">
        <v>98</v>
      </c>
      <c r="V85" s="78"/>
      <c r="W85" s="78"/>
      <c r="X85" s="78"/>
      <c r="Y85" s="78"/>
      <c r="Z85" s="78"/>
      <c r="AA85" s="78"/>
      <c r="AB85" s="79"/>
      <c r="AC85" s="30"/>
      <c r="AD85" s="31"/>
      <c r="AE85" s="31"/>
      <c r="AF85" s="31"/>
      <c r="AG85" s="31"/>
      <c r="AH85" s="32"/>
      <c r="AI85" s="26"/>
      <c r="AJ85" s="26"/>
      <c r="AK85" s="26"/>
      <c r="AL85" s="26"/>
      <c r="AM85" s="26"/>
      <c r="AN85" s="26"/>
    </row>
    <row r="86" spans="1:40" s="19" customFormat="1" ht="16.5" customHeight="1" x14ac:dyDescent="0.3">
      <c r="A86" s="39">
        <v>45948</v>
      </c>
      <c r="B86" s="59">
        <v>11525</v>
      </c>
      <c r="C86" s="28"/>
      <c r="D86" s="29">
        <v>12384</v>
      </c>
      <c r="E86" s="9">
        <v>1</v>
      </c>
      <c r="F86" s="44" t="s">
        <v>89</v>
      </c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6"/>
      <c r="U86" s="53" t="s">
        <v>104</v>
      </c>
      <c r="V86" s="57"/>
      <c r="W86" s="57"/>
      <c r="X86" s="57"/>
      <c r="Y86" s="57"/>
      <c r="Z86" s="57"/>
      <c r="AA86" s="57"/>
      <c r="AB86" s="58"/>
      <c r="AC86" s="30"/>
      <c r="AD86" s="31"/>
      <c r="AE86" s="31"/>
      <c r="AF86" s="31"/>
      <c r="AG86" s="31"/>
      <c r="AH86" s="32"/>
      <c r="AI86" s="26"/>
      <c r="AJ86" s="26"/>
      <c r="AK86" s="26"/>
      <c r="AL86" s="26"/>
      <c r="AM86" s="26"/>
      <c r="AN86" s="26"/>
    </row>
    <row r="87" spans="1:40" s="19" customFormat="1" ht="18" customHeight="1" x14ac:dyDescent="0.3">
      <c r="A87" s="39">
        <v>45948</v>
      </c>
      <c r="B87" s="60"/>
      <c r="C87" s="28"/>
      <c r="D87" s="29">
        <v>35086</v>
      </c>
      <c r="E87" s="9">
        <v>1</v>
      </c>
      <c r="F87" s="64" t="s">
        <v>103</v>
      </c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2"/>
      <c r="U87" s="77" t="s">
        <v>98</v>
      </c>
      <c r="V87" s="78"/>
      <c r="W87" s="78"/>
      <c r="X87" s="78"/>
      <c r="Y87" s="78"/>
      <c r="Z87" s="78"/>
      <c r="AA87" s="78"/>
      <c r="AB87" s="79"/>
      <c r="AC87" s="30"/>
      <c r="AD87" s="31"/>
      <c r="AE87" s="31"/>
      <c r="AF87" s="31"/>
      <c r="AG87" s="31"/>
      <c r="AH87" s="32"/>
      <c r="AI87" s="26"/>
      <c r="AJ87" s="26"/>
      <c r="AK87" s="26"/>
      <c r="AL87" s="26"/>
      <c r="AM87" s="26"/>
      <c r="AN87" s="26"/>
    </row>
    <row r="88" spans="1:40" s="19" customFormat="1" x14ac:dyDescent="0.3">
      <c r="A88" s="39">
        <v>45948</v>
      </c>
      <c r="B88" s="60"/>
      <c r="C88" s="28"/>
      <c r="D88" s="29">
        <v>5034</v>
      </c>
      <c r="E88" s="9">
        <v>4</v>
      </c>
      <c r="F88" s="64" t="s">
        <v>101</v>
      </c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2"/>
      <c r="U88" s="74" t="s">
        <v>50</v>
      </c>
      <c r="V88" s="75"/>
      <c r="W88" s="75"/>
      <c r="X88" s="75"/>
      <c r="Y88" s="75"/>
      <c r="Z88" s="75"/>
      <c r="AA88" s="75"/>
      <c r="AB88" s="76"/>
      <c r="AC88" s="30"/>
      <c r="AD88" s="31"/>
      <c r="AE88" s="31"/>
      <c r="AF88" s="31"/>
      <c r="AG88" s="31"/>
      <c r="AH88" s="32"/>
      <c r="AI88" s="26"/>
      <c r="AJ88" s="26"/>
      <c r="AK88" s="26"/>
      <c r="AL88" s="26"/>
      <c r="AM88" s="26"/>
      <c r="AN88" s="26"/>
    </row>
    <row r="89" spans="1:40" s="19" customFormat="1" x14ac:dyDescent="0.3">
      <c r="A89" s="39">
        <v>45948</v>
      </c>
      <c r="B89" s="60"/>
      <c r="C89" s="28"/>
      <c r="D89" s="29">
        <v>28014</v>
      </c>
      <c r="E89" s="9">
        <v>1</v>
      </c>
      <c r="F89" s="64" t="s">
        <v>45</v>
      </c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2"/>
      <c r="U89" s="74" t="s">
        <v>102</v>
      </c>
      <c r="V89" s="75"/>
      <c r="W89" s="75"/>
      <c r="X89" s="75"/>
      <c r="Y89" s="75"/>
      <c r="Z89" s="75"/>
      <c r="AA89" s="75"/>
      <c r="AB89" s="76"/>
      <c r="AC89" s="30"/>
      <c r="AD89" s="31"/>
      <c r="AE89" s="31"/>
      <c r="AF89" s="31"/>
      <c r="AG89" s="31"/>
      <c r="AH89" s="32"/>
      <c r="AI89" s="26"/>
      <c r="AJ89" s="26"/>
      <c r="AK89" s="26"/>
      <c r="AL89" s="26"/>
      <c r="AM89" s="26"/>
      <c r="AN89" s="26"/>
    </row>
    <row r="90" spans="1:40" s="19" customFormat="1" ht="16.5" customHeight="1" x14ac:dyDescent="0.3">
      <c r="A90" s="39">
        <v>45948</v>
      </c>
      <c r="B90" s="60"/>
      <c r="C90" s="28"/>
      <c r="D90" s="29">
        <v>38013</v>
      </c>
      <c r="E90" s="9">
        <v>1</v>
      </c>
      <c r="F90" s="64" t="s">
        <v>35</v>
      </c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2"/>
      <c r="U90" s="80" t="s">
        <v>106</v>
      </c>
      <c r="V90" s="75"/>
      <c r="W90" s="75"/>
      <c r="X90" s="75"/>
      <c r="Y90" s="75"/>
      <c r="Z90" s="75"/>
      <c r="AA90" s="75"/>
      <c r="AB90" s="76"/>
      <c r="AC90" s="30"/>
      <c r="AD90" s="31"/>
      <c r="AE90" s="31"/>
      <c r="AF90" s="31"/>
      <c r="AG90" s="31"/>
      <c r="AH90" s="32"/>
      <c r="AI90" s="26"/>
      <c r="AJ90" s="26"/>
      <c r="AK90" s="26"/>
      <c r="AL90" s="26"/>
      <c r="AM90" s="26"/>
      <c r="AN90" s="26"/>
    </row>
    <row r="91" spans="1:40" s="19" customFormat="1" x14ac:dyDescent="0.3">
      <c r="A91" s="39">
        <v>45948</v>
      </c>
      <c r="B91" s="60"/>
      <c r="C91" s="28"/>
      <c r="D91" s="29">
        <v>35082</v>
      </c>
      <c r="E91" s="9">
        <v>6</v>
      </c>
      <c r="F91" s="64" t="s">
        <v>87</v>
      </c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2"/>
      <c r="U91" s="77" t="s">
        <v>98</v>
      </c>
      <c r="V91" s="78"/>
      <c r="W91" s="78"/>
      <c r="X91" s="78"/>
      <c r="Y91" s="78"/>
      <c r="Z91" s="78"/>
      <c r="AA91" s="78"/>
      <c r="AB91" s="79"/>
      <c r="AC91" s="30"/>
      <c r="AD91" s="31"/>
      <c r="AE91" s="31"/>
      <c r="AF91" s="31"/>
      <c r="AG91" s="31"/>
      <c r="AH91" s="32"/>
      <c r="AI91" s="26"/>
      <c r="AJ91" s="26"/>
      <c r="AK91" s="26"/>
      <c r="AL91" s="26"/>
      <c r="AM91" s="26"/>
      <c r="AN91" s="26"/>
    </row>
    <row r="92" spans="1:40" s="19" customFormat="1" ht="16.5" customHeight="1" x14ac:dyDescent="0.3">
      <c r="A92" s="39">
        <v>45948</v>
      </c>
      <c r="B92" s="61"/>
      <c r="C92" s="28"/>
      <c r="D92" s="29">
        <v>98000</v>
      </c>
      <c r="E92" s="9">
        <v>1</v>
      </c>
      <c r="F92" s="64" t="s">
        <v>100</v>
      </c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2"/>
      <c r="U92" s="74" t="s">
        <v>99</v>
      </c>
      <c r="V92" s="75"/>
      <c r="W92" s="75"/>
      <c r="X92" s="75"/>
      <c r="Y92" s="75"/>
      <c r="Z92" s="75"/>
      <c r="AA92" s="75"/>
      <c r="AB92" s="76"/>
      <c r="AC92" s="30"/>
      <c r="AD92" s="31"/>
      <c r="AE92" s="31"/>
      <c r="AF92" s="31"/>
      <c r="AG92" s="31"/>
      <c r="AH92" s="32"/>
      <c r="AI92" s="26"/>
      <c r="AJ92" s="26"/>
      <c r="AK92" s="26"/>
      <c r="AL92" s="26"/>
      <c r="AM92" s="26"/>
      <c r="AN92" s="26"/>
    </row>
    <row r="93" spans="1:40" s="19" customFormat="1" x14ac:dyDescent="0.3">
      <c r="A93" s="39">
        <v>45947</v>
      </c>
      <c r="B93" s="59">
        <v>7346</v>
      </c>
      <c r="C93" s="28"/>
      <c r="D93" s="29">
        <v>35079</v>
      </c>
      <c r="E93" s="9">
        <v>1</v>
      </c>
      <c r="F93" s="64" t="s">
        <v>97</v>
      </c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2"/>
      <c r="U93" s="77" t="s">
        <v>98</v>
      </c>
      <c r="V93" s="78"/>
      <c r="W93" s="78"/>
      <c r="X93" s="78"/>
      <c r="Y93" s="78"/>
      <c r="Z93" s="78"/>
      <c r="AA93" s="78"/>
      <c r="AB93" s="79"/>
      <c r="AC93" s="30"/>
      <c r="AD93" s="31"/>
      <c r="AE93" s="31"/>
      <c r="AF93" s="31"/>
      <c r="AG93" s="31"/>
      <c r="AH93" s="32"/>
      <c r="AI93" s="26"/>
      <c r="AJ93" s="26"/>
      <c r="AK93" s="26"/>
      <c r="AL93" s="26"/>
      <c r="AM93" s="26"/>
      <c r="AN93" s="26"/>
    </row>
    <row r="94" spans="1:40" s="19" customFormat="1" ht="16.5" customHeight="1" x14ac:dyDescent="0.3">
      <c r="A94" s="39">
        <v>45947</v>
      </c>
      <c r="B94" s="60"/>
      <c r="C94" s="28"/>
      <c r="D94" s="29">
        <v>35082</v>
      </c>
      <c r="E94" s="9">
        <v>3</v>
      </c>
      <c r="F94" s="64" t="s">
        <v>87</v>
      </c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2"/>
      <c r="U94" s="77" t="s">
        <v>98</v>
      </c>
      <c r="V94" s="78"/>
      <c r="W94" s="78"/>
      <c r="X94" s="78"/>
      <c r="Y94" s="78"/>
      <c r="Z94" s="78"/>
      <c r="AA94" s="78"/>
      <c r="AB94" s="79"/>
      <c r="AC94" s="30"/>
      <c r="AD94" s="31"/>
      <c r="AE94" s="31"/>
      <c r="AF94" s="31"/>
      <c r="AG94" s="31"/>
      <c r="AH94" s="32"/>
      <c r="AI94" s="26"/>
      <c r="AJ94" s="26"/>
      <c r="AK94" s="26"/>
      <c r="AL94" s="26"/>
      <c r="AM94" s="26"/>
      <c r="AN94" s="26"/>
    </row>
    <row r="95" spans="1:40" s="19" customFormat="1" ht="16.5" customHeight="1" x14ac:dyDescent="0.3">
      <c r="A95" s="39">
        <v>45947</v>
      </c>
      <c r="B95" s="60"/>
      <c r="C95" s="28"/>
      <c r="D95" s="29">
        <v>2222</v>
      </c>
      <c r="E95" s="9">
        <v>1</v>
      </c>
      <c r="F95" s="64" t="s">
        <v>95</v>
      </c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2"/>
      <c r="U95" s="77" t="s">
        <v>96</v>
      </c>
      <c r="V95" s="78"/>
      <c r="W95" s="78"/>
      <c r="X95" s="78"/>
      <c r="Y95" s="78"/>
      <c r="Z95" s="78"/>
      <c r="AA95" s="78"/>
      <c r="AB95" s="79"/>
      <c r="AC95" s="30"/>
      <c r="AD95" s="31"/>
      <c r="AE95" s="31"/>
      <c r="AF95" s="31"/>
      <c r="AG95" s="31"/>
      <c r="AH95" s="32"/>
      <c r="AI95" s="26"/>
      <c r="AJ95" s="26"/>
      <c r="AK95" s="26"/>
      <c r="AL95" s="26"/>
      <c r="AM95" s="26"/>
      <c r="AN95" s="26"/>
    </row>
    <row r="96" spans="1:40" s="19" customFormat="1" x14ac:dyDescent="0.3">
      <c r="A96" s="39">
        <v>45947</v>
      </c>
      <c r="B96" s="60"/>
      <c r="C96" s="28"/>
      <c r="D96" s="29">
        <v>18002</v>
      </c>
      <c r="E96" s="9">
        <v>6</v>
      </c>
      <c r="F96" s="64" t="s">
        <v>70</v>
      </c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2"/>
      <c r="U96" s="53" t="s">
        <v>105</v>
      </c>
      <c r="V96" s="57"/>
      <c r="W96" s="57"/>
      <c r="X96" s="57"/>
      <c r="Y96" s="57"/>
      <c r="Z96" s="57"/>
      <c r="AA96" s="57"/>
      <c r="AB96" s="58"/>
      <c r="AC96" s="30"/>
      <c r="AD96" s="31"/>
      <c r="AE96" s="31"/>
      <c r="AF96" s="31"/>
      <c r="AG96" s="31"/>
      <c r="AH96" s="32"/>
      <c r="AI96" s="26"/>
      <c r="AJ96" s="26"/>
      <c r="AK96" s="26"/>
      <c r="AL96" s="26"/>
      <c r="AM96" s="26"/>
      <c r="AN96" s="26"/>
    </row>
    <row r="97" spans="1:40" s="19" customFormat="1" ht="16.5" customHeight="1" x14ac:dyDescent="0.3">
      <c r="A97" s="39">
        <v>45947</v>
      </c>
      <c r="B97" s="61"/>
      <c r="C97" s="28"/>
      <c r="D97" s="29">
        <v>12384</v>
      </c>
      <c r="E97" s="9">
        <v>6</v>
      </c>
      <c r="F97" s="44" t="s">
        <v>89</v>
      </c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6"/>
      <c r="U97" s="53" t="s">
        <v>105</v>
      </c>
      <c r="V97" s="57"/>
      <c r="W97" s="57"/>
      <c r="X97" s="57"/>
      <c r="Y97" s="57"/>
      <c r="Z97" s="57"/>
      <c r="AA97" s="57"/>
      <c r="AB97" s="58"/>
      <c r="AC97" s="30"/>
      <c r="AD97" s="31"/>
      <c r="AE97" s="31"/>
      <c r="AF97" s="31"/>
      <c r="AG97" s="31"/>
      <c r="AH97" s="32"/>
      <c r="AI97" s="26"/>
      <c r="AJ97" s="26"/>
      <c r="AK97" s="26"/>
      <c r="AL97" s="26"/>
      <c r="AM97" s="26"/>
      <c r="AN97" s="26"/>
    </row>
    <row r="98" spans="1:40" s="19" customFormat="1" x14ac:dyDescent="0.3">
      <c r="A98" s="39">
        <v>45946</v>
      </c>
      <c r="B98" s="59">
        <v>13415</v>
      </c>
      <c r="C98" s="28"/>
      <c r="D98" s="29">
        <v>35082</v>
      </c>
      <c r="E98" s="9">
        <v>1</v>
      </c>
      <c r="F98" s="44" t="s">
        <v>87</v>
      </c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6"/>
      <c r="U98" s="62" t="s">
        <v>93</v>
      </c>
      <c r="V98" s="57"/>
      <c r="W98" s="57"/>
      <c r="X98" s="57"/>
      <c r="Y98" s="57"/>
      <c r="Z98" s="57"/>
      <c r="AA98" s="57"/>
      <c r="AB98" s="58"/>
      <c r="AC98" s="30"/>
      <c r="AD98" s="31"/>
      <c r="AE98" s="31"/>
      <c r="AF98" s="31"/>
      <c r="AG98" s="31"/>
      <c r="AH98" s="32"/>
      <c r="AI98" s="26"/>
      <c r="AJ98" s="26"/>
      <c r="AK98" s="26"/>
      <c r="AL98" s="26"/>
      <c r="AM98" s="26"/>
      <c r="AN98" s="26"/>
    </row>
    <row r="99" spans="1:40" s="19" customFormat="1" x14ac:dyDescent="0.3">
      <c r="A99" s="39">
        <v>45946</v>
      </c>
      <c r="B99" s="60"/>
      <c r="C99" s="28"/>
      <c r="D99" s="29">
        <v>35084</v>
      </c>
      <c r="E99" s="9">
        <v>1</v>
      </c>
      <c r="F99" s="44" t="s">
        <v>85</v>
      </c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6"/>
      <c r="U99" s="62" t="s">
        <v>93</v>
      </c>
      <c r="V99" s="57"/>
      <c r="W99" s="57"/>
      <c r="X99" s="57"/>
      <c r="Y99" s="57"/>
      <c r="Z99" s="57"/>
      <c r="AA99" s="57"/>
      <c r="AB99" s="58"/>
      <c r="AC99" s="30"/>
      <c r="AD99" s="31"/>
      <c r="AE99" s="31"/>
      <c r="AF99" s="31"/>
      <c r="AG99" s="31"/>
      <c r="AH99" s="32"/>
      <c r="AI99" s="26"/>
      <c r="AJ99" s="26"/>
      <c r="AK99" s="26"/>
      <c r="AL99" s="26"/>
      <c r="AM99" s="26"/>
      <c r="AN99" s="26"/>
    </row>
    <row r="100" spans="1:40" s="19" customFormat="1" x14ac:dyDescent="0.3">
      <c r="A100" s="39">
        <v>45946</v>
      </c>
      <c r="B100" s="61"/>
      <c r="C100" s="28"/>
      <c r="D100" s="29">
        <v>38013</v>
      </c>
      <c r="E100" s="9">
        <v>10</v>
      </c>
      <c r="F100" s="64" t="s">
        <v>86</v>
      </c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2"/>
      <c r="U100" s="56" t="s">
        <v>94</v>
      </c>
      <c r="V100" s="57"/>
      <c r="W100" s="57"/>
      <c r="X100" s="57"/>
      <c r="Y100" s="57"/>
      <c r="Z100" s="57"/>
      <c r="AA100" s="57"/>
      <c r="AB100" s="58"/>
      <c r="AC100" s="30"/>
      <c r="AD100" s="31"/>
      <c r="AE100" s="31"/>
      <c r="AF100" s="31"/>
      <c r="AG100" s="31"/>
      <c r="AH100" s="32"/>
      <c r="AI100" s="26"/>
      <c r="AJ100" s="26"/>
      <c r="AK100" s="26"/>
      <c r="AL100" s="26"/>
      <c r="AM100" s="26"/>
      <c r="AN100" s="26"/>
    </row>
    <row r="101" spans="1:40" s="19" customFormat="1" x14ac:dyDescent="0.3">
      <c r="A101" s="39">
        <v>45945</v>
      </c>
      <c r="B101" s="59">
        <v>1675</v>
      </c>
      <c r="C101" s="28"/>
      <c r="D101" s="29">
        <v>104009</v>
      </c>
      <c r="E101" s="9">
        <v>1</v>
      </c>
      <c r="F101" s="44" t="s">
        <v>90</v>
      </c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6"/>
      <c r="U101" s="56" t="s">
        <v>91</v>
      </c>
      <c r="V101" s="57"/>
      <c r="W101" s="57"/>
      <c r="X101" s="57"/>
      <c r="Y101" s="57"/>
      <c r="Z101" s="57"/>
      <c r="AA101" s="57"/>
      <c r="AB101" s="58"/>
      <c r="AC101" s="30"/>
      <c r="AD101" s="31"/>
      <c r="AE101" s="31"/>
      <c r="AF101" s="31"/>
      <c r="AG101" s="31"/>
      <c r="AH101" s="32"/>
      <c r="AI101" s="26"/>
      <c r="AJ101" s="26"/>
      <c r="AK101" s="26"/>
      <c r="AL101" s="26"/>
      <c r="AM101" s="26"/>
      <c r="AN101" s="26"/>
    </row>
    <row r="102" spans="1:40" s="19" customFormat="1" x14ac:dyDescent="0.3">
      <c r="A102" s="39">
        <v>45945</v>
      </c>
      <c r="B102" s="60"/>
      <c r="C102" s="28"/>
      <c r="D102" s="29">
        <v>12384</v>
      </c>
      <c r="E102" s="9">
        <v>1</v>
      </c>
      <c r="F102" s="44" t="s">
        <v>89</v>
      </c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6"/>
      <c r="U102" s="53" t="s">
        <v>92</v>
      </c>
      <c r="V102" s="57"/>
      <c r="W102" s="57"/>
      <c r="X102" s="57"/>
      <c r="Y102" s="57"/>
      <c r="Z102" s="57"/>
      <c r="AA102" s="57"/>
      <c r="AB102" s="58"/>
      <c r="AC102" s="30"/>
      <c r="AD102" s="31"/>
      <c r="AE102" s="31"/>
      <c r="AF102" s="31"/>
      <c r="AG102" s="31"/>
      <c r="AH102" s="32"/>
      <c r="AI102" s="26"/>
      <c r="AJ102" s="26"/>
      <c r="AK102" s="26"/>
      <c r="AL102" s="26"/>
      <c r="AM102" s="26"/>
      <c r="AN102" s="26"/>
    </row>
    <row r="103" spans="1:40" s="19" customFormat="1" x14ac:dyDescent="0.3">
      <c r="A103" s="39">
        <v>45945</v>
      </c>
      <c r="B103" s="60"/>
      <c r="C103" s="28"/>
      <c r="D103" s="29">
        <v>35085</v>
      </c>
      <c r="E103" s="9">
        <v>1</v>
      </c>
      <c r="F103" s="64" t="s">
        <v>88</v>
      </c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2"/>
      <c r="U103" s="62" t="s">
        <v>93</v>
      </c>
      <c r="V103" s="57"/>
      <c r="W103" s="57"/>
      <c r="X103" s="57"/>
      <c r="Y103" s="57"/>
      <c r="Z103" s="57"/>
      <c r="AA103" s="57"/>
      <c r="AB103" s="58"/>
      <c r="AC103" s="30"/>
      <c r="AD103" s="31"/>
      <c r="AE103" s="31"/>
      <c r="AF103" s="31"/>
      <c r="AG103" s="31"/>
      <c r="AH103" s="32"/>
      <c r="AI103" s="26"/>
      <c r="AJ103" s="26"/>
      <c r="AK103" s="26"/>
      <c r="AL103" s="26"/>
      <c r="AM103" s="26"/>
      <c r="AN103" s="26"/>
    </row>
    <row r="104" spans="1:40" s="19" customFormat="1" x14ac:dyDescent="0.3">
      <c r="A104" s="39">
        <v>45945</v>
      </c>
      <c r="B104" s="61"/>
      <c r="C104" s="28"/>
      <c r="D104" s="29">
        <v>38013</v>
      </c>
      <c r="E104" s="9">
        <v>1</v>
      </c>
      <c r="F104" s="64" t="s">
        <v>35</v>
      </c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2"/>
      <c r="U104" s="56" t="s">
        <v>83</v>
      </c>
      <c r="V104" s="57"/>
      <c r="W104" s="57"/>
      <c r="X104" s="57"/>
      <c r="Y104" s="57"/>
      <c r="Z104" s="57"/>
      <c r="AA104" s="57"/>
      <c r="AB104" s="58"/>
      <c r="AC104" s="30"/>
      <c r="AD104" s="31"/>
      <c r="AE104" s="31"/>
      <c r="AF104" s="31"/>
      <c r="AG104" s="31"/>
      <c r="AH104" s="32"/>
      <c r="AI104" s="26"/>
      <c r="AJ104" s="26"/>
      <c r="AK104" s="26"/>
      <c r="AL104" s="26"/>
      <c r="AM104" s="26"/>
      <c r="AN104" s="26"/>
    </row>
    <row r="105" spans="1:40" s="19" customFormat="1" x14ac:dyDescent="0.3">
      <c r="A105" s="39">
        <v>45944</v>
      </c>
      <c r="B105" s="40">
        <v>6428</v>
      </c>
      <c r="C105" s="28"/>
      <c r="D105" s="29">
        <v>38013</v>
      </c>
      <c r="E105" s="9">
        <v>2</v>
      </c>
      <c r="F105" s="64" t="s">
        <v>35</v>
      </c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2"/>
      <c r="U105" s="56" t="s">
        <v>83</v>
      </c>
      <c r="V105" s="57"/>
      <c r="W105" s="57"/>
      <c r="X105" s="57"/>
      <c r="Y105" s="57"/>
      <c r="Z105" s="57"/>
      <c r="AA105" s="57"/>
      <c r="AB105" s="58"/>
      <c r="AC105" s="30"/>
      <c r="AD105" s="31"/>
      <c r="AE105" s="31"/>
      <c r="AF105" s="31"/>
      <c r="AG105" s="31"/>
      <c r="AH105" s="32"/>
      <c r="AI105" s="26"/>
      <c r="AJ105" s="26"/>
      <c r="AK105" s="26"/>
      <c r="AL105" s="26"/>
      <c r="AM105" s="26"/>
      <c r="AN105" s="26"/>
    </row>
    <row r="106" spans="1:40" s="19" customFormat="1" ht="16.5" customHeight="1" x14ac:dyDescent="0.3">
      <c r="A106" s="39">
        <v>45943</v>
      </c>
      <c r="B106" s="59">
        <v>19593</v>
      </c>
      <c r="C106" s="28"/>
      <c r="D106" s="29">
        <v>5034</v>
      </c>
      <c r="E106" s="9">
        <v>1</v>
      </c>
      <c r="F106" s="64" t="s">
        <v>39</v>
      </c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2"/>
      <c r="U106" s="63" t="s">
        <v>50</v>
      </c>
      <c r="V106" s="65"/>
      <c r="W106" s="65"/>
      <c r="X106" s="65"/>
      <c r="Y106" s="65"/>
      <c r="Z106" s="65"/>
      <c r="AA106" s="65"/>
      <c r="AB106" s="66"/>
      <c r="AC106" s="30"/>
      <c r="AD106" s="31"/>
      <c r="AE106" s="31"/>
      <c r="AF106" s="31"/>
      <c r="AG106" s="31"/>
      <c r="AH106" s="32"/>
      <c r="AI106" s="26"/>
      <c r="AJ106" s="26"/>
      <c r="AK106" s="26"/>
      <c r="AL106" s="26"/>
      <c r="AM106" s="26"/>
      <c r="AN106" s="26"/>
    </row>
    <row r="107" spans="1:40" s="19" customFormat="1" x14ac:dyDescent="0.3">
      <c r="A107" s="39">
        <v>45943</v>
      </c>
      <c r="B107" s="60"/>
      <c r="C107" s="28"/>
      <c r="D107" s="29">
        <v>2241</v>
      </c>
      <c r="E107" s="9">
        <v>1</v>
      </c>
      <c r="F107" s="64" t="s">
        <v>79</v>
      </c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2"/>
      <c r="U107" s="63" t="s">
        <v>80</v>
      </c>
      <c r="V107" s="65"/>
      <c r="W107" s="65"/>
      <c r="X107" s="65"/>
      <c r="Y107" s="65"/>
      <c r="Z107" s="65"/>
      <c r="AA107" s="65"/>
      <c r="AB107" s="66"/>
      <c r="AC107" s="30"/>
      <c r="AD107" s="31"/>
      <c r="AE107" s="31"/>
      <c r="AF107" s="31"/>
      <c r="AG107" s="31"/>
      <c r="AH107" s="32"/>
      <c r="AI107" s="26"/>
      <c r="AJ107" s="26"/>
      <c r="AK107" s="26"/>
      <c r="AL107" s="26"/>
      <c r="AM107" s="26"/>
      <c r="AN107" s="26"/>
    </row>
    <row r="108" spans="1:40" s="19" customFormat="1" x14ac:dyDescent="0.3">
      <c r="A108" s="39">
        <v>45943</v>
      </c>
      <c r="B108" s="60"/>
      <c r="C108" s="28"/>
      <c r="D108" s="29">
        <v>2220</v>
      </c>
      <c r="E108" s="9">
        <v>1</v>
      </c>
      <c r="F108" s="64" t="s">
        <v>81</v>
      </c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2"/>
      <c r="U108" s="63" t="s">
        <v>82</v>
      </c>
      <c r="V108" s="65"/>
      <c r="W108" s="65"/>
      <c r="X108" s="65"/>
      <c r="Y108" s="65"/>
      <c r="Z108" s="65"/>
      <c r="AA108" s="65"/>
      <c r="AB108" s="66"/>
      <c r="AC108" s="30"/>
      <c r="AD108" s="31"/>
      <c r="AE108" s="31"/>
      <c r="AF108" s="31"/>
      <c r="AG108" s="31"/>
      <c r="AH108" s="32"/>
      <c r="AI108" s="26"/>
      <c r="AJ108" s="26"/>
      <c r="AK108" s="26"/>
      <c r="AL108" s="26"/>
      <c r="AM108" s="26"/>
      <c r="AN108" s="26"/>
    </row>
    <row r="109" spans="1:40" s="19" customFormat="1" x14ac:dyDescent="0.3">
      <c r="A109" s="39">
        <v>45943</v>
      </c>
      <c r="B109" s="60"/>
      <c r="C109" s="28"/>
      <c r="D109" s="29">
        <v>38003</v>
      </c>
      <c r="E109" s="9">
        <v>1</v>
      </c>
      <c r="F109" s="64" t="s">
        <v>71</v>
      </c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2"/>
      <c r="U109" s="56" t="s">
        <v>51</v>
      </c>
      <c r="V109" s="57"/>
      <c r="W109" s="57"/>
      <c r="X109" s="57"/>
      <c r="Y109" s="57"/>
      <c r="Z109" s="57"/>
      <c r="AA109" s="57"/>
      <c r="AB109" s="58"/>
      <c r="AC109" s="30"/>
      <c r="AD109" s="31"/>
      <c r="AE109" s="31"/>
      <c r="AF109" s="31"/>
      <c r="AG109" s="31"/>
      <c r="AH109" s="32"/>
      <c r="AI109" s="26"/>
      <c r="AJ109" s="26"/>
      <c r="AK109" s="26"/>
      <c r="AL109" s="26"/>
      <c r="AM109" s="26"/>
      <c r="AN109" s="26"/>
    </row>
    <row r="110" spans="1:40" s="19" customFormat="1" ht="16.5" customHeight="1" x14ac:dyDescent="0.3">
      <c r="A110" s="39">
        <v>45943</v>
      </c>
      <c r="B110" s="60"/>
      <c r="C110" s="28"/>
      <c r="D110" s="29">
        <v>38013</v>
      </c>
      <c r="E110" s="9">
        <v>5</v>
      </c>
      <c r="F110" s="64" t="s">
        <v>42</v>
      </c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2"/>
      <c r="U110" s="56" t="s">
        <v>83</v>
      </c>
      <c r="V110" s="57"/>
      <c r="W110" s="57"/>
      <c r="X110" s="57"/>
      <c r="Y110" s="57"/>
      <c r="Z110" s="57"/>
      <c r="AA110" s="57"/>
      <c r="AB110" s="58"/>
      <c r="AC110" s="30"/>
      <c r="AD110" s="31"/>
      <c r="AE110" s="31"/>
      <c r="AF110" s="31"/>
      <c r="AG110" s="31"/>
      <c r="AH110" s="32"/>
      <c r="AI110" s="26"/>
      <c r="AJ110" s="26"/>
      <c r="AK110" s="26"/>
      <c r="AL110" s="26"/>
      <c r="AM110" s="26"/>
      <c r="AN110" s="26"/>
    </row>
    <row r="111" spans="1:40" s="19" customFormat="1" ht="16.350000000000001" customHeight="1" x14ac:dyDescent="0.3">
      <c r="A111" s="39">
        <v>45943</v>
      </c>
      <c r="B111" s="61"/>
      <c r="C111" s="28"/>
      <c r="D111" s="29">
        <v>18002</v>
      </c>
      <c r="E111" s="9">
        <v>5</v>
      </c>
      <c r="F111" s="64" t="s">
        <v>70</v>
      </c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2"/>
      <c r="U111" s="53" t="s">
        <v>84</v>
      </c>
      <c r="V111" s="54"/>
      <c r="W111" s="54"/>
      <c r="X111" s="54"/>
      <c r="Y111" s="54"/>
      <c r="Z111" s="54"/>
      <c r="AA111" s="54"/>
      <c r="AB111" s="55"/>
      <c r="AC111" s="30"/>
      <c r="AD111" s="31"/>
      <c r="AE111" s="31"/>
      <c r="AF111" s="31"/>
      <c r="AG111" s="31"/>
      <c r="AH111" s="32"/>
      <c r="AI111" s="26"/>
      <c r="AJ111" s="26"/>
      <c r="AK111" s="26"/>
      <c r="AL111" s="26"/>
      <c r="AM111" s="26"/>
      <c r="AN111" s="26"/>
    </row>
    <row r="112" spans="1:40" s="19" customFormat="1" x14ac:dyDescent="0.3">
      <c r="A112" s="39">
        <v>45942</v>
      </c>
      <c r="B112" s="59">
        <v>21720</v>
      </c>
      <c r="C112" s="28"/>
      <c r="D112" s="28">
        <v>5034</v>
      </c>
      <c r="E112" s="28">
        <v>1</v>
      </c>
      <c r="F112" s="64" t="s">
        <v>39</v>
      </c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2"/>
      <c r="U112" s="63" t="s">
        <v>50</v>
      </c>
      <c r="V112" s="65"/>
      <c r="W112" s="65"/>
      <c r="X112" s="65"/>
      <c r="Y112" s="65"/>
      <c r="Z112" s="65"/>
      <c r="AA112" s="65"/>
      <c r="AB112" s="66"/>
      <c r="AC112" s="30"/>
      <c r="AD112" s="31"/>
      <c r="AE112" s="31"/>
      <c r="AF112" s="31"/>
      <c r="AG112" s="31"/>
      <c r="AH112" s="32"/>
      <c r="AI112" s="26"/>
      <c r="AJ112" s="26"/>
      <c r="AK112" s="26"/>
      <c r="AL112" s="26"/>
      <c r="AM112" s="26"/>
      <c r="AN112" s="26"/>
    </row>
    <row r="113" spans="1:40" s="19" customFormat="1" x14ac:dyDescent="0.3">
      <c r="A113" s="39">
        <v>45942</v>
      </c>
      <c r="B113" s="60"/>
      <c r="C113" s="28"/>
      <c r="D113" s="29">
        <v>4013</v>
      </c>
      <c r="E113" s="9">
        <v>1</v>
      </c>
      <c r="F113" s="64" t="s">
        <v>75</v>
      </c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2"/>
      <c r="U113" s="63" t="s">
        <v>76</v>
      </c>
      <c r="V113" s="57"/>
      <c r="W113" s="57"/>
      <c r="X113" s="57"/>
      <c r="Y113" s="57"/>
      <c r="Z113" s="57"/>
      <c r="AA113" s="57"/>
      <c r="AB113" s="58"/>
      <c r="AC113" s="30"/>
      <c r="AD113" s="31"/>
      <c r="AE113" s="31"/>
      <c r="AF113" s="31"/>
      <c r="AG113" s="31"/>
      <c r="AH113" s="32"/>
      <c r="AI113" s="26"/>
      <c r="AJ113" s="26"/>
      <c r="AK113" s="26"/>
      <c r="AL113" s="26"/>
      <c r="AM113" s="26"/>
      <c r="AN113" s="26"/>
    </row>
    <row r="114" spans="1:40" s="19" customFormat="1" x14ac:dyDescent="0.3">
      <c r="A114" s="39">
        <v>45942</v>
      </c>
      <c r="B114" s="60"/>
      <c r="C114" s="28"/>
      <c r="D114" s="29">
        <v>38013</v>
      </c>
      <c r="E114" s="9">
        <v>3</v>
      </c>
      <c r="F114" s="64" t="s">
        <v>35</v>
      </c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2"/>
      <c r="U114" s="56" t="s">
        <v>77</v>
      </c>
      <c r="V114" s="57"/>
      <c r="W114" s="57"/>
      <c r="X114" s="57"/>
      <c r="Y114" s="57"/>
      <c r="Z114" s="57"/>
      <c r="AA114" s="57"/>
      <c r="AB114" s="58"/>
      <c r="AC114" s="30"/>
      <c r="AD114" s="31"/>
      <c r="AE114" s="31"/>
      <c r="AF114" s="31"/>
      <c r="AG114" s="31"/>
      <c r="AH114" s="32"/>
      <c r="AI114" s="26"/>
      <c r="AJ114" s="26"/>
      <c r="AK114" s="26"/>
      <c r="AL114" s="26"/>
      <c r="AM114" s="26"/>
      <c r="AN114" s="26"/>
    </row>
    <row r="115" spans="1:40" s="19" customFormat="1" x14ac:dyDescent="0.3">
      <c r="A115" s="39">
        <v>45942</v>
      </c>
      <c r="B115" s="60"/>
      <c r="C115" s="28"/>
      <c r="D115" s="29">
        <v>18002</v>
      </c>
      <c r="E115" s="9">
        <v>3</v>
      </c>
      <c r="F115" s="64" t="s">
        <v>70</v>
      </c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2"/>
      <c r="U115" s="53" t="s">
        <v>41</v>
      </c>
      <c r="V115" s="54"/>
      <c r="W115" s="54"/>
      <c r="X115" s="54"/>
      <c r="Y115" s="54"/>
      <c r="Z115" s="54"/>
      <c r="AA115" s="54"/>
      <c r="AB115" s="55"/>
      <c r="AC115" s="30"/>
      <c r="AD115" s="31"/>
      <c r="AE115" s="31"/>
      <c r="AF115" s="31"/>
      <c r="AG115" s="31"/>
      <c r="AH115" s="32"/>
      <c r="AI115" s="26"/>
      <c r="AJ115" s="26"/>
      <c r="AK115" s="26"/>
      <c r="AL115" s="26"/>
      <c r="AM115" s="26"/>
      <c r="AN115" s="26"/>
    </row>
    <row r="116" spans="1:40" s="19" customFormat="1" x14ac:dyDescent="0.3">
      <c r="A116" s="39">
        <v>45942</v>
      </c>
      <c r="B116" s="61"/>
      <c r="C116" s="28"/>
      <c r="D116" s="29">
        <v>54117</v>
      </c>
      <c r="E116" s="9">
        <v>2</v>
      </c>
      <c r="F116" s="64" t="s">
        <v>74</v>
      </c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2"/>
      <c r="U116" s="53" t="s">
        <v>78</v>
      </c>
      <c r="V116" s="57"/>
      <c r="W116" s="57"/>
      <c r="X116" s="57"/>
      <c r="Y116" s="57"/>
      <c r="Z116" s="57"/>
      <c r="AA116" s="57"/>
      <c r="AB116" s="58"/>
      <c r="AC116" s="30"/>
      <c r="AD116" s="31"/>
      <c r="AE116" s="31"/>
      <c r="AF116" s="31"/>
      <c r="AG116" s="31"/>
      <c r="AH116" s="32"/>
      <c r="AI116" s="26"/>
      <c r="AJ116" s="26"/>
      <c r="AK116" s="26"/>
      <c r="AL116" s="26"/>
      <c r="AM116" s="26"/>
      <c r="AN116" s="26"/>
    </row>
    <row r="117" spans="1:40" s="19" customFormat="1" x14ac:dyDescent="0.3">
      <c r="A117" s="39">
        <v>45941</v>
      </c>
      <c r="B117" s="69">
        <v>11806</v>
      </c>
      <c r="C117" s="28"/>
      <c r="D117" s="28">
        <v>5034</v>
      </c>
      <c r="E117" s="28">
        <v>1</v>
      </c>
      <c r="F117" s="64" t="s">
        <v>39</v>
      </c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2"/>
      <c r="U117" s="63" t="s">
        <v>50</v>
      </c>
      <c r="V117" s="65"/>
      <c r="W117" s="65"/>
      <c r="X117" s="65"/>
      <c r="Y117" s="65"/>
      <c r="Z117" s="65"/>
      <c r="AA117" s="65"/>
      <c r="AB117" s="66"/>
      <c r="AC117" s="30"/>
      <c r="AD117" s="31"/>
      <c r="AE117" s="31"/>
      <c r="AF117" s="31"/>
      <c r="AG117" s="31"/>
      <c r="AH117" s="32"/>
      <c r="AI117" s="26"/>
      <c r="AJ117" s="26"/>
      <c r="AK117" s="26"/>
      <c r="AL117" s="26"/>
      <c r="AM117" s="26"/>
      <c r="AN117" s="26"/>
    </row>
    <row r="118" spans="1:40" s="19" customFormat="1" x14ac:dyDescent="0.3">
      <c r="A118" s="39">
        <v>45941</v>
      </c>
      <c r="B118" s="69"/>
      <c r="C118" s="28"/>
      <c r="D118" s="28">
        <v>18002</v>
      </c>
      <c r="E118" s="9">
        <v>7</v>
      </c>
      <c r="F118" s="64" t="s">
        <v>40</v>
      </c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2"/>
      <c r="U118" s="53" t="s">
        <v>41</v>
      </c>
      <c r="V118" s="54"/>
      <c r="W118" s="54"/>
      <c r="X118" s="54"/>
      <c r="Y118" s="54"/>
      <c r="Z118" s="54"/>
      <c r="AA118" s="54"/>
      <c r="AB118" s="55"/>
      <c r="AC118" s="30"/>
      <c r="AD118" s="31"/>
      <c r="AE118" s="31"/>
      <c r="AF118" s="31"/>
      <c r="AG118" s="31"/>
      <c r="AH118" s="32"/>
      <c r="AI118" s="26"/>
      <c r="AJ118" s="26"/>
      <c r="AK118" s="26"/>
      <c r="AL118" s="26"/>
      <c r="AM118" s="26"/>
      <c r="AN118" s="26"/>
    </row>
    <row r="119" spans="1:40" s="19" customFormat="1" ht="33" customHeight="1" x14ac:dyDescent="0.3">
      <c r="A119" s="27">
        <v>45940</v>
      </c>
      <c r="B119" s="67">
        <v>29501</v>
      </c>
      <c r="C119" s="28"/>
      <c r="D119" s="47">
        <v>2130</v>
      </c>
      <c r="E119" s="48">
        <v>1</v>
      </c>
      <c r="F119" s="64" t="s">
        <v>44</v>
      </c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2"/>
      <c r="U119" s="62" t="s">
        <v>43</v>
      </c>
      <c r="V119" s="57"/>
      <c r="W119" s="57"/>
      <c r="X119" s="57"/>
      <c r="Y119" s="57"/>
      <c r="Z119" s="57"/>
      <c r="AA119" s="57"/>
      <c r="AB119" s="58"/>
      <c r="AC119" s="30"/>
      <c r="AD119" s="31"/>
      <c r="AE119" s="31"/>
      <c r="AF119" s="31"/>
      <c r="AG119" s="31"/>
      <c r="AH119" s="32"/>
      <c r="AI119" s="26"/>
      <c r="AJ119" s="26"/>
      <c r="AK119" s="26"/>
      <c r="AL119" s="26"/>
      <c r="AM119" s="26"/>
      <c r="AN119" s="26"/>
    </row>
    <row r="120" spans="1:40" s="19" customFormat="1" x14ac:dyDescent="0.3">
      <c r="A120" s="27">
        <v>45940</v>
      </c>
      <c r="B120" s="67"/>
      <c r="C120" s="28"/>
      <c r="D120" s="29">
        <v>2381</v>
      </c>
      <c r="E120" s="9">
        <v>1</v>
      </c>
      <c r="F120" s="64" t="s">
        <v>72</v>
      </c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2"/>
      <c r="U120" s="63" t="s">
        <v>50</v>
      </c>
      <c r="V120" s="65"/>
      <c r="W120" s="65"/>
      <c r="X120" s="65"/>
      <c r="Y120" s="65"/>
      <c r="Z120" s="65"/>
      <c r="AA120" s="65"/>
      <c r="AB120" s="66"/>
      <c r="AC120" s="30"/>
      <c r="AD120" s="31"/>
      <c r="AE120" s="31"/>
      <c r="AF120" s="31"/>
      <c r="AG120" s="31"/>
      <c r="AH120" s="32"/>
      <c r="AI120" s="26"/>
      <c r="AJ120" s="26"/>
      <c r="AK120" s="26"/>
      <c r="AL120" s="26"/>
      <c r="AM120" s="26"/>
      <c r="AN120" s="26"/>
    </row>
    <row r="121" spans="1:40" s="19" customFormat="1" x14ac:dyDescent="0.3">
      <c r="A121" s="27">
        <v>45940</v>
      </c>
      <c r="B121" s="67"/>
      <c r="C121" s="28"/>
      <c r="D121" s="29">
        <v>38013</v>
      </c>
      <c r="E121" s="9">
        <v>1</v>
      </c>
      <c r="F121" s="64" t="s">
        <v>35</v>
      </c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2"/>
      <c r="U121" s="56" t="s">
        <v>36</v>
      </c>
      <c r="V121" s="57"/>
      <c r="W121" s="57"/>
      <c r="X121" s="57"/>
      <c r="Y121" s="57"/>
      <c r="Z121" s="57"/>
      <c r="AA121" s="57"/>
      <c r="AB121" s="58"/>
      <c r="AC121" s="30"/>
      <c r="AD121" s="31"/>
      <c r="AE121" s="31"/>
      <c r="AF121" s="31"/>
      <c r="AG121" s="31"/>
      <c r="AH121" s="32"/>
      <c r="AI121" s="26"/>
      <c r="AJ121" s="26"/>
      <c r="AK121" s="26"/>
      <c r="AL121" s="26"/>
      <c r="AM121" s="26"/>
      <c r="AN121" s="26"/>
    </row>
    <row r="122" spans="1:40" s="19" customFormat="1" x14ac:dyDescent="0.3">
      <c r="A122" s="27">
        <v>45940</v>
      </c>
      <c r="B122" s="67"/>
      <c r="C122" s="28"/>
      <c r="D122" s="28">
        <v>28003</v>
      </c>
      <c r="E122" s="9">
        <v>1</v>
      </c>
      <c r="F122" s="64" t="s">
        <v>71</v>
      </c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2"/>
      <c r="U122" s="63" t="s">
        <v>73</v>
      </c>
      <c r="V122" s="57"/>
      <c r="W122" s="57"/>
      <c r="X122" s="57"/>
      <c r="Y122" s="57"/>
      <c r="Z122" s="57"/>
      <c r="AA122" s="57"/>
      <c r="AB122" s="58"/>
      <c r="AC122" s="30"/>
      <c r="AD122" s="31"/>
      <c r="AE122" s="31"/>
      <c r="AF122" s="31"/>
      <c r="AG122" s="31"/>
      <c r="AH122" s="32"/>
      <c r="AI122" s="26"/>
      <c r="AJ122" s="26"/>
      <c r="AK122" s="26"/>
      <c r="AL122" s="26"/>
      <c r="AM122" s="26"/>
      <c r="AN122" s="26"/>
    </row>
    <row r="123" spans="1:40" s="19" customFormat="1" x14ac:dyDescent="0.3">
      <c r="A123" s="27">
        <v>45940</v>
      </c>
      <c r="B123" s="68"/>
      <c r="C123" s="28"/>
      <c r="D123" s="28">
        <v>18002</v>
      </c>
      <c r="E123" s="9">
        <v>7</v>
      </c>
      <c r="F123" s="64" t="s">
        <v>40</v>
      </c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2"/>
      <c r="U123" s="53" t="s">
        <v>41</v>
      </c>
      <c r="V123" s="54"/>
      <c r="W123" s="54"/>
      <c r="X123" s="54"/>
      <c r="Y123" s="54"/>
      <c r="Z123" s="54"/>
      <c r="AA123" s="54"/>
      <c r="AB123" s="55"/>
      <c r="AC123" s="30"/>
      <c r="AD123" s="31"/>
      <c r="AE123" s="31"/>
      <c r="AF123" s="31"/>
      <c r="AG123" s="31"/>
      <c r="AH123" s="32"/>
      <c r="AI123" s="26"/>
      <c r="AJ123" s="26"/>
      <c r="AK123" s="26"/>
      <c r="AL123" s="26"/>
      <c r="AM123" s="26"/>
      <c r="AN123" s="26"/>
    </row>
    <row r="124" spans="1:40" s="19" customFormat="1" x14ac:dyDescent="0.3">
      <c r="A124" s="39">
        <v>45939</v>
      </c>
      <c r="B124" s="69">
        <v>28533</v>
      </c>
      <c r="C124" s="28"/>
      <c r="D124" s="28">
        <v>28014</v>
      </c>
      <c r="E124" s="28">
        <v>2</v>
      </c>
      <c r="F124" s="50" t="s">
        <v>42</v>
      </c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2"/>
      <c r="U124" s="56" t="s">
        <v>49</v>
      </c>
      <c r="V124" s="57"/>
      <c r="W124" s="57"/>
      <c r="X124" s="57"/>
      <c r="Y124" s="57"/>
      <c r="Z124" s="57"/>
      <c r="AA124" s="57"/>
      <c r="AB124" s="58"/>
      <c r="AC124" s="30"/>
      <c r="AD124" s="31"/>
      <c r="AE124" s="31"/>
      <c r="AF124" s="31"/>
      <c r="AG124" s="31"/>
      <c r="AH124" s="32"/>
      <c r="AI124" s="26"/>
      <c r="AJ124" s="26"/>
      <c r="AK124" s="26"/>
      <c r="AL124" s="26"/>
      <c r="AM124" s="26"/>
      <c r="AN124" s="26"/>
    </row>
    <row r="125" spans="1:40" s="19" customFormat="1" x14ac:dyDescent="0.3">
      <c r="A125" s="39">
        <v>45939</v>
      </c>
      <c r="B125" s="69"/>
      <c r="C125" s="28"/>
      <c r="D125" s="28">
        <v>5034</v>
      </c>
      <c r="E125" s="28">
        <v>1</v>
      </c>
      <c r="F125" s="64" t="s">
        <v>39</v>
      </c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2"/>
      <c r="U125" s="63" t="s">
        <v>50</v>
      </c>
      <c r="V125" s="65"/>
      <c r="W125" s="65"/>
      <c r="X125" s="65"/>
      <c r="Y125" s="65"/>
      <c r="Z125" s="65"/>
      <c r="AA125" s="65"/>
      <c r="AB125" s="66"/>
      <c r="AC125" s="30"/>
      <c r="AD125" s="31"/>
      <c r="AE125" s="31"/>
      <c r="AF125" s="31"/>
      <c r="AG125" s="31"/>
      <c r="AH125" s="32"/>
      <c r="AI125" s="26"/>
      <c r="AJ125" s="26"/>
      <c r="AK125" s="26"/>
      <c r="AL125" s="26"/>
      <c r="AM125" s="26"/>
      <c r="AN125" s="26"/>
    </row>
    <row r="126" spans="1:40" s="19" customFormat="1" ht="33" customHeight="1" x14ac:dyDescent="0.3">
      <c r="A126" s="39">
        <v>45939</v>
      </c>
      <c r="B126" s="69"/>
      <c r="C126" s="28"/>
      <c r="D126" s="28">
        <v>2130</v>
      </c>
      <c r="E126" s="28">
        <v>1</v>
      </c>
      <c r="F126" s="50" t="s">
        <v>44</v>
      </c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2"/>
      <c r="U126" s="62" t="s">
        <v>43</v>
      </c>
      <c r="V126" s="57"/>
      <c r="W126" s="57"/>
      <c r="X126" s="57"/>
      <c r="Y126" s="57"/>
      <c r="Z126" s="57"/>
      <c r="AA126" s="57"/>
      <c r="AB126" s="58"/>
      <c r="AC126" s="70"/>
      <c r="AD126" s="71"/>
      <c r="AE126" s="71"/>
      <c r="AF126" s="71"/>
      <c r="AG126" s="71"/>
      <c r="AH126" s="72"/>
      <c r="AI126" s="26"/>
      <c r="AJ126" s="26"/>
      <c r="AK126" s="26"/>
      <c r="AL126" s="26"/>
      <c r="AM126" s="26"/>
      <c r="AN126" s="26"/>
    </row>
    <row r="127" spans="1:40" s="19" customFormat="1" ht="33" customHeight="1" x14ac:dyDescent="0.3">
      <c r="A127" s="39">
        <v>45939</v>
      </c>
      <c r="B127" s="69"/>
      <c r="C127" s="28"/>
      <c r="D127" s="28">
        <v>2178</v>
      </c>
      <c r="E127" s="28">
        <v>1</v>
      </c>
      <c r="F127" s="50" t="s">
        <v>68</v>
      </c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2"/>
      <c r="U127" s="62" t="s">
        <v>43</v>
      </c>
      <c r="V127" s="57"/>
      <c r="W127" s="57"/>
      <c r="X127" s="57"/>
      <c r="Y127" s="57"/>
      <c r="Z127" s="57"/>
      <c r="AA127" s="57"/>
      <c r="AB127" s="58"/>
      <c r="AC127" s="70"/>
      <c r="AD127" s="71"/>
      <c r="AE127" s="71"/>
      <c r="AF127" s="71"/>
      <c r="AG127" s="71"/>
      <c r="AH127" s="72"/>
      <c r="AI127" s="26"/>
      <c r="AJ127" s="26"/>
      <c r="AK127" s="26"/>
      <c r="AL127" s="26"/>
      <c r="AM127" s="26"/>
      <c r="AN127" s="26"/>
    </row>
    <row r="128" spans="1:40" s="19" customFormat="1" x14ac:dyDescent="0.3">
      <c r="A128" s="39">
        <v>45939</v>
      </c>
      <c r="B128" s="69"/>
      <c r="C128" s="28"/>
      <c r="D128" s="28">
        <v>18002</v>
      </c>
      <c r="E128" s="28">
        <v>5</v>
      </c>
      <c r="F128" s="50" t="s">
        <v>40</v>
      </c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2"/>
      <c r="U128" s="53" t="s">
        <v>41</v>
      </c>
      <c r="V128" s="54"/>
      <c r="W128" s="54"/>
      <c r="X128" s="54"/>
      <c r="Y128" s="54"/>
      <c r="Z128" s="54"/>
      <c r="AA128" s="54"/>
      <c r="AB128" s="55"/>
      <c r="AC128" s="70"/>
      <c r="AD128" s="71"/>
      <c r="AE128" s="71"/>
      <c r="AF128" s="71"/>
      <c r="AG128" s="71"/>
      <c r="AH128" s="72"/>
      <c r="AI128" s="26"/>
      <c r="AJ128" s="26"/>
      <c r="AK128" s="26"/>
      <c r="AL128" s="26"/>
      <c r="AM128" s="26"/>
      <c r="AN128" s="26"/>
    </row>
    <row r="129" spans="1:40" s="19" customFormat="1" x14ac:dyDescent="0.3">
      <c r="A129" s="39">
        <v>45938</v>
      </c>
      <c r="B129" s="69">
        <v>20921</v>
      </c>
      <c r="C129" s="28"/>
      <c r="D129" s="28">
        <v>101001</v>
      </c>
      <c r="E129" s="28">
        <v>1</v>
      </c>
      <c r="F129" s="73" t="s">
        <v>67</v>
      </c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2"/>
      <c r="U129" s="63" t="s">
        <v>66</v>
      </c>
      <c r="V129" s="57"/>
      <c r="W129" s="57"/>
      <c r="X129" s="57"/>
      <c r="Y129" s="57"/>
      <c r="Z129" s="57"/>
      <c r="AA129" s="57"/>
      <c r="AB129" s="58"/>
      <c r="AC129" s="70"/>
      <c r="AD129" s="71"/>
      <c r="AE129" s="71"/>
      <c r="AF129" s="71"/>
      <c r="AG129" s="71"/>
      <c r="AH129" s="72"/>
      <c r="AI129" s="26"/>
      <c r="AJ129" s="26"/>
      <c r="AK129" s="26"/>
      <c r="AL129" s="26"/>
      <c r="AM129" s="26"/>
      <c r="AN129" s="26"/>
    </row>
    <row r="130" spans="1:40" s="19" customFormat="1" x14ac:dyDescent="0.3">
      <c r="A130" s="39">
        <v>45938</v>
      </c>
      <c r="B130" s="69"/>
      <c r="C130" s="28"/>
      <c r="D130" s="28">
        <v>18002</v>
      </c>
      <c r="E130" s="28">
        <v>3</v>
      </c>
      <c r="F130" s="50" t="s">
        <v>40</v>
      </c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2"/>
      <c r="U130" s="53" t="s">
        <v>41</v>
      </c>
      <c r="V130" s="54"/>
      <c r="W130" s="54"/>
      <c r="X130" s="54"/>
      <c r="Y130" s="54"/>
      <c r="Z130" s="54"/>
      <c r="AA130" s="54"/>
      <c r="AB130" s="55"/>
      <c r="AC130" s="70"/>
      <c r="AD130" s="71"/>
      <c r="AE130" s="71"/>
      <c r="AF130" s="71"/>
      <c r="AG130" s="71"/>
      <c r="AH130" s="72"/>
      <c r="AI130" s="26"/>
      <c r="AJ130" s="26"/>
      <c r="AK130" s="26"/>
      <c r="AL130" s="26"/>
      <c r="AM130" s="26"/>
      <c r="AN130" s="26"/>
    </row>
    <row r="131" spans="1:40" s="19" customFormat="1" ht="33" customHeight="1" x14ac:dyDescent="0.3">
      <c r="A131" s="39">
        <v>45937</v>
      </c>
      <c r="B131" s="69">
        <v>26255</v>
      </c>
      <c r="C131" s="28"/>
      <c r="D131" s="28">
        <v>2134</v>
      </c>
      <c r="E131" s="28">
        <v>1</v>
      </c>
      <c r="F131" s="50" t="s">
        <v>47</v>
      </c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2"/>
      <c r="U131" s="62" t="s">
        <v>43</v>
      </c>
      <c r="V131" s="57"/>
      <c r="W131" s="57"/>
      <c r="X131" s="57"/>
      <c r="Y131" s="57"/>
      <c r="Z131" s="57"/>
      <c r="AA131" s="57"/>
      <c r="AB131" s="58"/>
      <c r="AC131" s="70"/>
      <c r="AD131" s="71"/>
      <c r="AE131" s="71"/>
      <c r="AF131" s="71"/>
      <c r="AG131" s="71"/>
      <c r="AH131" s="72"/>
      <c r="AI131" s="26"/>
      <c r="AJ131" s="26"/>
      <c r="AK131" s="26"/>
      <c r="AL131" s="26"/>
      <c r="AM131" s="26"/>
      <c r="AN131" s="26"/>
    </row>
    <row r="132" spans="1:40" s="19" customFormat="1" x14ac:dyDescent="0.3">
      <c r="A132" s="39">
        <v>45937</v>
      </c>
      <c r="B132" s="69"/>
      <c r="C132" s="28"/>
      <c r="D132" s="28">
        <v>54108</v>
      </c>
      <c r="E132" s="28">
        <v>1</v>
      </c>
      <c r="F132" s="50" t="s">
        <v>65</v>
      </c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2"/>
      <c r="U132" s="56" t="s">
        <v>69</v>
      </c>
      <c r="V132" s="57"/>
      <c r="W132" s="57"/>
      <c r="X132" s="57"/>
      <c r="Y132" s="57"/>
      <c r="Z132" s="57"/>
      <c r="AA132" s="57"/>
      <c r="AB132" s="58"/>
      <c r="AC132" s="33"/>
      <c r="AD132" s="34"/>
      <c r="AE132" s="34"/>
      <c r="AF132" s="34"/>
      <c r="AG132" s="34"/>
      <c r="AH132" s="35"/>
      <c r="AI132" s="26"/>
      <c r="AJ132" s="26"/>
      <c r="AK132" s="26"/>
      <c r="AL132" s="26"/>
      <c r="AM132" s="26"/>
      <c r="AN132" s="26"/>
    </row>
    <row r="133" spans="1:40" s="19" customFormat="1" x14ac:dyDescent="0.3">
      <c r="A133" s="39">
        <v>45937</v>
      </c>
      <c r="B133" s="69"/>
      <c r="C133" s="28"/>
      <c r="D133" s="28">
        <v>2264</v>
      </c>
      <c r="E133" s="28">
        <v>1</v>
      </c>
      <c r="F133" s="50" t="s">
        <v>64</v>
      </c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2"/>
      <c r="U133" s="53" t="s">
        <v>54</v>
      </c>
      <c r="V133" s="57"/>
      <c r="W133" s="57"/>
      <c r="X133" s="57"/>
      <c r="Y133" s="57"/>
      <c r="Z133" s="57"/>
      <c r="AA133" s="57"/>
      <c r="AB133" s="58"/>
      <c r="AC133" s="33"/>
      <c r="AD133" s="34"/>
      <c r="AE133" s="34"/>
      <c r="AF133" s="34"/>
      <c r="AG133" s="34"/>
      <c r="AH133" s="35"/>
      <c r="AI133" s="26"/>
      <c r="AJ133" s="26"/>
      <c r="AK133" s="26"/>
      <c r="AL133" s="26"/>
      <c r="AM133" s="26"/>
      <c r="AN133" s="26"/>
    </row>
    <row r="134" spans="1:40" s="19" customFormat="1" x14ac:dyDescent="0.3">
      <c r="A134" s="39">
        <v>45937</v>
      </c>
      <c r="B134" s="69"/>
      <c r="C134" s="28"/>
      <c r="D134" s="28">
        <v>2303</v>
      </c>
      <c r="E134" s="28">
        <v>1</v>
      </c>
      <c r="F134" s="50" t="s">
        <v>62</v>
      </c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2"/>
      <c r="U134" s="63" t="s">
        <v>53</v>
      </c>
      <c r="V134" s="57"/>
      <c r="W134" s="57"/>
      <c r="X134" s="57"/>
      <c r="Y134" s="57"/>
      <c r="Z134" s="57"/>
      <c r="AA134" s="57"/>
      <c r="AB134" s="58"/>
      <c r="AC134" s="33"/>
      <c r="AD134" s="34"/>
      <c r="AE134" s="34"/>
      <c r="AF134" s="34"/>
      <c r="AG134" s="34"/>
      <c r="AH134" s="35"/>
      <c r="AI134" s="26"/>
      <c r="AJ134" s="26"/>
      <c r="AK134" s="26"/>
      <c r="AL134" s="26"/>
      <c r="AM134" s="26"/>
      <c r="AN134" s="26"/>
    </row>
    <row r="135" spans="1:40" s="19" customFormat="1" x14ac:dyDescent="0.3">
      <c r="A135" s="39">
        <v>45937</v>
      </c>
      <c r="B135" s="69"/>
      <c r="C135" s="28"/>
      <c r="D135" s="28">
        <v>28014</v>
      </c>
      <c r="E135" s="28">
        <v>2</v>
      </c>
      <c r="F135" s="50" t="s">
        <v>61</v>
      </c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2"/>
      <c r="U135" s="56" t="s">
        <v>63</v>
      </c>
      <c r="V135" s="57"/>
      <c r="W135" s="57"/>
      <c r="X135" s="57"/>
      <c r="Y135" s="57"/>
      <c r="Z135" s="57"/>
      <c r="AA135" s="57"/>
      <c r="AB135" s="58"/>
      <c r="AC135" s="33"/>
      <c r="AD135" s="34"/>
      <c r="AE135" s="34"/>
      <c r="AF135" s="34"/>
      <c r="AG135" s="34"/>
      <c r="AH135" s="35"/>
      <c r="AI135" s="26"/>
      <c r="AJ135" s="26"/>
      <c r="AK135" s="26"/>
      <c r="AL135" s="26"/>
      <c r="AM135" s="26"/>
      <c r="AN135" s="26"/>
    </row>
    <row r="136" spans="1:40" s="19" customFormat="1" x14ac:dyDescent="0.3">
      <c r="A136" s="39">
        <v>45937</v>
      </c>
      <c r="B136" s="69"/>
      <c r="C136" s="28"/>
      <c r="D136" s="28">
        <v>4008</v>
      </c>
      <c r="E136" s="28">
        <v>1</v>
      </c>
      <c r="F136" s="50" t="s">
        <v>59</v>
      </c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2"/>
      <c r="U136" s="56" t="s">
        <v>60</v>
      </c>
      <c r="V136" s="57"/>
      <c r="W136" s="57"/>
      <c r="X136" s="57"/>
      <c r="Y136" s="57"/>
      <c r="Z136" s="57"/>
      <c r="AA136" s="57"/>
      <c r="AB136" s="58"/>
      <c r="AC136" s="33"/>
      <c r="AD136" s="34"/>
      <c r="AE136" s="34"/>
      <c r="AF136" s="34"/>
      <c r="AG136" s="34"/>
      <c r="AH136" s="35"/>
      <c r="AI136" s="26"/>
      <c r="AJ136" s="26"/>
      <c r="AK136" s="26"/>
      <c r="AL136" s="26"/>
      <c r="AM136" s="26"/>
      <c r="AN136" s="26"/>
    </row>
    <row r="137" spans="1:40" s="19" customFormat="1" x14ac:dyDescent="0.3">
      <c r="A137" s="39">
        <v>45937</v>
      </c>
      <c r="B137" s="69"/>
      <c r="C137" s="28"/>
      <c r="D137" s="28">
        <v>5007</v>
      </c>
      <c r="E137" s="28">
        <v>1</v>
      </c>
      <c r="F137" s="50" t="s">
        <v>58</v>
      </c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2"/>
      <c r="U137" s="56" t="s">
        <v>60</v>
      </c>
      <c r="V137" s="57"/>
      <c r="W137" s="57"/>
      <c r="X137" s="57"/>
      <c r="Y137" s="57"/>
      <c r="Z137" s="57"/>
      <c r="AA137" s="57"/>
      <c r="AB137" s="58"/>
      <c r="AC137" s="33"/>
      <c r="AD137" s="34"/>
      <c r="AE137" s="34"/>
      <c r="AF137" s="34"/>
      <c r="AG137" s="34"/>
      <c r="AH137" s="35"/>
      <c r="AI137" s="26"/>
      <c r="AJ137" s="26"/>
      <c r="AK137" s="26"/>
      <c r="AL137" s="26"/>
      <c r="AM137" s="26"/>
      <c r="AN137" s="26"/>
    </row>
    <row r="138" spans="1:40" s="19" customFormat="1" x14ac:dyDescent="0.3">
      <c r="A138" s="39">
        <v>45936</v>
      </c>
      <c r="B138" s="69">
        <v>20762</v>
      </c>
      <c r="C138" s="28"/>
      <c r="D138" s="28">
        <v>5007</v>
      </c>
      <c r="E138" s="28">
        <v>2</v>
      </c>
      <c r="F138" s="50" t="s">
        <v>58</v>
      </c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2"/>
      <c r="U138" s="56" t="s">
        <v>60</v>
      </c>
      <c r="V138" s="57"/>
      <c r="W138" s="57"/>
      <c r="X138" s="57"/>
      <c r="Y138" s="57"/>
      <c r="Z138" s="57"/>
      <c r="AA138" s="57"/>
      <c r="AB138" s="58"/>
      <c r="AC138" s="33"/>
      <c r="AD138" s="34"/>
      <c r="AE138" s="34"/>
      <c r="AF138" s="34"/>
      <c r="AG138" s="34"/>
      <c r="AH138" s="35"/>
      <c r="AI138" s="26"/>
      <c r="AJ138" s="26"/>
      <c r="AK138" s="26"/>
      <c r="AL138" s="26"/>
      <c r="AM138" s="26"/>
      <c r="AN138" s="26"/>
    </row>
    <row r="139" spans="1:40" s="19" customFormat="1" x14ac:dyDescent="0.3">
      <c r="A139" s="39">
        <v>45936</v>
      </c>
      <c r="B139" s="69"/>
      <c r="C139" s="28"/>
      <c r="D139" s="28">
        <v>18004</v>
      </c>
      <c r="E139" s="28">
        <v>1</v>
      </c>
      <c r="F139" s="50" t="s">
        <v>56</v>
      </c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2"/>
      <c r="U139" s="53" t="s">
        <v>57</v>
      </c>
      <c r="V139" s="57"/>
      <c r="W139" s="57"/>
      <c r="X139" s="57"/>
      <c r="Y139" s="57"/>
      <c r="Z139" s="57"/>
      <c r="AA139" s="57"/>
      <c r="AB139" s="58"/>
      <c r="AC139" s="33"/>
      <c r="AD139" s="34"/>
      <c r="AE139" s="34"/>
      <c r="AF139" s="34"/>
      <c r="AG139" s="34"/>
      <c r="AH139" s="35"/>
      <c r="AI139" s="26"/>
      <c r="AJ139" s="26"/>
      <c r="AK139" s="26"/>
      <c r="AL139" s="26"/>
      <c r="AM139" s="26"/>
      <c r="AN139" s="26"/>
    </row>
    <row r="140" spans="1:40" s="19" customFormat="1" ht="32.25" customHeight="1" x14ac:dyDescent="0.3">
      <c r="A140" s="39">
        <v>45936</v>
      </c>
      <c r="B140" s="69"/>
      <c r="C140" s="28"/>
      <c r="D140" s="28">
        <v>2134</v>
      </c>
      <c r="E140" s="28">
        <v>1</v>
      </c>
      <c r="F140" s="50" t="s">
        <v>47</v>
      </c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2"/>
      <c r="U140" s="62" t="s">
        <v>43</v>
      </c>
      <c r="V140" s="57"/>
      <c r="W140" s="57"/>
      <c r="X140" s="57"/>
      <c r="Y140" s="57"/>
      <c r="Z140" s="57"/>
      <c r="AA140" s="57"/>
      <c r="AB140" s="58"/>
      <c r="AC140" s="33"/>
      <c r="AD140" s="34"/>
      <c r="AE140" s="34"/>
      <c r="AF140" s="34"/>
      <c r="AG140" s="34"/>
      <c r="AH140" s="35"/>
      <c r="AI140" s="26"/>
      <c r="AJ140" s="26"/>
      <c r="AK140" s="26"/>
      <c r="AL140" s="26"/>
      <c r="AM140" s="26"/>
      <c r="AN140" s="26"/>
    </row>
    <row r="141" spans="1:40" s="19" customFormat="1" x14ac:dyDescent="0.3">
      <c r="A141" s="39">
        <v>45936</v>
      </c>
      <c r="B141" s="69"/>
      <c r="C141" s="28"/>
      <c r="D141" s="28">
        <v>18002</v>
      </c>
      <c r="E141" s="28">
        <v>4</v>
      </c>
      <c r="F141" s="50" t="s">
        <v>40</v>
      </c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2"/>
      <c r="U141" s="53" t="s">
        <v>41</v>
      </c>
      <c r="V141" s="54"/>
      <c r="W141" s="54"/>
      <c r="X141" s="54"/>
      <c r="Y141" s="54"/>
      <c r="Z141" s="54"/>
      <c r="AA141" s="54"/>
      <c r="AB141" s="55"/>
      <c r="AC141" s="33"/>
      <c r="AD141" s="34"/>
      <c r="AE141" s="34"/>
      <c r="AF141" s="34"/>
      <c r="AG141" s="34"/>
      <c r="AH141" s="35"/>
      <c r="AI141" s="26"/>
      <c r="AJ141" s="26"/>
      <c r="AK141" s="26"/>
      <c r="AL141" s="26"/>
      <c r="AM141" s="26"/>
      <c r="AN141" s="26"/>
    </row>
    <row r="142" spans="1:40" s="19" customFormat="1" x14ac:dyDescent="0.3">
      <c r="A142" s="39">
        <v>45935</v>
      </c>
      <c r="B142" s="69">
        <v>19902</v>
      </c>
      <c r="C142" s="28"/>
      <c r="D142" s="28">
        <v>258</v>
      </c>
      <c r="E142" s="28">
        <v>1</v>
      </c>
      <c r="F142" s="50" t="s">
        <v>55</v>
      </c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2"/>
      <c r="U142" s="53" t="s">
        <v>54</v>
      </c>
      <c r="V142" s="57"/>
      <c r="W142" s="57"/>
      <c r="X142" s="57"/>
      <c r="Y142" s="57"/>
      <c r="Z142" s="57"/>
      <c r="AA142" s="57"/>
      <c r="AB142" s="58"/>
      <c r="AC142" s="33"/>
      <c r="AD142" s="34"/>
      <c r="AE142" s="34"/>
      <c r="AF142" s="34"/>
      <c r="AG142" s="34"/>
      <c r="AH142" s="35"/>
      <c r="AI142" s="26"/>
      <c r="AJ142" s="26"/>
      <c r="AK142" s="26"/>
      <c r="AL142" s="26"/>
      <c r="AM142" s="26"/>
      <c r="AN142" s="26"/>
    </row>
    <row r="143" spans="1:40" s="19" customFormat="1" x14ac:dyDescent="0.3">
      <c r="A143" s="39">
        <v>45935</v>
      </c>
      <c r="B143" s="69"/>
      <c r="C143" s="28"/>
      <c r="D143" s="28">
        <v>28003</v>
      </c>
      <c r="E143" s="28">
        <v>1</v>
      </c>
      <c r="F143" s="50" t="s">
        <v>37</v>
      </c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2"/>
      <c r="U143" s="63" t="s">
        <v>51</v>
      </c>
      <c r="V143" s="65"/>
      <c r="W143" s="65"/>
      <c r="X143" s="65"/>
      <c r="Y143" s="65"/>
      <c r="Z143" s="65"/>
      <c r="AA143" s="65"/>
      <c r="AB143" s="66"/>
      <c r="AC143" s="33"/>
      <c r="AD143" s="34"/>
      <c r="AE143" s="34"/>
      <c r="AF143" s="34"/>
      <c r="AG143" s="34"/>
      <c r="AH143" s="35"/>
      <c r="AI143" s="26"/>
      <c r="AJ143" s="26"/>
      <c r="AK143" s="26"/>
      <c r="AL143" s="26"/>
      <c r="AM143" s="26"/>
      <c r="AN143" s="26"/>
    </row>
    <row r="144" spans="1:40" s="19" customFormat="1" x14ac:dyDescent="0.3">
      <c r="A144" s="39">
        <v>45935</v>
      </c>
      <c r="B144" s="69"/>
      <c r="C144" s="28"/>
      <c r="D144" s="28">
        <v>28014</v>
      </c>
      <c r="E144" s="28">
        <v>1</v>
      </c>
      <c r="F144" s="50" t="s">
        <v>45</v>
      </c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2"/>
      <c r="U144" s="56" t="s">
        <v>49</v>
      </c>
      <c r="V144" s="57"/>
      <c r="W144" s="57"/>
      <c r="X144" s="57"/>
      <c r="Y144" s="57"/>
      <c r="Z144" s="57"/>
      <c r="AA144" s="57"/>
      <c r="AB144" s="58"/>
      <c r="AC144" s="33"/>
      <c r="AD144" s="34"/>
      <c r="AE144" s="34"/>
      <c r="AF144" s="34"/>
      <c r="AG144" s="34"/>
      <c r="AH144" s="35"/>
      <c r="AI144" s="26"/>
      <c r="AJ144" s="26"/>
      <c r="AK144" s="26"/>
      <c r="AL144" s="26"/>
      <c r="AM144" s="26"/>
      <c r="AN144" s="26"/>
    </row>
    <row r="145" spans="1:40" s="19" customFormat="1" x14ac:dyDescent="0.3">
      <c r="A145" s="39">
        <v>45935</v>
      </c>
      <c r="B145" s="69"/>
      <c r="C145" s="28"/>
      <c r="D145" s="28">
        <v>18002</v>
      </c>
      <c r="E145" s="28">
        <v>1</v>
      </c>
      <c r="F145" s="50" t="s">
        <v>40</v>
      </c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2"/>
      <c r="U145" s="53" t="s">
        <v>41</v>
      </c>
      <c r="V145" s="54"/>
      <c r="W145" s="54"/>
      <c r="X145" s="54"/>
      <c r="Y145" s="54"/>
      <c r="Z145" s="54"/>
      <c r="AA145" s="54"/>
      <c r="AB145" s="55"/>
      <c r="AC145" s="33"/>
      <c r="AD145" s="34"/>
      <c r="AE145" s="34"/>
      <c r="AF145" s="34"/>
      <c r="AG145" s="34"/>
      <c r="AH145" s="35"/>
      <c r="AI145" s="26"/>
      <c r="AJ145" s="26"/>
      <c r="AK145" s="26"/>
      <c r="AL145" s="26"/>
      <c r="AM145" s="26"/>
      <c r="AN145" s="26"/>
    </row>
    <row r="146" spans="1:40" s="19" customFormat="1" x14ac:dyDescent="0.3">
      <c r="A146" s="39">
        <v>45934</v>
      </c>
      <c r="B146" s="69">
        <v>27066</v>
      </c>
      <c r="C146" s="28"/>
      <c r="D146" s="28">
        <v>2303</v>
      </c>
      <c r="E146" s="28">
        <v>1</v>
      </c>
      <c r="F146" s="50" t="s">
        <v>48</v>
      </c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2"/>
      <c r="U146" s="63" t="s">
        <v>53</v>
      </c>
      <c r="V146" s="57"/>
      <c r="W146" s="57"/>
      <c r="X146" s="57"/>
      <c r="Y146" s="57"/>
      <c r="Z146" s="57"/>
      <c r="AA146" s="57"/>
      <c r="AB146" s="58"/>
      <c r="AC146" s="70"/>
      <c r="AD146" s="71"/>
      <c r="AE146" s="71"/>
      <c r="AF146" s="71"/>
      <c r="AG146" s="71"/>
      <c r="AH146" s="72"/>
      <c r="AI146" s="26"/>
      <c r="AJ146" s="26"/>
      <c r="AK146" s="26"/>
      <c r="AL146" s="26"/>
      <c r="AM146" s="26"/>
      <c r="AN146" s="26"/>
    </row>
    <row r="147" spans="1:40" s="19" customFormat="1" ht="33.75" customHeight="1" x14ac:dyDescent="0.3">
      <c r="A147" s="39">
        <v>45934</v>
      </c>
      <c r="B147" s="69"/>
      <c r="C147" s="28"/>
      <c r="D147" s="28">
        <v>2134</v>
      </c>
      <c r="E147" s="28">
        <v>1</v>
      </c>
      <c r="F147" s="50" t="s">
        <v>47</v>
      </c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2"/>
      <c r="U147" s="62" t="s">
        <v>43</v>
      </c>
      <c r="V147" s="57"/>
      <c r="W147" s="57"/>
      <c r="X147" s="57"/>
      <c r="Y147" s="57"/>
      <c r="Z147" s="57"/>
      <c r="AA147" s="57"/>
      <c r="AB147" s="58"/>
      <c r="AC147" s="70"/>
      <c r="AD147" s="71"/>
      <c r="AE147" s="71"/>
      <c r="AF147" s="71"/>
      <c r="AG147" s="71"/>
      <c r="AH147" s="72"/>
      <c r="AI147" s="26"/>
      <c r="AJ147" s="26"/>
      <c r="AK147" s="26"/>
      <c r="AL147" s="26"/>
      <c r="AM147" s="26"/>
      <c r="AN147" s="26"/>
    </row>
    <row r="148" spans="1:40" s="19" customFormat="1" x14ac:dyDescent="0.3">
      <c r="A148" s="39">
        <v>45934</v>
      </c>
      <c r="B148" s="69"/>
      <c r="C148" s="28"/>
      <c r="D148" s="28">
        <v>12384</v>
      </c>
      <c r="E148" s="28">
        <v>2</v>
      </c>
      <c r="F148" s="50" t="s">
        <v>46</v>
      </c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2"/>
      <c r="U148" s="56" t="s">
        <v>52</v>
      </c>
      <c r="V148" s="57"/>
      <c r="W148" s="57"/>
      <c r="X148" s="57"/>
      <c r="Y148" s="57"/>
      <c r="Z148" s="57"/>
      <c r="AA148" s="57"/>
      <c r="AB148" s="58"/>
      <c r="AC148" s="70"/>
      <c r="AD148" s="71"/>
      <c r="AE148" s="71"/>
      <c r="AF148" s="71"/>
      <c r="AG148" s="71"/>
      <c r="AH148" s="72"/>
      <c r="AI148" s="26"/>
      <c r="AJ148" s="26"/>
      <c r="AK148" s="26"/>
      <c r="AL148" s="26"/>
      <c r="AM148" s="26"/>
      <c r="AN148" s="26"/>
    </row>
    <row r="149" spans="1:40" s="19" customFormat="1" x14ac:dyDescent="0.3">
      <c r="A149" s="39">
        <v>45934</v>
      </c>
      <c r="B149" s="69"/>
      <c r="C149" s="28"/>
      <c r="D149" s="28">
        <v>18002</v>
      </c>
      <c r="E149" s="28">
        <v>3</v>
      </c>
      <c r="F149" s="50" t="s">
        <v>40</v>
      </c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2"/>
      <c r="U149" s="53" t="s">
        <v>41</v>
      </c>
      <c r="V149" s="54"/>
      <c r="W149" s="54"/>
      <c r="X149" s="54"/>
      <c r="Y149" s="54"/>
      <c r="Z149" s="54"/>
      <c r="AA149" s="54"/>
      <c r="AB149" s="55"/>
      <c r="AC149" s="70"/>
      <c r="AD149" s="71"/>
      <c r="AE149" s="71"/>
      <c r="AF149" s="71"/>
      <c r="AG149" s="71"/>
      <c r="AH149" s="72"/>
      <c r="AI149" s="26"/>
      <c r="AJ149" s="26"/>
      <c r="AK149" s="26"/>
      <c r="AL149" s="26"/>
      <c r="AM149" s="26"/>
      <c r="AN149" s="26"/>
    </row>
    <row r="150" spans="1:40" s="19" customFormat="1" x14ac:dyDescent="0.3">
      <c r="A150" s="39">
        <v>45934</v>
      </c>
      <c r="B150" s="69"/>
      <c r="C150" s="28"/>
      <c r="D150" s="28">
        <v>38013</v>
      </c>
      <c r="E150" s="28">
        <v>1</v>
      </c>
      <c r="F150" s="50" t="s">
        <v>45</v>
      </c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2"/>
      <c r="U150" s="56" t="s">
        <v>36</v>
      </c>
      <c r="V150" s="57"/>
      <c r="W150" s="57"/>
      <c r="X150" s="57"/>
      <c r="Y150" s="57"/>
      <c r="Z150" s="57"/>
      <c r="AA150" s="57"/>
      <c r="AB150" s="58"/>
      <c r="AC150" s="33"/>
      <c r="AD150" s="34"/>
      <c r="AE150" s="34"/>
      <c r="AF150" s="34"/>
      <c r="AG150" s="34"/>
      <c r="AH150" s="35"/>
      <c r="AI150" s="26"/>
      <c r="AJ150" s="26"/>
      <c r="AK150" s="26"/>
      <c r="AL150" s="26"/>
      <c r="AM150" s="26"/>
      <c r="AN150" s="26"/>
    </row>
    <row r="151" spans="1:40" s="19" customFormat="1" ht="33.75" customHeight="1" x14ac:dyDescent="0.3">
      <c r="A151" s="39">
        <v>45934</v>
      </c>
      <c r="B151" s="69"/>
      <c r="C151" s="28"/>
      <c r="D151" s="28">
        <v>2130</v>
      </c>
      <c r="E151" s="28">
        <v>2</v>
      </c>
      <c r="F151" s="50" t="s">
        <v>44</v>
      </c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2"/>
      <c r="U151" s="62" t="s">
        <v>43</v>
      </c>
      <c r="V151" s="57"/>
      <c r="W151" s="57"/>
      <c r="X151" s="57"/>
      <c r="Y151" s="57"/>
      <c r="Z151" s="57"/>
      <c r="AA151" s="57"/>
      <c r="AB151" s="58"/>
      <c r="AC151" s="33"/>
      <c r="AD151" s="34"/>
      <c r="AE151" s="34"/>
      <c r="AF151" s="34"/>
      <c r="AG151" s="34"/>
      <c r="AH151" s="35"/>
      <c r="AI151" s="26"/>
      <c r="AJ151" s="26"/>
      <c r="AK151" s="26"/>
      <c r="AL151" s="26"/>
      <c r="AM151" s="26"/>
      <c r="AN151" s="26"/>
    </row>
    <row r="152" spans="1:40" s="19" customFormat="1" x14ac:dyDescent="0.3">
      <c r="A152" s="39">
        <v>45934</v>
      </c>
      <c r="B152" s="69"/>
      <c r="C152" s="28"/>
      <c r="D152" s="28">
        <v>28003</v>
      </c>
      <c r="E152" s="28">
        <v>1</v>
      </c>
      <c r="F152" s="50" t="s">
        <v>37</v>
      </c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2"/>
      <c r="U152" s="63" t="s">
        <v>51</v>
      </c>
      <c r="V152" s="65"/>
      <c r="W152" s="65"/>
      <c r="X152" s="65"/>
      <c r="Y152" s="65"/>
      <c r="Z152" s="65"/>
      <c r="AA152" s="65"/>
      <c r="AB152" s="66"/>
      <c r="AC152" s="33"/>
      <c r="AD152" s="34"/>
      <c r="AE152" s="34"/>
      <c r="AF152" s="34"/>
      <c r="AG152" s="34"/>
      <c r="AH152" s="35"/>
      <c r="AI152" s="26"/>
      <c r="AJ152" s="26"/>
      <c r="AK152" s="26"/>
      <c r="AL152" s="26"/>
      <c r="AM152" s="26"/>
      <c r="AN152" s="26"/>
    </row>
    <row r="153" spans="1:40" s="19" customFormat="1" x14ac:dyDescent="0.3">
      <c r="A153" s="39">
        <v>45933</v>
      </c>
      <c r="B153" s="69">
        <v>24442</v>
      </c>
      <c r="C153" s="28"/>
      <c r="D153" s="28">
        <v>28014</v>
      </c>
      <c r="E153" s="28">
        <v>1</v>
      </c>
      <c r="F153" s="50" t="s">
        <v>45</v>
      </c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2"/>
      <c r="U153" s="56" t="s">
        <v>49</v>
      </c>
      <c r="V153" s="57"/>
      <c r="W153" s="57"/>
      <c r="X153" s="57"/>
      <c r="Y153" s="57"/>
      <c r="Z153" s="57"/>
      <c r="AA153" s="57"/>
      <c r="AB153" s="58"/>
      <c r="AC153" s="33"/>
      <c r="AD153" s="34"/>
      <c r="AE153" s="34"/>
      <c r="AF153" s="34"/>
      <c r="AG153" s="34"/>
      <c r="AH153" s="35"/>
      <c r="AI153" s="26"/>
      <c r="AJ153" s="26"/>
      <c r="AK153" s="26"/>
      <c r="AL153" s="26"/>
      <c r="AM153" s="26"/>
      <c r="AN153" s="26"/>
    </row>
    <row r="154" spans="1:40" s="19" customFormat="1" x14ac:dyDescent="0.3">
      <c r="A154" s="39">
        <v>45933</v>
      </c>
      <c r="B154" s="69"/>
      <c r="C154" s="28"/>
      <c r="D154" s="28">
        <v>18002</v>
      </c>
      <c r="E154" s="28">
        <v>2</v>
      </c>
      <c r="F154" s="50" t="s">
        <v>40</v>
      </c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2"/>
      <c r="U154" s="53" t="s">
        <v>41</v>
      </c>
      <c r="V154" s="54"/>
      <c r="W154" s="54"/>
      <c r="X154" s="54"/>
      <c r="Y154" s="54"/>
      <c r="Z154" s="54"/>
      <c r="AA154" s="54"/>
      <c r="AB154" s="55"/>
      <c r="AC154" s="33"/>
      <c r="AD154" s="34"/>
      <c r="AE154" s="34"/>
      <c r="AF154" s="34"/>
      <c r="AG154" s="34"/>
      <c r="AH154" s="35"/>
      <c r="AI154" s="26"/>
      <c r="AJ154" s="26"/>
      <c r="AK154" s="26"/>
      <c r="AL154" s="26"/>
      <c r="AM154" s="26"/>
      <c r="AN154" s="26"/>
    </row>
    <row r="155" spans="1:40" s="19" customFormat="1" x14ac:dyDescent="0.3">
      <c r="A155" s="39">
        <v>45933</v>
      </c>
      <c r="B155" s="69"/>
      <c r="C155" s="28"/>
      <c r="D155" s="28">
        <v>5034</v>
      </c>
      <c r="E155" s="28">
        <v>1</v>
      </c>
      <c r="F155" s="64" t="s">
        <v>39</v>
      </c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2"/>
      <c r="U155" s="63" t="s">
        <v>50</v>
      </c>
      <c r="V155" s="65"/>
      <c r="W155" s="65"/>
      <c r="X155" s="65"/>
      <c r="Y155" s="65"/>
      <c r="Z155" s="65"/>
      <c r="AA155" s="65"/>
      <c r="AB155" s="66"/>
      <c r="AC155" s="33"/>
      <c r="AD155" s="34"/>
      <c r="AE155" s="34"/>
      <c r="AF155" s="34"/>
      <c r="AG155" s="34"/>
      <c r="AH155" s="35"/>
      <c r="AI155" s="26"/>
      <c r="AJ155" s="26"/>
      <c r="AK155" s="26"/>
      <c r="AL155" s="26"/>
      <c r="AM155" s="26"/>
      <c r="AN155" s="26"/>
    </row>
    <row r="156" spans="1:40" s="19" customFormat="1" x14ac:dyDescent="0.3">
      <c r="A156" s="39">
        <v>45933</v>
      </c>
      <c r="B156" s="69"/>
      <c r="C156" s="28"/>
      <c r="D156" s="28">
        <v>28003</v>
      </c>
      <c r="E156" s="28">
        <v>4</v>
      </c>
      <c r="F156" s="50" t="s">
        <v>37</v>
      </c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2"/>
      <c r="U156" s="53" t="s">
        <v>38</v>
      </c>
      <c r="V156" s="65"/>
      <c r="W156" s="65"/>
      <c r="X156" s="65"/>
      <c r="Y156" s="65"/>
      <c r="Z156" s="65"/>
      <c r="AA156" s="65"/>
      <c r="AB156" s="66"/>
      <c r="AC156" s="70"/>
      <c r="AD156" s="71"/>
      <c r="AE156" s="71"/>
      <c r="AF156" s="71"/>
      <c r="AG156" s="71"/>
      <c r="AH156" s="72"/>
      <c r="AI156" s="26"/>
      <c r="AJ156" s="26"/>
      <c r="AK156" s="26"/>
      <c r="AL156" s="26"/>
      <c r="AM156" s="26"/>
      <c r="AN156" s="26"/>
    </row>
    <row r="157" spans="1:40" s="19" customFormat="1" x14ac:dyDescent="0.3">
      <c r="A157" s="39">
        <v>45932</v>
      </c>
      <c r="B157" s="40">
        <v>1600</v>
      </c>
      <c r="C157" s="28"/>
      <c r="D157" s="28"/>
      <c r="E157" s="28">
        <v>0</v>
      </c>
      <c r="F157" s="64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2"/>
      <c r="U157" s="63"/>
      <c r="V157" s="65"/>
      <c r="W157" s="65"/>
      <c r="X157" s="65"/>
      <c r="Y157" s="65"/>
      <c r="Z157" s="65"/>
      <c r="AA157" s="65"/>
      <c r="AB157" s="66"/>
      <c r="AC157" s="70"/>
      <c r="AD157" s="71"/>
      <c r="AE157" s="71"/>
      <c r="AF157" s="71"/>
      <c r="AG157" s="71"/>
      <c r="AH157" s="72"/>
      <c r="AI157" s="26"/>
      <c r="AJ157" s="26"/>
      <c r="AK157" s="26"/>
      <c r="AL157" s="26"/>
      <c r="AM157" s="26"/>
      <c r="AN157" s="26"/>
    </row>
    <row r="158" spans="1:40" s="19" customFormat="1" x14ac:dyDescent="0.3">
      <c r="A158" s="39">
        <v>45931</v>
      </c>
      <c r="B158" s="40">
        <v>2038</v>
      </c>
      <c r="C158" s="28"/>
      <c r="D158" s="28">
        <v>38013</v>
      </c>
      <c r="E158" s="28">
        <v>1</v>
      </c>
      <c r="F158" s="50" t="s">
        <v>35</v>
      </c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2"/>
      <c r="U158" s="56" t="s">
        <v>36</v>
      </c>
      <c r="V158" s="57"/>
      <c r="W158" s="57"/>
      <c r="X158" s="57"/>
      <c r="Y158" s="57"/>
      <c r="Z158" s="57"/>
      <c r="AA158" s="57"/>
      <c r="AB158" s="58"/>
      <c r="AC158" s="70"/>
      <c r="AD158" s="71"/>
      <c r="AE158" s="71"/>
      <c r="AF158" s="71"/>
      <c r="AG158" s="71"/>
      <c r="AH158" s="72"/>
      <c r="AI158" s="26"/>
      <c r="AJ158" s="26"/>
      <c r="AK158" s="26"/>
      <c r="AL158" s="26"/>
      <c r="AM158" s="26"/>
      <c r="AN158" s="26"/>
    </row>
    <row r="159" spans="1:40" s="19" customFormat="1" x14ac:dyDescent="0.3">
      <c r="A159" s="5"/>
      <c r="B159" s="36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37"/>
      <c r="AF159" s="26"/>
      <c r="AG159" s="26"/>
      <c r="AH159" s="26"/>
      <c r="AI159" s="26"/>
      <c r="AJ159" s="26"/>
    </row>
    <row r="160" spans="1:40" s="19" customFormat="1" x14ac:dyDescent="0.3">
      <c r="A160" s="5"/>
      <c r="B160" s="36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37"/>
      <c r="AF160" s="26"/>
      <c r="AG160" s="26"/>
      <c r="AH160" s="26"/>
      <c r="AI160" s="26"/>
      <c r="AJ160" s="26"/>
    </row>
    <row r="161" spans="1:36" s="19" customFormat="1" x14ac:dyDescent="0.3">
      <c r="A161" s="5"/>
      <c r="B161" s="36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37"/>
      <c r="AF161" s="26"/>
      <c r="AG161" s="26"/>
      <c r="AH161" s="26"/>
      <c r="AI161" s="26"/>
      <c r="AJ161" s="26"/>
    </row>
    <row r="162" spans="1:36" s="19" customFormat="1" x14ac:dyDescent="0.3">
      <c r="A162" s="5"/>
      <c r="B162" s="36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37"/>
      <c r="AF162" s="26"/>
      <c r="AG162" s="26"/>
      <c r="AH162" s="26"/>
      <c r="AI162" s="26"/>
      <c r="AJ162" s="26"/>
    </row>
    <row r="163" spans="1:36" s="19" customFormat="1" x14ac:dyDescent="0.3">
      <c r="A163" s="5"/>
      <c r="B163" s="36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37"/>
      <c r="AF163" s="26"/>
      <c r="AG163" s="26"/>
      <c r="AH163" s="26"/>
      <c r="AI163" s="26"/>
      <c r="AJ163" s="26"/>
    </row>
    <row r="164" spans="1:36" s="19" customFormat="1" x14ac:dyDescent="0.3">
      <c r="A164" s="5"/>
      <c r="B164" s="36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37"/>
      <c r="AF164" s="26"/>
      <c r="AG164" s="26"/>
      <c r="AH164" s="26"/>
      <c r="AI164" s="26"/>
      <c r="AJ164" s="26"/>
    </row>
    <row r="165" spans="1:36" s="19" customFormat="1" x14ac:dyDescent="0.3">
      <c r="A165" s="5"/>
      <c r="B165" s="36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37"/>
      <c r="AF165" s="26"/>
      <c r="AG165" s="26"/>
      <c r="AH165" s="26"/>
      <c r="AI165" s="26"/>
      <c r="AJ165" s="26"/>
    </row>
    <row r="166" spans="1:36" s="19" customFormat="1" x14ac:dyDescent="0.3">
      <c r="A166" s="5"/>
      <c r="B166" s="36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37"/>
      <c r="AF166" s="26"/>
      <c r="AG166" s="26"/>
      <c r="AH166" s="26"/>
      <c r="AI166" s="26"/>
      <c r="AJ166" s="26"/>
    </row>
    <row r="167" spans="1:36" s="19" customFormat="1" x14ac:dyDescent="0.3">
      <c r="A167" s="5"/>
      <c r="B167" s="36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37"/>
      <c r="AF167" s="26"/>
      <c r="AG167" s="26"/>
      <c r="AH167" s="26"/>
      <c r="AI167" s="26"/>
      <c r="AJ167" s="26"/>
    </row>
    <row r="168" spans="1:36" s="19" customFormat="1" x14ac:dyDescent="0.3">
      <c r="A168" s="5"/>
      <c r="B168" s="36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37"/>
      <c r="AF168" s="26"/>
      <c r="AG168" s="26"/>
      <c r="AH168" s="26"/>
      <c r="AI168" s="26"/>
      <c r="AJ168" s="26"/>
    </row>
    <row r="169" spans="1:36" s="19" customFormat="1" x14ac:dyDescent="0.3">
      <c r="A169" s="5"/>
      <c r="B169" s="36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37"/>
      <c r="AF169" s="26"/>
      <c r="AG169" s="26"/>
      <c r="AH169" s="26"/>
      <c r="AI169" s="26"/>
      <c r="AJ169" s="26"/>
    </row>
    <row r="170" spans="1:36" s="19" customFormat="1" x14ac:dyDescent="0.3">
      <c r="A170" s="5"/>
      <c r="B170" s="36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37"/>
      <c r="AF170" s="26"/>
      <c r="AG170" s="26"/>
      <c r="AH170" s="26"/>
      <c r="AI170" s="26"/>
      <c r="AJ170" s="26"/>
    </row>
    <row r="171" spans="1:36" s="19" customFormat="1" x14ac:dyDescent="0.3">
      <c r="A171" s="5"/>
      <c r="B171" s="36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37"/>
      <c r="AF171" s="26"/>
      <c r="AG171" s="26"/>
      <c r="AH171" s="26"/>
      <c r="AI171" s="26"/>
      <c r="AJ171" s="26"/>
    </row>
    <row r="172" spans="1:36" s="19" customFormat="1" x14ac:dyDescent="0.3">
      <c r="A172" s="5"/>
      <c r="B172" s="36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37"/>
      <c r="AF172" s="26"/>
      <c r="AG172" s="26"/>
      <c r="AH172" s="26"/>
      <c r="AI172" s="26"/>
      <c r="AJ172" s="26"/>
    </row>
    <row r="173" spans="1:36" s="19" customFormat="1" x14ac:dyDescent="0.3">
      <c r="A173" s="5"/>
      <c r="B173" s="36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37"/>
      <c r="AF173" s="26"/>
      <c r="AG173" s="26"/>
      <c r="AH173" s="26"/>
      <c r="AI173" s="26"/>
      <c r="AJ173" s="26"/>
    </row>
    <row r="174" spans="1:36" s="19" customFormat="1" x14ac:dyDescent="0.3">
      <c r="A174" s="5"/>
      <c r="B174" s="36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37"/>
      <c r="AF174" s="26"/>
      <c r="AG174" s="26"/>
      <c r="AH174" s="26"/>
      <c r="AI174" s="26"/>
      <c r="AJ174" s="26"/>
    </row>
    <row r="175" spans="1:36" s="19" customFormat="1" x14ac:dyDescent="0.3">
      <c r="A175" s="5"/>
      <c r="B175" s="36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37"/>
      <c r="AF175" s="26"/>
      <c r="AG175" s="26"/>
      <c r="AH175" s="26"/>
      <c r="AI175" s="26"/>
      <c r="AJ175" s="26"/>
    </row>
    <row r="176" spans="1:36" s="19" customFormat="1" x14ac:dyDescent="0.3">
      <c r="A176" s="5"/>
      <c r="B176" s="36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37"/>
      <c r="AF176" s="26"/>
      <c r="AG176" s="26"/>
      <c r="AH176" s="26"/>
      <c r="AI176" s="26"/>
      <c r="AJ176" s="26"/>
    </row>
    <row r="177" spans="1:36" s="19" customFormat="1" x14ac:dyDescent="0.3">
      <c r="A177" s="5"/>
      <c r="B177" s="36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37"/>
      <c r="AF177" s="26"/>
      <c r="AG177" s="26"/>
      <c r="AH177" s="26"/>
      <c r="AI177" s="26"/>
      <c r="AJ177" s="26"/>
    </row>
    <row r="178" spans="1:36" s="19" customFormat="1" x14ac:dyDescent="0.3">
      <c r="A178" s="5"/>
      <c r="B178" s="36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37"/>
      <c r="AF178" s="26"/>
      <c r="AG178" s="26"/>
      <c r="AH178" s="26"/>
      <c r="AI178" s="26"/>
      <c r="AJ178" s="26"/>
    </row>
    <row r="179" spans="1:36" s="19" customFormat="1" x14ac:dyDescent="0.3">
      <c r="A179" s="5"/>
      <c r="B179" s="36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37"/>
      <c r="AF179" s="26"/>
      <c r="AG179" s="26"/>
      <c r="AH179" s="26"/>
      <c r="AI179" s="26"/>
      <c r="AJ179" s="26"/>
    </row>
    <row r="180" spans="1:36" s="19" customFormat="1" x14ac:dyDescent="0.3">
      <c r="A180" s="5"/>
      <c r="B180" s="36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37"/>
      <c r="AF180" s="26"/>
      <c r="AG180" s="26"/>
      <c r="AH180" s="26"/>
      <c r="AI180" s="26"/>
      <c r="AJ180" s="26"/>
    </row>
    <row r="181" spans="1:36" s="19" customFormat="1" x14ac:dyDescent="0.3">
      <c r="A181" s="5"/>
      <c r="B181" s="36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37"/>
      <c r="AF181" s="26"/>
      <c r="AG181" s="26"/>
      <c r="AH181" s="26"/>
      <c r="AI181" s="26"/>
      <c r="AJ181" s="26"/>
    </row>
    <row r="182" spans="1:36" s="19" customFormat="1" x14ac:dyDescent="0.3">
      <c r="A182" s="5"/>
      <c r="B182" s="36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37"/>
      <c r="AF182" s="26"/>
      <c r="AG182" s="26"/>
      <c r="AH182" s="26"/>
      <c r="AI182" s="26"/>
      <c r="AJ182" s="26"/>
    </row>
    <row r="183" spans="1:36" s="19" customFormat="1" x14ac:dyDescent="0.3">
      <c r="A183" s="5"/>
      <c r="B183" s="36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37"/>
      <c r="AF183" s="26"/>
      <c r="AG183" s="26"/>
      <c r="AH183" s="26"/>
      <c r="AI183" s="26"/>
      <c r="AJ183" s="26"/>
    </row>
    <row r="184" spans="1:36" s="19" customFormat="1" x14ac:dyDescent="0.3">
      <c r="A184" s="5"/>
      <c r="B184" s="36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37"/>
      <c r="AF184" s="26"/>
      <c r="AG184" s="26"/>
      <c r="AH184" s="26"/>
      <c r="AI184" s="26"/>
      <c r="AJ184" s="26"/>
    </row>
    <row r="185" spans="1:36" s="19" customFormat="1" x14ac:dyDescent="0.3">
      <c r="A185" s="5"/>
      <c r="B185" s="36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37"/>
      <c r="AF185" s="26"/>
      <c r="AG185" s="26"/>
      <c r="AH185" s="26"/>
      <c r="AI185" s="26"/>
      <c r="AJ185" s="26"/>
    </row>
    <row r="186" spans="1:36" s="19" customFormat="1" x14ac:dyDescent="0.3">
      <c r="A186" s="5"/>
      <c r="B186" s="36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37"/>
      <c r="AF186" s="26"/>
      <c r="AG186" s="26"/>
      <c r="AH186" s="26"/>
      <c r="AI186" s="26"/>
      <c r="AJ186" s="26"/>
    </row>
    <row r="187" spans="1:36" s="19" customFormat="1" x14ac:dyDescent="0.3">
      <c r="A187" s="5"/>
      <c r="B187" s="36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37"/>
      <c r="AF187" s="26"/>
      <c r="AG187" s="26"/>
      <c r="AH187" s="26"/>
      <c r="AI187" s="26"/>
      <c r="AJ187" s="26"/>
    </row>
    <row r="188" spans="1:36" s="19" customFormat="1" x14ac:dyDescent="0.3">
      <c r="A188" s="5"/>
      <c r="B188" s="36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37"/>
      <c r="AF188" s="26"/>
      <c r="AG188" s="26"/>
      <c r="AH188" s="26"/>
      <c r="AI188" s="26"/>
      <c r="AJ188" s="26"/>
    </row>
    <row r="189" spans="1:36" s="19" customFormat="1" x14ac:dyDescent="0.3">
      <c r="A189" s="5"/>
      <c r="B189" s="36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37"/>
      <c r="AF189" s="26"/>
      <c r="AG189" s="26"/>
      <c r="AH189" s="26"/>
      <c r="AI189" s="26"/>
      <c r="AJ189" s="26"/>
    </row>
    <row r="190" spans="1:36" s="19" customFormat="1" x14ac:dyDescent="0.3">
      <c r="A190" s="5"/>
      <c r="B190" s="36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37"/>
      <c r="AF190" s="26"/>
      <c r="AG190" s="26"/>
      <c r="AH190" s="26"/>
      <c r="AI190" s="26"/>
      <c r="AJ190" s="26"/>
    </row>
    <row r="191" spans="1:36" s="19" customFormat="1" x14ac:dyDescent="0.3">
      <c r="A191" s="5"/>
      <c r="B191" s="36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37"/>
      <c r="AF191" s="26"/>
      <c r="AG191" s="26"/>
      <c r="AH191" s="26"/>
      <c r="AI191" s="26"/>
      <c r="AJ191" s="26"/>
    </row>
    <row r="192" spans="1:36" s="19" customFormat="1" x14ac:dyDescent="0.3">
      <c r="A192" s="5"/>
      <c r="B192" s="36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37"/>
      <c r="AF192" s="26"/>
      <c r="AG192" s="26"/>
      <c r="AH192" s="26"/>
      <c r="AI192" s="26"/>
      <c r="AJ192" s="26"/>
    </row>
    <row r="193" spans="1:36" s="19" customFormat="1" x14ac:dyDescent="0.3">
      <c r="A193" s="5"/>
      <c r="B193" s="36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37"/>
      <c r="AF193" s="26"/>
      <c r="AG193" s="26"/>
      <c r="AH193" s="26"/>
      <c r="AI193" s="26"/>
      <c r="AJ193" s="26"/>
    </row>
    <row r="194" spans="1:36" s="19" customFormat="1" x14ac:dyDescent="0.3">
      <c r="A194" s="5"/>
      <c r="B194" s="36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37"/>
      <c r="AF194" s="26"/>
      <c r="AG194" s="26"/>
      <c r="AH194" s="26"/>
      <c r="AI194" s="26"/>
      <c r="AJ194" s="26"/>
    </row>
    <row r="195" spans="1:36" s="19" customFormat="1" x14ac:dyDescent="0.3">
      <c r="A195" s="5"/>
      <c r="B195" s="36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37"/>
      <c r="AF195" s="26"/>
      <c r="AG195" s="26"/>
      <c r="AH195" s="26"/>
      <c r="AI195" s="26"/>
      <c r="AJ195" s="26"/>
    </row>
    <row r="196" spans="1:36" s="19" customFormat="1" x14ac:dyDescent="0.3">
      <c r="A196" s="5"/>
      <c r="B196" s="36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37"/>
      <c r="AF196" s="26"/>
      <c r="AG196" s="26"/>
      <c r="AH196" s="26"/>
      <c r="AI196" s="26"/>
      <c r="AJ196" s="26"/>
    </row>
    <row r="197" spans="1:36" s="19" customFormat="1" x14ac:dyDescent="0.3">
      <c r="A197" s="5"/>
      <c r="B197" s="36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37"/>
      <c r="AF197" s="26"/>
      <c r="AG197" s="26"/>
      <c r="AH197" s="26"/>
      <c r="AI197" s="26"/>
      <c r="AJ197" s="26"/>
    </row>
    <row r="198" spans="1:36" s="19" customFormat="1" x14ac:dyDescent="0.3">
      <c r="A198" s="5"/>
      <c r="B198" s="36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37"/>
      <c r="AF198" s="26"/>
      <c r="AG198" s="26"/>
      <c r="AH198" s="26"/>
      <c r="AI198" s="26"/>
      <c r="AJ198" s="26"/>
    </row>
    <row r="199" spans="1:36" s="19" customFormat="1" x14ac:dyDescent="0.3">
      <c r="A199" s="5"/>
      <c r="B199" s="36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37"/>
      <c r="AF199" s="26"/>
      <c r="AG199" s="26"/>
      <c r="AH199" s="26"/>
      <c r="AI199" s="26"/>
      <c r="AJ199" s="26"/>
    </row>
    <row r="200" spans="1:36" s="19" customFormat="1" x14ac:dyDescent="0.3">
      <c r="A200" s="5"/>
      <c r="B200" s="36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37"/>
      <c r="AF200" s="26"/>
      <c r="AG200" s="26"/>
      <c r="AH200" s="26"/>
      <c r="AI200" s="26"/>
      <c r="AJ200" s="26"/>
    </row>
    <row r="201" spans="1:36" s="19" customFormat="1" x14ac:dyDescent="0.3">
      <c r="A201" s="5"/>
      <c r="B201" s="36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37"/>
      <c r="AF201" s="26"/>
      <c r="AG201" s="26"/>
      <c r="AH201" s="26"/>
      <c r="AI201" s="26"/>
      <c r="AJ201" s="26"/>
    </row>
    <row r="202" spans="1:36" s="19" customFormat="1" x14ac:dyDescent="0.3">
      <c r="A202" s="5"/>
      <c r="B202" s="36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37"/>
      <c r="AF202" s="26"/>
      <c r="AG202" s="26"/>
      <c r="AH202" s="26"/>
      <c r="AI202" s="26"/>
      <c r="AJ202" s="26"/>
    </row>
    <row r="203" spans="1:36" s="19" customFormat="1" x14ac:dyDescent="0.3">
      <c r="A203" s="5"/>
      <c r="B203" s="36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37"/>
      <c r="AF203" s="26"/>
      <c r="AG203" s="26"/>
      <c r="AH203" s="26"/>
      <c r="AI203" s="26"/>
      <c r="AJ203" s="26"/>
    </row>
    <row r="204" spans="1:36" s="19" customFormat="1" x14ac:dyDescent="0.3">
      <c r="A204" s="5"/>
      <c r="B204" s="36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37"/>
      <c r="AF204" s="26"/>
      <c r="AG204" s="26"/>
      <c r="AH204" s="26"/>
      <c r="AI204" s="26"/>
      <c r="AJ204" s="26"/>
    </row>
    <row r="205" spans="1:36" s="19" customFormat="1" x14ac:dyDescent="0.3">
      <c r="A205" s="5"/>
      <c r="B205" s="36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37"/>
      <c r="AF205" s="26"/>
      <c r="AG205" s="26"/>
      <c r="AH205" s="26"/>
      <c r="AI205" s="26"/>
      <c r="AJ205" s="26"/>
    </row>
    <row r="206" spans="1:36" s="19" customFormat="1" x14ac:dyDescent="0.3">
      <c r="A206" s="5"/>
      <c r="B206" s="36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37"/>
      <c r="AF206" s="26"/>
      <c r="AG206" s="26"/>
      <c r="AH206" s="26"/>
      <c r="AI206" s="26"/>
      <c r="AJ206" s="26"/>
    </row>
    <row r="207" spans="1:36" s="19" customFormat="1" x14ac:dyDescent="0.3">
      <c r="A207" s="5"/>
      <c r="B207" s="36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37"/>
      <c r="AF207" s="26"/>
      <c r="AG207" s="26"/>
      <c r="AH207" s="26"/>
      <c r="AI207" s="26"/>
      <c r="AJ207" s="26"/>
    </row>
    <row r="208" spans="1:36" s="19" customFormat="1" x14ac:dyDescent="0.3">
      <c r="A208" s="5"/>
      <c r="B208" s="36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37"/>
      <c r="AF208" s="26"/>
      <c r="AG208" s="26"/>
      <c r="AH208" s="26"/>
      <c r="AI208" s="26"/>
      <c r="AJ208" s="26"/>
    </row>
    <row r="209" spans="1:36" s="19" customFormat="1" x14ac:dyDescent="0.3">
      <c r="A209" s="5"/>
      <c r="B209" s="36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37"/>
      <c r="AF209" s="26"/>
      <c r="AG209" s="26"/>
      <c r="AH209" s="26"/>
      <c r="AI209" s="26"/>
      <c r="AJ209" s="26"/>
    </row>
    <row r="210" spans="1:36" s="19" customFormat="1" x14ac:dyDescent="0.3">
      <c r="A210" s="5"/>
      <c r="B210" s="36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37"/>
      <c r="AF210" s="26"/>
      <c r="AG210" s="26"/>
      <c r="AH210" s="26"/>
      <c r="AI210" s="26"/>
      <c r="AJ210" s="26"/>
    </row>
    <row r="211" spans="1:36" s="19" customFormat="1" x14ac:dyDescent="0.3">
      <c r="A211" s="5"/>
      <c r="B211" s="36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37"/>
      <c r="AF211" s="26"/>
      <c r="AG211" s="26"/>
      <c r="AH211" s="26"/>
      <c r="AI211" s="26"/>
      <c r="AJ211" s="26"/>
    </row>
    <row r="212" spans="1:36" s="19" customFormat="1" x14ac:dyDescent="0.3">
      <c r="A212" s="5"/>
      <c r="B212" s="36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37"/>
      <c r="AF212" s="26"/>
      <c r="AG212" s="26"/>
      <c r="AH212" s="26"/>
      <c r="AI212" s="26"/>
      <c r="AJ212" s="26"/>
    </row>
    <row r="213" spans="1:36" s="19" customFormat="1" x14ac:dyDescent="0.3">
      <c r="A213" s="5"/>
      <c r="B213" s="3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37"/>
      <c r="AF213" s="26"/>
      <c r="AG213" s="26"/>
      <c r="AH213" s="26"/>
      <c r="AI213" s="26"/>
      <c r="AJ213" s="26"/>
    </row>
    <row r="214" spans="1:36" s="19" customFormat="1" x14ac:dyDescent="0.3">
      <c r="A214" s="5"/>
      <c r="B214" s="36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37"/>
      <c r="AF214" s="26"/>
      <c r="AG214" s="26"/>
      <c r="AH214" s="26"/>
      <c r="AI214" s="26"/>
      <c r="AJ214" s="26"/>
    </row>
    <row r="215" spans="1:36" s="19" customForma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37"/>
      <c r="AF215" s="26"/>
      <c r="AG215" s="26"/>
      <c r="AH215" s="26"/>
      <c r="AI215" s="26"/>
      <c r="AJ215" s="26"/>
    </row>
    <row r="216" spans="1:36" s="19" customForma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37"/>
      <c r="AF216" s="26"/>
      <c r="AG216" s="26"/>
      <c r="AH216" s="26"/>
      <c r="AI216" s="26"/>
      <c r="AJ216" s="26"/>
    </row>
    <row r="217" spans="1:36" s="19" customForma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37"/>
      <c r="AF217" s="26"/>
      <c r="AG217" s="26"/>
      <c r="AH217" s="26"/>
      <c r="AI217" s="26"/>
      <c r="AJ217" s="26"/>
    </row>
    <row r="218" spans="1:36" s="19" customForma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37"/>
      <c r="AF218" s="26"/>
      <c r="AG218" s="26"/>
      <c r="AH218" s="26"/>
      <c r="AI218" s="26"/>
      <c r="AJ218" s="26"/>
    </row>
    <row r="219" spans="1:36" s="19" customForma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37"/>
      <c r="AF219" s="26"/>
      <c r="AG219" s="26"/>
      <c r="AH219" s="26"/>
      <c r="AI219" s="26"/>
      <c r="AJ219" s="26"/>
    </row>
    <row r="220" spans="1:36" s="19" customForma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37"/>
      <c r="AF220" s="26"/>
      <c r="AG220" s="26"/>
      <c r="AH220" s="26"/>
      <c r="AI220" s="26"/>
      <c r="AJ220" s="26"/>
    </row>
    <row r="221" spans="1:36" s="19" customForma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37"/>
      <c r="AF221" s="26"/>
      <c r="AG221" s="26"/>
      <c r="AH221" s="26"/>
      <c r="AI221" s="26"/>
      <c r="AJ221" s="26"/>
    </row>
    <row r="222" spans="1:36" s="19" customForma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37"/>
      <c r="AF222" s="26"/>
      <c r="AG222" s="26"/>
      <c r="AH222" s="26"/>
      <c r="AI222" s="26"/>
      <c r="AJ222" s="26"/>
    </row>
    <row r="223" spans="1:36" s="19" customForma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37"/>
      <c r="AF223" s="26"/>
      <c r="AG223" s="26"/>
      <c r="AH223" s="26"/>
      <c r="AI223" s="26"/>
      <c r="AJ223" s="26"/>
    </row>
    <row r="224" spans="1:36" s="19" customForma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37"/>
      <c r="AF224" s="26"/>
      <c r="AG224" s="26"/>
      <c r="AH224" s="26"/>
      <c r="AI224" s="26"/>
      <c r="AJ224" s="26"/>
    </row>
    <row r="225" spans="1:36" s="19" customForma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37"/>
      <c r="AF225" s="26"/>
      <c r="AG225" s="26"/>
      <c r="AH225" s="26"/>
      <c r="AI225" s="26"/>
      <c r="AJ225" s="26"/>
    </row>
    <row r="226" spans="1:36" s="19" customForma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37"/>
      <c r="AF226" s="26"/>
      <c r="AG226" s="26"/>
      <c r="AH226" s="26"/>
      <c r="AI226" s="26"/>
      <c r="AJ226" s="26"/>
    </row>
    <row r="227" spans="1:36" s="19" customForma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37"/>
      <c r="AF227" s="26"/>
      <c r="AG227" s="26"/>
      <c r="AH227" s="26"/>
      <c r="AI227" s="26"/>
      <c r="AJ227" s="26"/>
    </row>
    <row r="228" spans="1:36" s="19" customForma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37"/>
      <c r="AF228" s="26"/>
      <c r="AG228" s="26"/>
      <c r="AH228" s="26"/>
      <c r="AI228" s="26"/>
      <c r="AJ228" s="26"/>
    </row>
    <row r="229" spans="1:36" s="19" customForma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37"/>
      <c r="AF229" s="26"/>
      <c r="AG229" s="26"/>
      <c r="AH229" s="26"/>
      <c r="AI229" s="26"/>
      <c r="AJ229" s="26"/>
    </row>
    <row r="230" spans="1:36" s="19" customForma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37"/>
      <c r="AF230" s="26"/>
      <c r="AG230" s="26"/>
      <c r="AH230" s="26"/>
      <c r="AI230" s="26"/>
      <c r="AJ230" s="26"/>
    </row>
    <row r="231" spans="1:36" s="19" customForma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37"/>
      <c r="AF231" s="26"/>
      <c r="AG231" s="26"/>
      <c r="AH231" s="26"/>
      <c r="AI231" s="26"/>
      <c r="AJ231" s="26"/>
    </row>
    <row r="232" spans="1:36" s="19" customForma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37"/>
      <c r="AF232" s="26"/>
      <c r="AG232" s="26"/>
      <c r="AH232" s="26"/>
      <c r="AI232" s="26"/>
      <c r="AJ232" s="26"/>
    </row>
    <row r="233" spans="1:36" s="19" customForma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37"/>
      <c r="AF233" s="26"/>
      <c r="AG233" s="26"/>
      <c r="AH233" s="26"/>
      <c r="AI233" s="26"/>
      <c r="AJ233" s="26"/>
    </row>
    <row r="234" spans="1:36" s="19" customForma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37"/>
      <c r="AF234" s="26"/>
      <c r="AG234" s="26"/>
      <c r="AH234" s="26"/>
      <c r="AI234" s="26"/>
      <c r="AJ234" s="26"/>
    </row>
    <row r="235" spans="1:36" s="19" customForma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37"/>
      <c r="AF235" s="26"/>
      <c r="AG235" s="26"/>
      <c r="AH235" s="26"/>
      <c r="AI235" s="26"/>
      <c r="AJ235" s="26"/>
    </row>
    <row r="236" spans="1:36" s="19" customForma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37"/>
      <c r="AF236" s="26"/>
      <c r="AG236" s="26"/>
      <c r="AH236" s="26"/>
      <c r="AI236" s="26"/>
      <c r="AJ236" s="26"/>
    </row>
    <row r="237" spans="1:36" s="19" customForma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37"/>
      <c r="AF237" s="26"/>
      <c r="AG237" s="26"/>
      <c r="AH237" s="26"/>
      <c r="AI237" s="26"/>
      <c r="AJ237" s="26"/>
    </row>
    <row r="238" spans="1:36" s="19" customForma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37"/>
      <c r="AF238" s="26"/>
      <c r="AG238" s="26"/>
      <c r="AH238" s="26"/>
      <c r="AI238" s="26"/>
      <c r="AJ238" s="26"/>
    </row>
    <row r="239" spans="1:36" s="19" customForma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37"/>
      <c r="AF239" s="26"/>
      <c r="AG239" s="26"/>
      <c r="AH239" s="26"/>
      <c r="AI239" s="26"/>
      <c r="AJ239" s="26"/>
    </row>
    <row r="240" spans="1:36" s="19" customForma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37"/>
      <c r="AF240" s="26"/>
      <c r="AG240" s="26"/>
      <c r="AH240" s="26"/>
      <c r="AI240" s="26"/>
      <c r="AJ240" s="26"/>
    </row>
    <row r="241" spans="1:36" s="19" customForma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37"/>
      <c r="AF241" s="26"/>
      <c r="AG241" s="26"/>
      <c r="AH241" s="26"/>
      <c r="AI241" s="26"/>
      <c r="AJ241" s="26"/>
    </row>
    <row r="242" spans="1:36" s="19" customForma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37"/>
      <c r="AF242" s="26"/>
      <c r="AG242" s="26"/>
      <c r="AH242" s="26"/>
      <c r="AI242" s="26"/>
      <c r="AJ242" s="26"/>
    </row>
    <row r="243" spans="1:36" s="19" customForma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37"/>
      <c r="AF243" s="26"/>
      <c r="AG243" s="26"/>
      <c r="AH243" s="26"/>
      <c r="AI243" s="26"/>
      <c r="AJ243" s="26"/>
    </row>
    <row r="244" spans="1:36" s="19" customForma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37"/>
      <c r="AF244" s="26"/>
      <c r="AG244" s="26"/>
      <c r="AH244" s="26"/>
      <c r="AI244" s="26"/>
      <c r="AJ244" s="26"/>
    </row>
    <row r="245" spans="1:36" s="19" customForma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37"/>
      <c r="AF245" s="26"/>
      <c r="AG245" s="26"/>
      <c r="AH245" s="26"/>
      <c r="AI245" s="26"/>
      <c r="AJ245" s="26"/>
    </row>
    <row r="246" spans="1:36" s="19" customForma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37"/>
      <c r="AF246" s="26"/>
      <c r="AG246" s="26"/>
      <c r="AH246" s="26"/>
      <c r="AI246" s="26"/>
      <c r="AJ246" s="26"/>
    </row>
    <row r="247" spans="1:36" s="19" customForma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37"/>
      <c r="AF247" s="26"/>
      <c r="AG247" s="26"/>
      <c r="AH247" s="26"/>
      <c r="AI247" s="26"/>
      <c r="AJ247" s="26"/>
    </row>
    <row r="248" spans="1:36" s="19" customForma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37"/>
      <c r="AF248" s="26"/>
      <c r="AG248" s="26"/>
      <c r="AH248" s="26"/>
      <c r="AI248" s="26"/>
      <c r="AJ248" s="26"/>
    </row>
    <row r="249" spans="1:36" s="19" customForma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37"/>
      <c r="AF249" s="26"/>
      <c r="AG249" s="26"/>
      <c r="AH249" s="26"/>
      <c r="AI249" s="26"/>
      <c r="AJ249" s="26"/>
    </row>
    <row r="250" spans="1:36" s="19" customForma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37"/>
      <c r="AF250" s="26"/>
      <c r="AG250" s="26"/>
      <c r="AH250" s="26"/>
      <c r="AI250" s="26"/>
      <c r="AJ250" s="26"/>
    </row>
    <row r="251" spans="1:36" s="19" customForma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37"/>
      <c r="AF251" s="26"/>
      <c r="AG251" s="26"/>
      <c r="AH251" s="26"/>
      <c r="AI251" s="26"/>
      <c r="AJ251" s="26"/>
    </row>
    <row r="252" spans="1:36" s="19" customForma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37"/>
      <c r="AF252" s="26"/>
      <c r="AG252" s="26"/>
      <c r="AH252" s="26"/>
      <c r="AI252" s="26"/>
      <c r="AJ252" s="26"/>
    </row>
    <row r="253" spans="1:36" s="19" customForma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37"/>
      <c r="AF253" s="26"/>
      <c r="AG253" s="26"/>
      <c r="AH253" s="26"/>
      <c r="AI253" s="26"/>
      <c r="AJ253" s="26"/>
    </row>
    <row r="254" spans="1:36" s="19" customForma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37"/>
      <c r="AF254" s="26"/>
      <c r="AG254" s="26"/>
      <c r="AH254" s="26"/>
      <c r="AI254" s="26"/>
      <c r="AJ254" s="26"/>
    </row>
    <row r="255" spans="1:36" s="19" customForma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37"/>
      <c r="AF255" s="26"/>
      <c r="AG255" s="26"/>
      <c r="AH255" s="26"/>
      <c r="AI255" s="26"/>
      <c r="AJ255" s="26"/>
    </row>
    <row r="256" spans="1:36" s="19" customForma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37"/>
      <c r="AF256" s="26"/>
      <c r="AG256" s="26"/>
      <c r="AH256" s="26"/>
      <c r="AI256" s="26"/>
      <c r="AJ256" s="26"/>
    </row>
    <row r="257" spans="1:36" s="19" customForma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37"/>
      <c r="AF257" s="26"/>
      <c r="AG257" s="26"/>
      <c r="AH257" s="26"/>
      <c r="AI257" s="26"/>
      <c r="AJ257" s="26"/>
    </row>
    <row r="258" spans="1:36" s="19" customForma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37"/>
      <c r="AF258" s="26"/>
      <c r="AG258" s="26"/>
      <c r="AH258" s="26"/>
      <c r="AI258" s="26"/>
      <c r="AJ258" s="26"/>
    </row>
    <row r="259" spans="1:36" s="19" customForma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37"/>
      <c r="AF259" s="26"/>
      <c r="AG259" s="26"/>
      <c r="AH259" s="26"/>
      <c r="AI259" s="26"/>
      <c r="AJ259" s="26"/>
    </row>
    <row r="260" spans="1:36" s="19" customForma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37"/>
      <c r="AF260" s="26"/>
      <c r="AG260" s="26"/>
      <c r="AH260" s="26"/>
      <c r="AI260" s="26"/>
      <c r="AJ260" s="26"/>
    </row>
    <row r="261" spans="1:36" s="19" customForma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37"/>
      <c r="AF261" s="26"/>
      <c r="AG261" s="26"/>
      <c r="AH261" s="26"/>
      <c r="AI261" s="26"/>
      <c r="AJ261" s="26"/>
    </row>
    <row r="262" spans="1:36" s="19" customForma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37"/>
      <c r="AF262" s="26"/>
      <c r="AG262" s="26"/>
      <c r="AH262" s="26"/>
      <c r="AI262" s="26"/>
      <c r="AJ262" s="26"/>
    </row>
    <row r="263" spans="1:36" s="19" customForma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37"/>
      <c r="AF263" s="26"/>
      <c r="AG263" s="26"/>
      <c r="AH263" s="26"/>
      <c r="AI263" s="26"/>
      <c r="AJ263" s="26"/>
    </row>
    <row r="264" spans="1:36" s="19" customForma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37"/>
      <c r="AF264" s="26"/>
      <c r="AG264" s="26"/>
      <c r="AH264" s="26"/>
      <c r="AI264" s="26"/>
      <c r="AJ264" s="26"/>
    </row>
    <row r="265" spans="1:36" s="19" customForma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37"/>
      <c r="AF265" s="26"/>
      <c r="AG265" s="26"/>
      <c r="AH265" s="26"/>
      <c r="AI265" s="26"/>
      <c r="AJ265" s="26"/>
    </row>
    <row r="266" spans="1:36" s="19" customForma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37"/>
      <c r="AF266" s="26"/>
      <c r="AG266" s="26"/>
      <c r="AH266" s="26"/>
      <c r="AI266" s="26"/>
      <c r="AJ266" s="26"/>
    </row>
    <row r="267" spans="1:36" s="19" customForma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37"/>
      <c r="AF267" s="26"/>
      <c r="AG267" s="26"/>
      <c r="AH267" s="26"/>
      <c r="AI267" s="26"/>
      <c r="AJ267" s="26"/>
    </row>
    <row r="268" spans="1:36" s="19" customForma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37"/>
      <c r="AF268" s="26"/>
      <c r="AG268" s="26"/>
      <c r="AH268" s="26"/>
      <c r="AI268" s="26"/>
      <c r="AJ268" s="26"/>
    </row>
    <row r="269" spans="1:36" s="19" customForma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37"/>
      <c r="AF269" s="26"/>
      <c r="AG269" s="26"/>
      <c r="AH269" s="26"/>
      <c r="AI269" s="26"/>
      <c r="AJ269" s="26"/>
    </row>
    <row r="270" spans="1:36" s="19" customForma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37"/>
      <c r="AF270" s="26"/>
      <c r="AG270" s="26"/>
      <c r="AH270" s="26"/>
      <c r="AI270" s="26"/>
      <c r="AJ270" s="26"/>
    </row>
    <row r="271" spans="1:36" s="19" customForma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37"/>
      <c r="AF271" s="26"/>
      <c r="AG271" s="26"/>
      <c r="AH271" s="26"/>
      <c r="AI271" s="26"/>
      <c r="AJ271" s="26"/>
    </row>
    <row r="272" spans="1:36" s="19" customForma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37"/>
      <c r="AF272" s="26"/>
      <c r="AG272" s="26"/>
      <c r="AH272" s="26"/>
      <c r="AI272" s="26"/>
      <c r="AJ272" s="26"/>
    </row>
    <row r="273" spans="1:36" s="19" customFormat="1" x14ac:dyDescent="0.3">
      <c r="A273" s="5"/>
      <c r="B273" s="5"/>
      <c r="C273" s="4"/>
      <c r="D273" s="4"/>
      <c r="E273" s="4"/>
      <c r="F273" s="4"/>
      <c r="G273" s="4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37"/>
      <c r="AF273" s="26"/>
      <c r="AG273" s="26"/>
      <c r="AH273" s="26"/>
      <c r="AI273" s="26"/>
      <c r="AJ273" s="26"/>
    </row>
    <row r="274" spans="1:36" s="19" customFormat="1" x14ac:dyDescent="0.3">
      <c r="A274" s="5"/>
      <c r="B274" s="5"/>
      <c r="C274" s="4"/>
      <c r="D274" s="4"/>
      <c r="E274" s="4"/>
      <c r="F274" s="4"/>
      <c r="G274" s="4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37"/>
      <c r="AF274" s="26"/>
      <c r="AG274" s="26"/>
      <c r="AH274" s="26"/>
      <c r="AI274" s="26"/>
      <c r="AJ274" s="26"/>
    </row>
    <row r="275" spans="1:36" s="19" customFormat="1" x14ac:dyDescent="0.3">
      <c r="A275" s="5"/>
      <c r="B275" s="5"/>
      <c r="C275" s="4"/>
      <c r="D275" s="4"/>
      <c r="E275" s="4"/>
      <c r="F275" s="4"/>
      <c r="G275" s="4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37"/>
      <c r="AF275" s="26"/>
      <c r="AG275" s="26"/>
      <c r="AH275" s="26"/>
      <c r="AI275" s="26"/>
      <c r="AJ275" s="26"/>
    </row>
    <row r="276" spans="1:36" s="19" customFormat="1" x14ac:dyDescent="0.3">
      <c r="A276" s="5"/>
      <c r="B276" s="5"/>
      <c r="C276" s="4"/>
      <c r="D276" s="4"/>
      <c r="E276" s="4"/>
      <c r="F276" s="4"/>
      <c r="G276" s="4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37"/>
      <c r="AF276" s="26"/>
      <c r="AG276" s="26"/>
      <c r="AH276" s="26"/>
      <c r="AI276" s="26"/>
      <c r="AJ276" s="26"/>
    </row>
    <row r="277" spans="1:36" s="19" customFormat="1" x14ac:dyDescent="0.3">
      <c r="A277" s="5"/>
      <c r="B277" s="5"/>
      <c r="C277" s="4"/>
      <c r="D277" s="4"/>
      <c r="E277" s="4"/>
      <c r="F277" s="4"/>
      <c r="G277" s="4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37"/>
      <c r="AF277" s="26"/>
      <c r="AG277" s="26"/>
      <c r="AH277" s="26"/>
      <c r="AI277" s="26"/>
      <c r="AJ277" s="26"/>
    </row>
    <row r="278" spans="1:36" s="19" customFormat="1" x14ac:dyDescent="0.3">
      <c r="A278" s="5"/>
      <c r="B278" s="5"/>
      <c r="C278" s="4"/>
      <c r="D278" s="4"/>
      <c r="E278" s="4"/>
      <c r="F278" s="4"/>
      <c r="G278" s="4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37"/>
      <c r="AF278" s="26"/>
      <c r="AG278" s="26"/>
      <c r="AH278" s="26"/>
      <c r="AI278" s="26"/>
      <c r="AJ278" s="26"/>
    </row>
    <row r="279" spans="1:36" s="19" customFormat="1" x14ac:dyDescent="0.3">
      <c r="A279" s="5"/>
      <c r="B279" s="5"/>
      <c r="C279" s="4"/>
      <c r="D279" s="4"/>
      <c r="E279" s="4"/>
      <c r="F279" s="4"/>
      <c r="G279" s="4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37"/>
      <c r="AF279" s="26"/>
      <c r="AG279" s="26"/>
      <c r="AH279" s="26"/>
      <c r="AI279" s="26"/>
      <c r="AJ279" s="26"/>
    </row>
    <row r="280" spans="1:36" s="19" customFormat="1" x14ac:dyDescent="0.3">
      <c r="A280" s="5"/>
      <c r="B280" s="5"/>
      <c r="C280" s="4"/>
      <c r="D280" s="4"/>
      <c r="E280" s="4"/>
      <c r="F280" s="4"/>
      <c r="G280" s="4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37"/>
      <c r="AF280" s="26"/>
      <c r="AG280" s="26"/>
      <c r="AH280" s="26"/>
      <c r="AI280" s="26"/>
      <c r="AJ280" s="26"/>
    </row>
    <row r="281" spans="1:36" s="19" customFormat="1" x14ac:dyDescent="0.3">
      <c r="A281" s="5"/>
      <c r="B281" s="5"/>
      <c r="C281" s="4"/>
      <c r="D281" s="4"/>
      <c r="E281" s="4"/>
      <c r="F281" s="4"/>
      <c r="G281" s="4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37"/>
      <c r="AF281" s="26"/>
      <c r="AG281" s="26"/>
      <c r="AH281" s="26"/>
      <c r="AI281" s="26"/>
      <c r="AJ281" s="26"/>
    </row>
    <row r="282" spans="1:36" s="19" customFormat="1" x14ac:dyDescent="0.3">
      <c r="A282" s="5"/>
      <c r="B282" s="5"/>
      <c r="C282" s="4"/>
      <c r="D282" s="4"/>
      <c r="E282" s="4"/>
      <c r="F282" s="4"/>
      <c r="G282" s="4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37"/>
      <c r="AF282" s="26"/>
      <c r="AG282" s="26"/>
      <c r="AH282" s="26"/>
      <c r="AI282" s="26"/>
      <c r="AJ282" s="26"/>
    </row>
    <row r="283" spans="1:36" s="19" customFormat="1" x14ac:dyDescent="0.3">
      <c r="A283" s="5"/>
      <c r="B283" s="5"/>
      <c r="C283" s="4"/>
      <c r="D283" s="4"/>
      <c r="E283" s="4"/>
      <c r="F283" s="4"/>
      <c r="G283" s="4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37"/>
      <c r="AF283" s="26"/>
      <c r="AG283" s="26"/>
      <c r="AH283" s="26"/>
      <c r="AI283" s="26"/>
      <c r="AJ283" s="26"/>
    </row>
    <row r="284" spans="1:36" s="19" customFormat="1" x14ac:dyDescent="0.3">
      <c r="A284" s="5"/>
      <c r="B284" s="5"/>
      <c r="C284" s="4"/>
      <c r="D284" s="4"/>
      <c r="E284" s="4"/>
      <c r="F284" s="4"/>
      <c r="G284" s="4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37"/>
      <c r="AF284" s="26"/>
      <c r="AG284" s="26"/>
      <c r="AH284" s="26"/>
      <c r="AI284" s="26"/>
      <c r="AJ284" s="26"/>
    </row>
    <row r="285" spans="1:36" s="19" customFormat="1" x14ac:dyDescent="0.3">
      <c r="A285" s="5"/>
      <c r="B285" s="5"/>
      <c r="C285" s="4"/>
      <c r="D285" s="4"/>
      <c r="E285" s="4"/>
      <c r="F285" s="4"/>
      <c r="G285" s="4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37"/>
      <c r="AF285" s="26"/>
      <c r="AG285" s="26"/>
      <c r="AH285" s="26"/>
      <c r="AI285" s="26"/>
      <c r="AJ285" s="26"/>
    </row>
    <row r="286" spans="1:36" s="19" customFormat="1" x14ac:dyDescent="0.3">
      <c r="A286" s="5"/>
      <c r="B286" s="5"/>
      <c r="C286" s="4"/>
      <c r="D286" s="4"/>
      <c r="E286" s="4"/>
      <c r="F286" s="4"/>
      <c r="G286" s="4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37"/>
      <c r="AF286" s="26"/>
      <c r="AG286" s="26"/>
      <c r="AH286" s="26"/>
      <c r="AI286" s="26"/>
      <c r="AJ286" s="26"/>
    </row>
    <row r="287" spans="1:36" s="19" customFormat="1" x14ac:dyDescent="0.3">
      <c r="A287" s="5"/>
      <c r="B287" s="5"/>
      <c r="C287" s="4"/>
      <c r="D287" s="4"/>
      <c r="E287" s="4"/>
      <c r="F287" s="4"/>
      <c r="G287" s="4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37"/>
      <c r="AF287" s="26"/>
      <c r="AG287" s="26"/>
      <c r="AH287" s="26"/>
      <c r="AI287" s="26"/>
      <c r="AJ287" s="26"/>
    </row>
    <row r="288" spans="1:36" s="19" customFormat="1" x14ac:dyDescent="0.3">
      <c r="A288" s="5"/>
      <c r="B288" s="5"/>
      <c r="C288" s="4"/>
      <c r="D288" s="4"/>
      <c r="E288" s="4"/>
      <c r="F288" s="4"/>
      <c r="G288" s="4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37"/>
      <c r="AF288" s="26"/>
      <c r="AG288" s="26"/>
      <c r="AH288" s="26"/>
      <c r="AI288" s="26"/>
      <c r="AJ288" s="26"/>
    </row>
    <row r="289" spans="1:36" s="19" customFormat="1" x14ac:dyDescent="0.3">
      <c r="A289" s="5"/>
      <c r="B289" s="5"/>
      <c r="C289" s="4"/>
      <c r="D289" s="4"/>
      <c r="E289" s="4"/>
      <c r="F289" s="4"/>
      <c r="G289" s="4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37"/>
      <c r="AF289" s="26"/>
      <c r="AG289" s="26"/>
      <c r="AH289" s="26"/>
      <c r="AI289" s="26"/>
      <c r="AJ289" s="26"/>
    </row>
    <row r="290" spans="1:36" s="19" customFormat="1" x14ac:dyDescent="0.3">
      <c r="A290" s="5"/>
      <c r="B290" s="5"/>
      <c r="C290" s="4"/>
      <c r="D290" s="4"/>
      <c r="E290" s="4"/>
      <c r="F290" s="4"/>
      <c r="G290" s="4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37"/>
      <c r="AF290" s="26"/>
      <c r="AG290" s="26"/>
      <c r="AH290" s="26"/>
      <c r="AI290" s="26"/>
      <c r="AJ290" s="26"/>
    </row>
    <row r="291" spans="1:36" s="19" customFormat="1" x14ac:dyDescent="0.3">
      <c r="A291" s="5"/>
      <c r="B291" s="5"/>
      <c r="C291" s="4"/>
      <c r="D291" s="4"/>
      <c r="E291" s="4"/>
      <c r="F291" s="4"/>
      <c r="G291" s="4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37"/>
      <c r="AF291" s="26"/>
      <c r="AG291" s="26"/>
      <c r="AH291" s="26"/>
      <c r="AI291" s="26"/>
      <c r="AJ291" s="26"/>
    </row>
    <row r="292" spans="1:36" s="19" customFormat="1" x14ac:dyDescent="0.3">
      <c r="A292" s="5"/>
      <c r="B292" s="5"/>
      <c r="C292" s="4"/>
      <c r="D292" s="4"/>
      <c r="E292" s="4"/>
      <c r="F292" s="4"/>
      <c r="G292" s="4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37"/>
      <c r="AF292" s="26"/>
      <c r="AG292" s="26"/>
      <c r="AH292" s="26"/>
      <c r="AI292" s="26"/>
      <c r="AJ292" s="26"/>
    </row>
    <row r="293" spans="1:36" s="19" customFormat="1" x14ac:dyDescent="0.3">
      <c r="A293" s="5"/>
      <c r="B293" s="5"/>
      <c r="C293" s="4"/>
      <c r="D293" s="4"/>
      <c r="E293" s="4"/>
      <c r="F293" s="4"/>
      <c r="G293" s="4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37"/>
      <c r="AF293" s="26"/>
      <c r="AG293" s="26"/>
      <c r="AH293" s="26"/>
      <c r="AI293" s="26"/>
      <c r="AJ293" s="26"/>
    </row>
    <row r="294" spans="1:36" s="19" customFormat="1" x14ac:dyDescent="0.3">
      <c r="A294" s="5"/>
      <c r="B294" s="5"/>
      <c r="C294" s="4"/>
      <c r="D294" s="4"/>
      <c r="E294" s="4"/>
      <c r="F294" s="4"/>
      <c r="G294" s="4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37"/>
      <c r="AF294" s="26"/>
      <c r="AG294" s="26"/>
      <c r="AH294" s="26"/>
      <c r="AI294" s="26"/>
      <c r="AJ294" s="26"/>
    </row>
    <row r="295" spans="1:36" s="19" customFormat="1" x14ac:dyDescent="0.3">
      <c r="A295" s="5"/>
      <c r="B295" s="5"/>
      <c r="C295" s="4"/>
      <c r="D295" s="4"/>
      <c r="E295" s="4"/>
      <c r="F295" s="4"/>
      <c r="G295" s="4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37"/>
      <c r="AF295" s="26"/>
      <c r="AG295" s="26"/>
      <c r="AH295" s="26"/>
      <c r="AI295" s="26"/>
      <c r="AJ295" s="26"/>
    </row>
    <row r="296" spans="1:36" s="19" customFormat="1" x14ac:dyDescent="0.3">
      <c r="A296" s="5"/>
      <c r="B296" s="5"/>
      <c r="C296" s="4"/>
      <c r="D296" s="4"/>
      <c r="E296" s="4"/>
      <c r="F296" s="4"/>
      <c r="G296" s="4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37"/>
      <c r="AF296" s="26"/>
      <c r="AG296" s="26"/>
      <c r="AH296" s="26"/>
      <c r="AI296" s="26"/>
      <c r="AJ296" s="26"/>
    </row>
    <row r="297" spans="1:36" s="19" customFormat="1" x14ac:dyDescent="0.3">
      <c r="A297" s="5"/>
      <c r="B297" s="5"/>
      <c r="C297" s="4"/>
      <c r="D297" s="4"/>
      <c r="E297" s="4"/>
      <c r="F297" s="4"/>
      <c r="G297" s="4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37"/>
      <c r="AF297" s="26"/>
      <c r="AG297" s="26"/>
      <c r="AH297" s="26"/>
      <c r="AI297" s="26"/>
      <c r="AJ297" s="26"/>
    </row>
    <row r="298" spans="1:36" s="19" customFormat="1" x14ac:dyDescent="0.3">
      <c r="A298" s="5"/>
      <c r="B298" s="5"/>
      <c r="C298" s="4"/>
      <c r="D298" s="4"/>
      <c r="E298" s="4"/>
      <c r="F298" s="4"/>
      <c r="G298" s="4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37"/>
      <c r="AF298" s="26"/>
      <c r="AG298" s="26"/>
      <c r="AH298" s="26"/>
      <c r="AI298" s="26"/>
      <c r="AJ298" s="26"/>
    </row>
    <row r="299" spans="1:36" s="19" customFormat="1" x14ac:dyDescent="0.3">
      <c r="A299" s="5"/>
      <c r="B299" s="5"/>
      <c r="C299" s="4"/>
      <c r="D299" s="4"/>
      <c r="E299" s="4"/>
      <c r="F299" s="4"/>
      <c r="G299" s="4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37"/>
      <c r="AF299" s="26"/>
      <c r="AG299" s="26"/>
      <c r="AH299" s="26"/>
      <c r="AI299" s="26"/>
      <c r="AJ299" s="26"/>
    </row>
    <row r="300" spans="1:36" s="19" customFormat="1" x14ac:dyDescent="0.3">
      <c r="A300" s="5"/>
      <c r="B300" s="5"/>
      <c r="C300" s="4"/>
      <c r="D300" s="4"/>
      <c r="E300" s="4"/>
      <c r="F300" s="4"/>
      <c r="G300" s="4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37"/>
      <c r="AF300" s="26"/>
      <c r="AG300" s="26"/>
      <c r="AH300" s="26"/>
      <c r="AI300" s="26"/>
      <c r="AJ300" s="26"/>
    </row>
    <row r="301" spans="1:36" s="19" customFormat="1" x14ac:dyDescent="0.3">
      <c r="A301" s="5"/>
      <c r="B301" s="5"/>
      <c r="C301" s="4"/>
      <c r="D301" s="4"/>
      <c r="E301" s="4"/>
      <c r="F301" s="4"/>
      <c r="G301" s="4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37"/>
      <c r="AF301" s="26"/>
      <c r="AG301" s="26"/>
      <c r="AH301" s="26"/>
      <c r="AI301" s="26"/>
      <c r="AJ301" s="26"/>
    </row>
    <row r="302" spans="1:36" s="19" customFormat="1" x14ac:dyDescent="0.3">
      <c r="A302" s="5"/>
      <c r="B302" s="5"/>
      <c r="C302" s="4"/>
      <c r="D302" s="4"/>
      <c r="E302" s="4"/>
      <c r="F302" s="4"/>
      <c r="G302" s="4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37"/>
      <c r="AF302" s="26"/>
      <c r="AG302" s="26"/>
      <c r="AH302" s="26"/>
      <c r="AI302" s="26"/>
      <c r="AJ302" s="26"/>
    </row>
    <row r="303" spans="1:36" s="19" customFormat="1" x14ac:dyDescent="0.3">
      <c r="A303" s="5"/>
      <c r="B303" s="5"/>
      <c r="C303" s="4"/>
      <c r="D303" s="4"/>
      <c r="E303" s="4"/>
      <c r="F303" s="4"/>
      <c r="G303" s="4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37"/>
      <c r="AF303" s="26"/>
      <c r="AG303" s="26"/>
      <c r="AH303" s="26"/>
      <c r="AI303" s="26"/>
      <c r="AJ303" s="26"/>
    </row>
    <row r="304" spans="1:36" s="19" customFormat="1" x14ac:dyDescent="0.3">
      <c r="A304" s="5"/>
      <c r="B304" s="5"/>
      <c r="C304" s="4"/>
      <c r="D304" s="4"/>
      <c r="E304" s="4"/>
      <c r="F304" s="4"/>
      <c r="G304" s="4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37"/>
      <c r="AF304" s="26"/>
      <c r="AG304" s="26"/>
      <c r="AH304" s="26"/>
      <c r="AI304" s="26"/>
      <c r="AJ304" s="26"/>
    </row>
    <row r="305" spans="1:36" s="19" customFormat="1" x14ac:dyDescent="0.3">
      <c r="A305" s="5"/>
      <c r="B305" s="5"/>
      <c r="C305" s="4"/>
      <c r="D305" s="4"/>
      <c r="E305" s="4"/>
      <c r="F305" s="4"/>
      <c r="G305" s="4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37"/>
      <c r="AF305" s="26"/>
      <c r="AG305" s="26"/>
      <c r="AH305" s="26"/>
      <c r="AI305" s="26"/>
      <c r="AJ305" s="26"/>
    </row>
    <row r="306" spans="1:36" s="19" customFormat="1" x14ac:dyDescent="0.3">
      <c r="A306" s="5"/>
      <c r="B306" s="5"/>
      <c r="C306" s="4"/>
      <c r="D306" s="4"/>
      <c r="E306" s="4"/>
      <c r="F306" s="4"/>
      <c r="G306" s="4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37"/>
      <c r="AF306" s="26"/>
      <c r="AG306" s="26"/>
      <c r="AH306" s="26"/>
      <c r="AI306" s="26"/>
      <c r="AJ306" s="26"/>
    </row>
    <row r="307" spans="1:36" s="19" customFormat="1" x14ac:dyDescent="0.3">
      <c r="A307" s="5"/>
      <c r="B307" s="5"/>
      <c r="C307" s="4"/>
      <c r="D307" s="4"/>
      <c r="E307" s="4"/>
      <c r="F307" s="4"/>
      <c r="G307" s="4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37"/>
      <c r="AF307" s="26"/>
      <c r="AG307" s="26"/>
      <c r="AH307" s="26"/>
      <c r="AI307" s="26"/>
      <c r="AJ307" s="26"/>
    </row>
    <row r="308" spans="1:36" s="19" customFormat="1" x14ac:dyDescent="0.3">
      <c r="A308" s="5"/>
      <c r="B308" s="5"/>
      <c r="C308" s="4"/>
      <c r="D308" s="4"/>
      <c r="E308" s="4"/>
      <c r="F308" s="4"/>
      <c r="G308" s="4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37"/>
      <c r="AF308" s="26"/>
      <c r="AG308" s="26"/>
      <c r="AH308" s="26"/>
      <c r="AI308" s="26"/>
      <c r="AJ308" s="26"/>
    </row>
    <row r="309" spans="1:36" s="19" customFormat="1" x14ac:dyDescent="0.3">
      <c r="A309" s="5"/>
      <c r="B309" s="5"/>
      <c r="C309" s="4"/>
      <c r="D309" s="4"/>
      <c r="E309" s="4"/>
      <c r="F309" s="4"/>
      <c r="G309" s="4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37"/>
      <c r="AF309" s="26"/>
      <c r="AG309" s="26"/>
      <c r="AH309" s="26"/>
      <c r="AI309" s="26"/>
      <c r="AJ309" s="26"/>
    </row>
    <row r="310" spans="1:36" s="19" customFormat="1" x14ac:dyDescent="0.3">
      <c r="A310" s="5"/>
      <c r="B310" s="5"/>
      <c r="C310" s="4"/>
      <c r="D310" s="4"/>
      <c r="E310" s="4"/>
      <c r="F310" s="4"/>
      <c r="G310" s="4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37"/>
      <c r="AF310" s="26"/>
      <c r="AG310" s="26"/>
      <c r="AH310" s="26"/>
      <c r="AI310" s="26"/>
      <c r="AJ310" s="26"/>
    </row>
    <row r="311" spans="1:36" s="19" customFormat="1" x14ac:dyDescent="0.3">
      <c r="A311" s="5"/>
      <c r="B311" s="5"/>
      <c r="C311" s="4"/>
      <c r="D311" s="4"/>
      <c r="E311" s="4"/>
      <c r="F311" s="4"/>
      <c r="G311" s="4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37"/>
      <c r="AF311" s="26"/>
      <c r="AG311" s="26"/>
      <c r="AH311" s="26"/>
      <c r="AI311" s="26"/>
      <c r="AJ311" s="26"/>
    </row>
    <row r="312" spans="1:36" s="19" customFormat="1" x14ac:dyDescent="0.3">
      <c r="A312" s="5"/>
      <c r="B312" s="5"/>
      <c r="C312" s="4"/>
      <c r="D312" s="4"/>
      <c r="E312" s="4"/>
      <c r="F312" s="4"/>
      <c r="G312" s="4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37"/>
      <c r="AF312" s="26"/>
      <c r="AG312" s="26"/>
      <c r="AH312" s="26"/>
      <c r="AI312" s="26"/>
      <c r="AJ312" s="26"/>
    </row>
    <row r="313" spans="1:36" s="19" customFormat="1" x14ac:dyDescent="0.3">
      <c r="A313" s="5"/>
      <c r="B313" s="5"/>
      <c r="C313" s="4"/>
      <c r="D313" s="4"/>
      <c r="E313" s="4"/>
      <c r="F313" s="4"/>
      <c r="G313" s="4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37"/>
      <c r="AF313" s="26"/>
      <c r="AG313" s="26"/>
      <c r="AH313" s="26"/>
      <c r="AI313" s="26"/>
      <c r="AJ313" s="26"/>
    </row>
    <row r="314" spans="1:36" s="19" customFormat="1" x14ac:dyDescent="0.3">
      <c r="A314" s="5"/>
      <c r="B314" s="5"/>
      <c r="C314" s="4"/>
      <c r="D314" s="4"/>
      <c r="E314" s="4"/>
      <c r="F314" s="4"/>
      <c r="G314" s="4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37"/>
      <c r="AF314" s="26"/>
      <c r="AG314" s="26"/>
      <c r="AH314" s="26"/>
      <c r="AI314" s="26"/>
      <c r="AJ314" s="26"/>
    </row>
    <row r="315" spans="1:36" s="19" customFormat="1" x14ac:dyDescent="0.3">
      <c r="A315" s="5"/>
      <c r="B315" s="5"/>
      <c r="C315" s="4"/>
      <c r="D315" s="4"/>
      <c r="E315" s="4"/>
      <c r="F315" s="4"/>
      <c r="G315" s="4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37"/>
      <c r="AF315" s="26"/>
      <c r="AG315" s="26"/>
      <c r="AH315" s="26"/>
      <c r="AI315" s="26"/>
      <c r="AJ315" s="26"/>
    </row>
    <row r="316" spans="1:36" s="19" customFormat="1" x14ac:dyDescent="0.3">
      <c r="A316" s="5"/>
      <c r="B316" s="5"/>
      <c r="C316" s="4"/>
      <c r="D316" s="4"/>
      <c r="E316" s="4"/>
      <c r="F316" s="4"/>
      <c r="G316" s="4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37"/>
      <c r="AF316" s="26"/>
      <c r="AG316" s="26"/>
      <c r="AH316" s="26"/>
      <c r="AI316" s="26"/>
      <c r="AJ316" s="26"/>
    </row>
    <row r="317" spans="1:36" s="19" customFormat="1" x14ac:dyDescent="0.3">
      <c r="A317" s="5"/>
      <c r="B317" s="5"/>
      <c r="C317" s="4"/>
      <c r="D317" s="4"/>
      <c r="E317" s="4"/>
      <c r="F317" s="4"/>
      <c r="G317" s="4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37"/>
      <c r="AF317" s="26"/>
      <c r="AG317" s="26"/>
      <c r="AH317" s="26"/>
      <c r="AI317" s="26"/>
      <c r="AJ317" s="26"/>
    </row>
    <row r="318" spans="1:36" s="19" customFormat="1" x14ac:dyDescent="0.3">
      <c r="A318" s="5"/>
      <c r="B318" s="5"/>
      <c r="C318" s="4"/>
      <c r="D318" s="4"/>
      <c r="E318" s="4"/>
      <c r="F318" s="4"/>
      <c r="G318" s="4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37"/>
      <c r="AF318" s="26"/>
      <c r="AG318" s="26"/>
      <c r="AH318" s="26"/>
      <c r="AI318" s="26"/>
      <c r="AJ318" s="26"/>
    </row>
    <row r="319" spans="1:36" s="19" customFormat="1" x14ac:dyDescent="0.3">
      <c r="A319" s="5"/>
      <c r="B319" s="5"/>
      <c r="C319" s="4"/>
      <c r="D319" s="4"/>
      <c r="E319" s="4"/>
      <c r="F319" s="4"/>
      <c r="G319" s="4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37"/>
      <c r="AF319" s="26"/>
      <c r="AG319" s="26"/>
      <c r="AH319" s="26"/>
      <c r="AI319" s="26"/>
      <c r="AJ319" s="26"/>
    </row>
    <row r="320" spans="1:36" s="19" customFormat="1" x14ac:dyDescent="0.3">
      <c r="A320" s="5"/>
      <c r="B320" s="5"/>
      <c r="C320" s="4"/>
      <c r="D320" s="4"/>
      <c r="E320" s="4"/>
      <c r="F320" s="4"/>
      <c r="G320" s="4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37"/>
      <c r="AF320" s="26"/>
      <c r="AG320" s="26"/>
      <c r="AH320" s="26"/>
      <c r="AI320" s="26"/>
      <c r="AJ320" s="26"/>
    </row>
    <row r="321" spans="1:36" s="19" customFormat="1" x14ac:dyDescent="0.3">
      <c r="A321" s="5"/>
      <c r="B321" s="5"/>
      <c r="C321" s="4"/>
      <c r="D321" s="4"/>
      <c r="E321" s="4"/>
      <c r="F321" s="4"/>
      <c r="G321" s="4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37"/>
      <c r="AF321" s="26"/>
      <c r="AG321" s="26"/>
      <c r="AH321" s="26"/>
      <c r="AI321" s="26"/>
      <c r="AJ321" s="26"/>
    </row>
    <row r="322" spans="1:36" s="19" customFormat="1" x14ac:dyDescent="0.3">
      <c r="A322" s="5"/>
      <c r="B322" s="5"/>
      <c r="C322" s="4"/>
      <c r="D322" s="4"/>
      <c r="E322" s="4"/>
      <c r="F322" s="4"/>
      <c r="G322" s="4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37"/>
      <c r="AF322" s="26"/>
      <c r="AG322" s="26"/>
      <c r="AH322" s="26"/>
      <c r="AI322" s="26"/>
      <c r="AJ322" s="26"/>
    </row>
    <row r="323" spans="1:36" s="19" customFormat="1" x14ac:dyDescent="0.3">
      <c r="A323" s="5"/>
      <c r="B323" s="5"/>
      <c r="C323" s="4"/>
      <c r="D323" s="4"/>
      <c r="E323" s="4"/>
      <c r="F323" s="4"/>
      <c r="G323" s="4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37"/>
      <c r="AF323" s="26"/>
      <c r="AG323" s="26"/>
      <c r="AH323" s="26"/>
      <c r="AI323" s="26"/>
      <c r="AJ323" s="26"/>
    </row>
    <row r="324" spans="1:36" s="19" customFormat="1" x14ac:dyDescent="0.3">
      <c r="A324" s="5"/>
      <c r="B324" s="5"/>
      <c r="C324" s="4"/>
      <c r="D324" s="4"/>
      <c r="E324" s="4"/>
      <c r="F324" s="4"/>
      <c r="G324" s="4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37"/>
      <c r="AF324" s="26"/>
      <c r="AG324" s="26"/>
      <c r="AH324" s="26"/>
      <c r="AI324" s="26"/>
      <c r="AJ324" s="26"/>
    </row>
    <row r="325" spans="1:36" s="19" customFormat="1" x14ac:dyDescent="0.3">
      <c r="A325" s="5"/>
      <c r="B325" s="5"/>
      <c r="C325" s="4"/>
      <c r="D325" s="4"/>
      <c r="E325" s="4"/>
      <c r="F325" s="4"/>
      <c r="G325" s="4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37"/>
      <c r="AF325" s="26"/>
      <c r="AG325" s="26"/>
      <c r="AH325" s="26"/>
      <c r="AI325" s="26"/>
      <c r="AJ325" s="26"/>
    </row>
    <row r="326" spans="1:36" s="19" customFormat="1" x14ac:dyDescent="0.3">
      <c r="A326" s="5"/>
      <c r="B326" s="5"/>
      <c r="C326" s="4"/>
      <c r="D326" s="4"/>
      <c r="E326" s="4"/>
      <c r="F326" s="4"/>
      <c r="G326" s="4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37"/>
      <c r="AF326" s="26"/>
      <c r="AG326" s="26"/>
      <c r="AH326" s="26"/>
      <c r="AI326" s="26"/>
      <c r="AJ326" s="26"/>
    </row>
    <row r="327" spans="1:36" s="19" customFormat="1" x14ac:dyDescent="0.3">
      <c r="A327" s="5"/>
      <c r="B327" s="5"/>
      <c r="C327" s="4"/>
      <c r="D327" s="4"/>
      <c r="E327" s="4"/>
      <c r="F327" s="4"/>
      <c r="G327" s="4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37"/>
      <c r="AF327" s="26"/>
      <c r="AG327" s="26"/>
      <c r="AH327" s="26"/>
      <c r="AI327" s="26"/>
      <c r="AJ327" s="26"/>
    </row>
    <row r="328" spans="1:36" s="19" customFormat="1" x14ac:dyDescent="0.3">
      <c r="A328" s="5"/>
      <c r="B328" s="5"/>
      <c r="C328" s="4"/>
      <c r="D328" s="4"/>
      <c r="E328" s="4"/>
      <c r="F328" s="4"/>
      <c r="G328" s="4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37"/>
      <c r="AF328" s="26"/>
      <c r="AG328" s="26"/>
      <c r="AH328" s="26"/>
      <c r="AI328" s="26"/>
      <c r="AJ328" s="26"/>
    </row>
    <row r="329" spans="1:36" s="19" customFormat="1" x14ac:dyDescent="0.3">
      <c r="A329" s="5"/>
      <c r="B329" s="5"/>
      <c r="C329" s="4"/>
      <c r="D329" s="4"/>
      <c r="E329" s="4"/>
      <c r="F329" s="4"/>
      <c r="G329" s="4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37"/>
      <c r="AF329" s="26"/>
      <c r="AG329" s="26"/>
      <c r="AH329" s="26"/>
      <c r="AI329" s="26"/>
      <c r="AJ329" s="26"/>
    </row>
    <row r="330" spans="1:36" s="19" customFormat="1" x14ac:dyDescent="0.3">
      <c r="A330" s="5"/>
      <c r="B330" s="5"/>
      <c r="C330" s="4"/>
      <c r="D330" s="4"/>
      <c r="E330" s="4"/>
      <c r="F330" s="4"/>
      <c r="G330" s="4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37"/>
      <c r="AF330" s="26"/>
      <c r="AG330" s="26"/>
      <c r="AH330" s="26"/>
      <c r="AI330" s="26"/>
      <c r="AJ330" s="26"/>
    </row>
    <row r="331" spans="1:36" s="19" customFormat="1" x14ac:dyDescent="0.3">
      <c r="A331" s="5"/>
      <c r="B331" s="5"/>
      <c r="C331" s="4"/>
      <c r="D331" s="4"/>
      <c r="E331" s="4"/>
      <c r="F331" s="4"/>
      <c r="G331" s="4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37"/>
      <c r="AF331" s="26"/>
      <c r="AG331" s="26"/>
      <c r="AH331" s="26"/>
      <c r="AI331" s="26"/>
      <c r="AJ331" s="26"/>
    </row>
    <row r="332" spans="1:36" s="19" customFormat="1" x14ac:dyDescent="0.3">
      <c r="A332" s="5"/>
      <c r="B332" s="5"/>
      <c r="C332" s="4"/>
      <c r="D332" s="4"/>
      <c r="E332" s="4"/>
      <c r="F332" s="4"/>
      <c r="G332" s="4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37"/>
      <c r="AF332" s="26"/>
      <c r="AG332" s="26"/>
      <c r="AH332" s="26"/>
      <c r="AI332" s="26"/>
      <c r="AJ332" s="26"/>
    </row>
    <row r="333" spans="1:36" s="19" customFormat="1" x14ac:dyDescent="0.3">
      <c r="A333" s="5"/>
      <c r="B333" s="5"/>
      <c r="C333" s="4"/>
      <c r="D333" s="4"/>
      <c r="E333" s="4"/>
      <c r="F333" s="4"/>
      <c r="G333" s="4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37"/>
      <c r="AF333" s="26"/>
      <c r="AG333" s="26"/>
      <c r="AH333" s="26"/>
      <c r="AI333" s="26"/>
      <c r="AJ333" s="26"/>
    </row>
    <row r="334" spans="1:36" s="19" customFormat="1" x14ac:dyDescent="0.3">
      <c r="A334" s="5"/>
      <c r="B334" s="5"/>
      <c r="C334" s="4"/>
      <c r="D334" s="4"/>
      <c r="E334" s="4"/>
      <c r="F334" s="4"/>
      <c r="G334" s="4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37"/>
      <c r="AF334" s="26"/>
      <c r="AG334" s="26"/>
      <c r="AH334" s="26"/>
      <c r="AI334" s="26"/>
      <c r="AJ334" s="26"/>
    </row>
    <row r="335" spans="1:36" s="19" customFormat="1" x14ac:dyDescent="0.3">
      <c r="A335" s="5"/>
      <c r="B335" s="5"/>
      <c r="C335" s="4"/>
      <c r="D335" s="4"/>
      <c r="E335" s="4"/>
      <c r="F335" s="4"/>
      <c r="G335" s="4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37"/>
      <c r="AF335" s="26"/>
      <c r="AG335" s="26"/>
      <c r="AH335" s="26"/>
      <c r="AI335" s="26"/>
      <c r="AJ335" s="26"/>
    </row>
    <row r="336" spans="1:36" s="19" customFormat="1" x14ac:dyDescent="0.3">
      <c r="A336" s="5"/>
      <c r="B336" s="5"/>
      <c r="C336" s="4"/>
      <c r="D336" s="4"/>
      <c r="E336" s="4"/>
      <c r="F336" s="4"/>
      <c r="G336" s="4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37"/>
      <c r="AF336" s="26"/>
      <c r="AG336" s="26"/>
      <c r="AH336" s="26"/>
      <c r="AI336" s="26"/>
      <c r="AJ336" s="26"/>
    </row>
    <row r="337" spans="1:36" s="19" customFormat="1" x14ac:dyDescent="0.3">
      <c r="A337" s="5"/>
      <c r="B337" s="5"/>
      <c r="C337" s="4"/>
      <c r="D337" s="4"/>
      <c r="E337" s="4"/>
      <c r="F337" s="4"/>
      <c r="G337" s="4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37"/>
      <c r="AF337" s="26"/>
      <c r="AG337" s="26"/>
      <c r="AH337" s="26"/>
      <c r="AI337" s="26"/>
      <c r="AJ337" s="26"/>
    </row>
    <row r="338" spans="1:36" s="19" customFormat="1" x14ac:dyDescent="0.3">
      <c r="A338" s="5"/>
      <c r="B338" s="5"/>
      <c r="C338" s="4"/>
      <c r="D338" s="4"/>
      <c r="E338" s="4"/>
      <c r="F338" s="4"/>
      <c r="G338" s="4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37"/>
      <c r="AF338" s="26"/>
      <c r="AG338" s="26"/>
      <c r="AH338" s="26"/>
      <c r="AI338" s="26"/>
      <c r="AJ338" s="26"/>
    </row>
    <row r="339" spans="1:36" s="19" customFormat="1" x14ac:dyDescent="0.3">
      <c r="A339" s="5"/>
      <c r="B339" s="5"/>
      <c r="C339" s="4"/>
      <c r="D339" s="4"/>
      <c r="E339" s="4"/>
      <c r="F339" s="4"/>
      <c r="G339" s="4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37"/>
      <c r="AF339" s="26"/>
      <c r="AG339" s="26"/>
      <c r="AH339" s="26"/>
      <c r="AI339" s="26"/>
      <c r="AJ339" s="26"/>
    </row>
    <row r="340" spans="1:36" s="19" customFormat="1" x14ac:dyDescent="0.3">
      <c r="A340" s="5"/>
      <c r="B340" s="5"/>
      <c r="C340" s="4"/>
      <c r="D340" s="4"/>
      <c r="E340" s="4"/>
      <c r="F340" s="4"/>
      <c r="G340" s="4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37"/>
      <c r="AF340" s="26"/>
      <c r="AG340" s="26"/>
      <c r="AH340" s="26"/>
      <c r="AI340" s="26"/>
      <c r="AJ340" s="26"/>
    </row>
    <row r="341" spans="1:36" s="19" customFormat="1" x14ac:dyDescent="0.3">
      <c r="A341" s="5"/>
      <c r="B341" s="5"/>
      <c r="C341" s="4"/>
      <c r="D341" s="4"/>
      <c r="E341" s="4"/>
      <c r="F341" s="4"/>
      <c r="G341" s="4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37"/>
      <c r="AF341" s="26"/>
      <c r="AG341" s="26"/>
      <c r="AH341" s="26"/>
      <c r="AI341" s="26"/>
      <c r="AJ341" s="26"/>
    </row>
    <row r="342" spans="1:36" s="19" customFormat="1" x14ac:dyDescent="0.3">
      <c r="A342" s="5"/>
      <c r="B342" s="5"/>
      <c r="C342" s="4"/>
      <c r="D342" s="4"/>
      <c r="E342" s="4"/>
      <c r="F342" s="4"/>
      <c r="G342" s="4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37"/>
      <c r="AF342" s="26"/>
      <c r="AG342" s="26"/>
      <c r="AH342" s="26"/>
      <c r="AI342" s="26"/>
      <c r="AJ342" s="26"/>
    </row>
    <row r="343" spans="1:36" s="19" customFormat="1" x14ac:dyDescent="0.3">
      <c r="A343" s="5"/>
      <c r="B343" s="5"/>
      <c r="C343" s="4"/>
      <c r="D343" s="4"/>
      <c r="E343" s="4"/>
      <c r="F343" s="4"/>
      <c r="G343" s="4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37"/>
      <c r="AF343" s="26"/>
      <c r="AG343" s="26"/>
      <c r="AH343" s="26"/>
      <c r="AI343" s="26"/>
      <c r="AJ343" s="26"/>
    </row>
    <row r="344" spans="1:36" s="19" customFormat="1" x14ac:dyDescent="0.3">
      <c r="A344" s="5"/>
      <c r="B344" s="5"/>
      <c r="C344" s="4"/>
      <c r="D344" s="4"/>
      <c r="E344" s="4"/>
      <c r="F344" s="4"/>
      <c r="G344" s="4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37"/>
      <c r="AF344" s="26"/>
      <c r="AG344" s="26"/>
      <c r="AH344" s="26"/>
      <c r="AI344" s="26"/>
      <c r="AJ344" s="26"/>
    </row>
    <row r="345" spans="1:36" s="19" customFormat="1" x14ac:dyDescent="0.3">
      <c r="A345" s="5"/>
      <c r="B345" s="5"/>
      <c r="C345" s="4"/>
      <c r="D345" s="4"/>
      <c r="E345" s="4"/>
      <c r="F345" s="4"/>
      <c r="G345" s="4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37"/>
      <c r="AF345" s="26"/>
      <c r="AG345" s="26"/>
      <c r="AH345" s="26"/>
      <c r="AI345" s="26"/>
      <c r="AJ345" s="26"/>
    </row>
    <row r="346" spans="1:36" s="19" customFormat="1" x14ac:dyDescent="0.3">
      <c r="A346" s="5"/>
      <c r="B346" s="5"/>
      <c r="C346" s="4"/>
      <c r="D346" s="4"/>
      <c r="E346" s="4"/>
      <c r="F346" s="4"/>
      <c r="G346" s="4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37"/>
      <c r="AF346" s="26"/>
      <c r="AG346" s="26"/>
      <c r="AH346" s="26"/>
      <c r="AI346" s="26"/>
      <c r="AJ346" s="26"/>
    </row>
    <row r="347" spans="1:36" s="19" customFormat="1" x14ac:dyDescent="0.3">
      <c r="A347" s="5"/>
      <c r="B347" s="5"/>
      <c r="C347" s="4"/>
      <c r="D347" s="4"/>
      <c r="E347" s="4"/>
      <c r="F347" s="4"/>
      <c r="G347" s="4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37"/>
      <c r="AF347" s="26"/>
      <c r="AG347" s="26"/>
      <c r="AH347" s="26"/>
      <c r="AI347" s="26"/>
      <c r="AJ347" s="26"/>
    </row>
    <row r="348" spans="1:36" s="19" customFormat="1" x14ac:dyDescent="0.3">
      <c r="A348" s="5"/>
      <c r="B348" s="5"/>
      <c r="C348" s="4"/>
      <c r="D348" s="4"/>
      <c r="E348" s="4"/>
      <c r="F348" s="4"/>
      <c r="G348" s="4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37"/>
      <c r="AF348" s="26"/>
      <c r="AG348" s="26"/>
      <c r="AH348" s="26"/>
      <c r="AI348" s="26"/>
      <c r="AJ348" s="26"/>
    </row>
    <row r="349" spans="1:36" s="19" customFormat="1" x14ac:dyDescent="0.3">
      <c r="A349" s="5"/>
      <c r="B349" s="5"/>
      <c r="C349" s="4"/>
      <c r="D349" s="4"/>
      <c r="E349" s="4"/>
      <c r="F349" s="4"/>
      <c r="G349" s="4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37"/>
      <c r="AF349" s="26"/>
      <c r="AG349" s="26"/>
      <c r="AH349" s="26"/>
      <c r="AI349" s="26"/>
      <c r="AJ349" s="26"/>
    </row>
    <row r="350" spans="1:36" s="19" customFormat="1" x14ac:dyDescent="0.3">
      <c r="A350" s="5"/>
      <c r="B350" s="5"/>
      <c r="C350" s="4"/>
      <c r="D350" s="4"/>
      <c r="E350" s="4"/>
      <c r="F350" s="4"/>
      <c r="G350" s="4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37"/>
      <c r="AF350" s="26"/>
      <c r="AG350" s="26"/>
      <c r="AH350" s="26"/>
      <c r="AI350" s="26"/>
      <c r="AJ350" s="26"/>
    </row>
    <row r="351" spans="1:36" s="19" customFormat="1" x14ac:dyDescent="0.3">
      <c r="A351" s="5"/>
      <c r="B351" s="5"/>
      <c r="C351" s="4"/>
      <c r="D351" s="4"/>
      <c r="E351" s="4"/>
      <c r="F351" s="4"/>
      <c r="G351" s="4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37"/>
      <c r="AF351" s="26"/>
      <c r="AG351" s="26"/>
      <c r="AH351" s="26"/>
      <c r="AI351" s="26"/>
      <c r="AJ351" s="26"/>
    </row>
    <row r="352" spans="1:36" s="19" customFormat="1" x14ac:dyDescent="0.3">
      <c r="A352" s="5"/>
      <c r="B352" s="5"/>
      <c r="C352" s="4"/>
      <c r="D352" s="4"/>
      <c r="E352" s="4"/>
      <c r="F352" s="4"/>
      <c r="G352" s="4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37"/>
      <c r="AF352" s="26"/>
      <c r="AG352" s="26"/>
      <c r="AH352" s="26"/>
      <c r="AI352" s="26"/>
      <c r="AJ352" s="26"/>
    </row>
    <row r="353" spans="1:36" s="19" customFormat="1" x14ac:dyDescent="0.3">
      <c r="A353" s="5"/>
      <c r="B353" s="5"/>
      <c r="C353" s="4"/>
      <c r="D353" s="4"/>
      <c r="E353" s="4"/>
      <c r="F353" s="4"/>
      <c r="G353" s="4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37"/>
      <c r="AF353" s="26"/>
      <c r="AG353" s="26"/>
      <c r="AH353" s="26"/>
      <c r="AI353" s="26"/>
      <c r="AJ353" s="26"/>
    </row>
    <row r="354" spans="1:36" s="19" customFormat="1" x14ac:dyDescent="0.3">
      <c r="A354" s="5"/>
      <c r="B354" s="5"/>
      <c r="C354" s="4"/>
      <c r="D354" s="4"/>
      <c r="E354" s="4"/>
      <c r="F354" s="4"/>
      <c r="G354" s="4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37"/>
      <c r="AF354" s="26"/>
      <c r="AG354" s="26"/>
      <c r="AH354" s="26"/>
      <c r="AI354" s="26"/>
      <c r="AJ354" s="26"/>
    </row>
    <row r="355" spans="1:36" s="19" customFormat="1" x14ac:dyDescent="0.3">
      <c r="A355" s="5"/>
      <c r="B355" s="5"/>
      <c r="C355" s="4"/>
      <c r="D355" s="4"/>
      <c r="E355" s="4"/>
      <c r="F355" s="4"/>
      <c r="G355" s="4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37"/>
      <c r="AF355" s="26"/>
      <c r="AG355" s="26"/>
      <c r="AH355" s="26"/>
      <c r="AI355" s="26"/>
      <c r="AJ355" s="26"/>
    </row>
    <row r="356" spans="1:36" s="19" customFormat="1" x14ac:dyDescent="0.3">
      <c r="A356" s="5"/>
      <c r="B356" s="5"/>
      <c r="C356" s="4"/>
      <c r="D356" s="4"/>
      <c r="E356" s="4"/>
      <c r="F356" s="4"/>
      <c r="G356" s="4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37"/>
      <c r="AF356" s="26"/>
      <c r="AG356" s="26"/>
      <c r="AH356" s="26"/>
      <c r="AI356" s="26"/>
      <c r="AJ356" s="26"/>
    </row>
    <row r="357" spans="1:36" s="19" customFormat="1" x14ac:dyDescent="0.3">
      <c r="A357" s="5"/>
      <c r="B357" s="5"/>
      <c r="C357" s="4"/>
      <c r="D357" s="4"/>
      <c r="E357" s="4"/>
      <c r="F357" s="4"/>
      <c r="G357" s="4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37"/>
      <c r="AF357" s="26"/>
      <c r="AG357" s="26"/>
      <c r="AH357" s="26"/>
      <c r="AI357" s="26"/>
      <c r="AJ357" s="26"/>
    </row>
    <row r="358" spans="1:36" s="19" customFormat="1" x14ac:dyDescent="0.3">
      <c r="A358" s="5"/>
      <c r="B358" s="5"/>
      <c r="C358" s="4"/>
      <c r="D358" s="4"/>
      <c r="E358" s="4"/>
      <c r="F358" s="4"/>
      <c r="G358" s="4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37"/>
      <c r="AF358" s="26"/>
      <c r="AG358" s="26"/>
      <c r="AH358" s="26"/>
      <c r="AI358" s="26"/>
      <c r="AJ358" s="26"/>
    </row>
    <row r="359" spans="1:36" s="19" customFormat="1" x14ac:dyDescent="0.3">
      <c r="A359" s="5"/>
      <c r="B359" s="5"/>
      <c r="C359" s="4"/>
      <c r="D359" s="4"/>
      <c r="E359" s="4"/>
      <c r="F359" s="4"/>
      <c r="G359" s="4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37"/>
      <c r="AF359" s="26"/>
      <c r="AG359" s="26"/>
      <c r="AH359" s="26"/>
      <c r="AI359" s="26"/>
      <c r="AJ359" s="26"/>
    </row>
    <row r="360" spans="1:36" s="19" customFormat="1" x14ac:dyDescent="0.3">
      <c r="A360" s="5"/>
      <c r="B360" s="5"/>
      <c r="C360" s="4"/>
      <c r="D360" s="4"/>
      <c r="E360" s="4"/>
      <c r="F360" s="4"/>
      <c r="G360" s="4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37"/>
      <c r="AF360" s="26"/>
      <c r="AG360" s="26"/>
      <c r="AH360" s="26"/>
      <c r="AI360" s="26"/>
      <c r="AJ360" s="26"/>
    </row>
    <row r="361" spans="1:36" s="19" customFormat="1" x14ac:dyDescent="0.3">
      <c r="A361" s="5"/>
      <c r="B361" s="5"/>
      <c r="C361" s="4"/>
      <c r="D361" s="4"/>
      <c r="E361" s="4"/>
      <c r="F361" s="4"/>
      <c r="G361" s="4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37"/>
      <c r="AF361" s="26"/>
      <c r="AG361" s="26"/>
      <c r="AH361" s="26"/>
      <c r="AI361" s="26"/>
      <c r="AJ361" s="26"/>
    </row>
    <row r="362" spans="1:36" s="19" customFormat="1" x14ac:dyDescent="0.3">
      <c r="A362" s="5"/>
      <c r="B362" s="5"/>
      <c r="C362" s="4"/>
      <c r="D362" s="4"/>
      <c r="E362" s="4"/>
      <c r="F362" s="4"/>
      <c r="G362" s="4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37"/>
      <c r="AF362" s="26"/>
      <c r="AG362" s="26"/>
      <c r="AH362" s="26"/>
      <c r="AI362" s="26"/>
      <c r="AJ362" s="26"/>
    </row>
    <row r="363" spans="1:36" s="19" customFormat="1" x14ac:dyDescent="0.3">
      <c r="A363" s="5"/>
      <c r="B363" s="5"/>
      <c r="C363" s="4"/>
      <c r="D363" s="4"/>
      <c r="E363" s="4"/>
      <c r="F363" s="4"/>
      <c r="G363" s="4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37"/>
      <c r="AF363" s="26"/>
      <c r="AG363" s="26"/>
      <c r="AH363" s="26"/>
      <c r="AI363" s="26"/>
      <c r="AJ363" s="26"/>
    </row>
    <row r="364" spans="1:36" s="19" customFormat="1" x14ac:dyDescent="0.3">
      <c r="A364" s="5"/>
      <c r="B364" s="5"/>
      <c r="C364" s="4"/>
      <c r="D364" s="4"/>
      <c r="E364" s="4"/>
      <c r="F364" s="4"/>
      <c r="G364" s="4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37"/>
      <c r="AF364" s="26"/>
      <c r="AG364" s="26"/>
      <c r="AH364" s="26"/>
      <c r="AI364" s="26"/>
      <c r="AJ364" s="26"/>
    </row>
    <row r="365" spans="1:36" s="19" customFormat="1" x14ac:dyDescent="0.3">
      <c r="A365" s="5"/>
      <c r="B365" s="5"/>
      <c r="C365" s="4"/>
      <c r="D365" s="4"/>
      <c r="E365" s="4"/>
      <c r="F365" s="4"/>
      <c r="G365" s="4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37"/>
      <c r="AF365" s="26"/>
      <c r="AG365" s="26"/>
      <c r="AH365" s="26"/>
      <c r="AI365" s="26"/>
      <c r="AJ365" s="26"/>
    </row>
    <row r="366" spans="1:36" s="19" customFormat="1" x14ac:dyDescent="0.3">
      <c r="A366" s="5"/>
      <c r="B366" s="5"/>
      <c r="C366" s="4"/>
      <c r="D366" s="4"/>
      <c r="E366" s="4"/>
      <c r="F366" s="4"/>
      <c r="G366" s="4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37"/>
      <c r="AF366" s="26"/>
      <c r="AG366" s="26"/>
      <c r="AH366" s="26"/>
      <c r="AI366" s="26"/>
      <c r="AJ366" s="26"/>
    </row>
    <row r="367" spans="1:36" s="19" customFormat="1" x14ac:dyDescent="0.3">
      <c r="A367" s="5"/>
      <c r="B367" s="5"/>
      <c r="C367" s="4"/>
      <c r="D367" s="4"/>
      <c r="E367" s="4"/>
      <c r="F367" s="4"/>
      <c r="G367" s="4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37"/>
      <c r="AF367" s="26"/>
      <c r="AG367" s="26"/>
      <c r="AH367" s="26"/>
      <c r="AI367" s="26"/>
      <c r="AJ367" s="26"/>
    </row>
    <row r="368" spans="1:36" s="19" customFormat="1" x14ac:dyDescent="0.3">
      <c r="A368" s="5"/>
      <c r="B368" s="5"/>
      <c r="C368" s="4"/>
      <c r="D368" s="4"/>
      <c r="E368" s="4"/>
      <c r="F368" s="4"/>
      <c r="G368" s="4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37"/>
      <c r="AF368" s="26"/>
      <c r="AG368" s="26"/>
      <c r="AH368" s="26"/>
      <c r="AI368" s="26"/>
      <c r="AJ368" s="26"/>
    </row>
    <row r="369" spans="1:36" s="19" customFormat="1" x14ac:dyDescent="0.3">
      <c r="A369" s="5"/>
      <c r="B369" s="5"/>
      <c r="C369" s="4"/>
      <c r="D369" s="4"/>
      <c r="E369" s="4"/>
      <c r="F369" s="4"/>
      <c r="G369" s="4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37"/>
      <c r="AF369" s="26"/>
      <c r="AG369" s="26"/>
      <c r="AH369" s="26"/>
      <c r="AI369" s="26"/>
      <c r="AJ369" s="26"/>
    </row>
    <row r="370" spans="1:36" s="19" customFormat="1" x14ac:dyDescent="0.3">
      <c r="A370" s="5"/>
      <c r="B370" s="5"/>
      <c r="C370" s="4"/>
      <c r="D370" s="4"/>
      <c r="E370" s="4"/>
      <c r="F370" s="4"/>
      <c r="G370" s="4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37"/>
      <c r="AF370" s="26"/>
      <c r="AG370" s="26"/>
      <c r="AH370" s="26"/>
      <c r="AI370" s="26"/>
      <c r="AJ370" s="26"/>
    </row>
    <row r="371" spans="1:36" s="19" customFormat="1" x14ac:dyDescent="0.3">
      <c r="A371" s="5"/>
      <c r="B371" s="5"/>
      <c r="C371" s="4"/>
      <c r="D371" s="4"/>
      <c r="E371" s="4"/>
      <c r="F371" s="4"/>
      <c r="G371" s="4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37"/>
      <c r="AF371" s="26"/>
      <c r="AG371" s="26"/>
      <c r="AH371" s="26"/>
      <c r="AI371" s="26"/>
      <c r="AJ371" s="26"/>
    </row>
    <row r="372" spans="1:36" s="19" customFormat="1" x14ac:dyDescent="0.3">
      <c r="A372" s="5"/>
      <c r="B372" s="5"/>
      <c r="C372" s="4"/>
      <c r="D372" s="4"/>
      <c r="E372" s="4"/>
      <c r="F372" s="4"/>
      <c r="G372" s="4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37"/>
      <c r="AF372" s="26"/>
      <c r="AG372" s="26"/>
      <c r="AH372" s="26"/>
      <c r="AI372" s="26"/>
      <c r="AJ372" s="26"/>
    </row>
    <row r="373" spans="1:36" s="19" customFormat="1" x14ac:dyDescent="0.3">
      <c r="A373" s="5"/>
      <c r="B373" s="5"/>
      <c r="C373" s="4"/>
      <c r="D373" s="4"/>
      <c r="E373" s="4"/>
      <c r="F373" s="4"/>
      <c r="G373" s="4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37"/>
      <c r="AF373" s="26"/>
      <c r="AG373" s="26"/>
      <c r="AH373" s="26"/>
      <c r="AI373" s="26"/>
      <c r="AJ373" s="26"/>
    </row>
    <row r="374" spans="1:36" s="19" customFormat="1" x14ac:dyDescent="0.3">
      <c r="A374" s="5"/>
      <c r="B374" s="5"/>
      <c r="C374" s="4"/>
      <c r="D374" s="4"/>
      <c r="E374" s="4"/>
      <c r="F374" s="4"/>
      <c r="G374" s="4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37"/>
      <c r="AF374" s="26"/>
      <c r="AG374" s="26"/>
      <c r="AH374" s="26"/>
      <c r="AI374" s="26"/>
      <c r="AJ374" s="26"/>
    </row>
    <row r="375" spans="1:36" s="19" customFormat="1" x14ac:dyDescent="0.3">
      <c r="A375" s="5"/>
      <c r="B375" s="5"/>
      <c r="C375" s="4"/>
      <c r="D375" s="4"/>
      <c r="E375" s="4"/>
      <c r="F375" s="4"/>
      <c r="G375" s="4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37"/>
      <c r="AF375" s="26"/>
      <c r="AG375" s="26"/>
      <c r="AH375" s="26"/>
      <c r="AI375" s="26"/>
      <c r="AJ375" s="26"/>
    </row>
    <row r="376" spans="1:36" s="19" customFormat="1" x14ac:dyDescent="0.3">
      <c r="A376" s="5"/>
      <c r="B376" s="5"/>
      <c r="C376" s="4"/>
      <c r="D376" s="4"/>
      <c r="E376" s="4"/>
      <c r="F376" s="4"/>
      <c r="G376" s="4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37"/>
      <c r="AF376" s="26"/>
      <c r="AG376" s="26"/>
      <c r="AH376" s="26"/>
      <c r="AI376" s="26"/>
      <c r="AJ376" s="26"/>
    </row>
    <row r="377" spans="1:36" s="19" customFormat="1" x14ac:dyDescent="0.3">
      <c r="A377" s="5"/>
      <c r="B377" s="5"/>
      <c r="C377" s="4"/>
      <c r="D377" s="4"/>
      <c r="E377" s="4"/>
      <c r="F377" s="4"/>
      <c r="G377" s="4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37"/>
      <c r="AF377" s="26"/>
      <c r="AG377" s="26"/>
      <c r="AH377" s="26"/>
      <c r="AI377" s="26"/>
      <c r="AJ377" s="26"/>
    </row>
    <row r="378" spans="1:36" s="19" customFormat="1" x14ac:dyDescent="0.3">
      <c r="A378" s="5"/>
      <c r="B378" s="5"/>
      <c r="C378" s="4"/>
      <c r="D378" s="4"/>
      <c r="E378" s="4"/>
      <c r="F378" s="4"/>
      <c r="G378" s="4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37"/>
      <c r="AF378" s="26"/>
      <c r="AG378" s="26"/>
      <c r="AH378" s="26"/>
      <c r="AI378" s="26"/>
      <c r="AJ378" s="26"/>
    </row>
    <row r="379" spans="1:36" s="19" customFormat="1" x14ac:dyDescent="0.3">
      <c r="A379" s="5"/>
      <c r="B379" s="5"/>
      <c r="C379" s="4"/>
      <c r="D379" s="4"/>
      <c r="E379" s="4"/>
      <c r="F379" s="4"/>
      <c r="G379" s="4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37"/>
      <c r="AF379" s="26"/>
      <c r="AG379" s="26"/>
      <c r="AH379" s="26"/>
      <c r="AI379" s="26"/>
      <c r="AJ379" s="26"/>
    </row>
    <row r="380" spans="1:36" s="19" customFormat="1" x14ac:dyDescent="0.3">
      <c r="A380" s="5"/>
      <c r="B380" s="5"/>
      <c r="C380" s="4"/>
      <c r="D380" s="4"/>
      <c r="E380" s="4"/>
      <c r="F380" s="4"/>
      <c r="G380" s="4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37"/>
      <c r="AF380" s="26"/>
      <c r="AG380" s="26"/>
      <c r="AH380" s="26"/>
      <c r="AI380" s="26"/>
      <c r="AJ380" s="26"/>
    </row>
    <row r="381" spans="1:36" s="19" customFormat="1" x14ac:dyDescent="0.3">
      <c r="A381" s="5"/>
      <c r="B381" s="5"/>
      <c r="C381" s="4"/>
      <c r="D381" s="4"/>
      <c r="E381" s="4"/>
      <c r="F381" s="4"/>
      <c r="G381" s="4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37"/>
      <c r="AF381" s="26"/>
      <c r="AG381" s="26"/>
      <c r="AH381" s="26"/>
      <c r="AI381" s="26"/>
      <c r="AJ381" s="26"/>
    </row>
    <row r="382" spans="1:36" s="19" customFormat="1" x14ac:dyDescent="0.3">
      <c r="A382" s="5"/>
      <c r="B382" s="5"/>
      <c r="C382" s="4"/>
      <c r="D382" s="4"/>
      <c r="E382" s="4"/>
      <c r="F382" s="4"/>
      <c r="G382" s="4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37"/>
      <c r="AF382" s="26"/>
      <c r="AG382" s="26"/>
      <c r="AH382" s="26"/>
      <c r="AI382" s="26"/>
      <c r="AJ382" s="26"/>
    </row>
    <row r="383" spans="1:36" s="19" customFormat="1" x14ac:dyDescent="0.3">
      <c r="A383" s="5"/>
      <c r="B383" s="5"/>
      <c r="C383" s="4"/>
      <c r="D383" s="4"/>
      <c r="E383" s="4"/>
      <c r="F383" s="4"/>
      <c r="G383" s="4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37"/>
      <c r="AF383" s="26"/>
      <c r="AG383" s="26"/>
      <c r="AH383" s="26"/>
      <c r="AI383" s="26"/>
      <c r="AJ383" s="26"/>
    </row>
    <row r="384" spans="1:36" s="19" customFormat="1" x14ac:dyDescent="0.3">
      <c r="A384" s="5"/>
      <c r="B384" s="5"/>
      <c r="C384" s="4"/>
      <c r="D384" s="4"/>
      <c r="E384" s="4"/>
      <c r="F384" s="4"/>
      <c r="G384" s="4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37"/>
      <c r="AF384" s="26"/>
      <c r="AG384" s="26"/>
      <c r="AH384" s="26"/>
      <c r="AI384" s="26"/>
      <c r="AJ384" s="26"/>
    </row>
    <row r="385" spans="1:36" s="19" customFormat="1" x14ac:dyDescent="0.3">
      <c r="A385" s="5"/>
      <c r="B385" s="5"/>
      <c r="C385" s="4"/>
      <c r="D385" s="4"/>
      <c r="E385" s="4"/>
      <c r="F385" s="4"/>
      <c r="G385" s="4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37"/>
      <c r="AF385" s="26"/>
      <c r="AG385" s="26"/>
      <c r="AH385" s="26"/>
      <c r="AI385" s="26"/>
      <c r="AJ385" s="26"/>
    </row>
    <row r="386" spans="1:36" s="19" customFormat="1" x14ac:dyDescent="0.3">
      <c r="A386" s="5"/>
      <c r="B386" s="5"/>
      <c r="C386" s="4"/>
      <c r="D386" s="4"/>
      <c r="E386" s="4"/>
      <c r="F386" s="4"/>
      <c r="G386" s="4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37"/>
      <c r="AF386" s="26"/>
      <c r="AG386" s="26"/>
      <c r="AH386" s="26"/>
      <c r="AI386" s="26"/>
      <c r="AJ386" s="26"/>
    </row>
    <row r="387" spans="1:36" s="19" customFormat="1" x14ac:dyDescent="0.3">
      <c r="A387" s="5"/>
      <c r="B387" s="5"/>
      <c r="C387" s="4"/>
      <c r="D387" s="4"/>
      <c r="E387" s="4"/>
      <c r="F387" s="4"/>
      <c r="G387" s="4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37"/>
      <c r="AF387" s="26"/>
      <c r="AG387" s="26"/>
      <c r="AH387" s="26"/>
      <c r="AI387" s="26"/>
      <c r="AJ387" s="26"/>
    </row>
    <row r="388" spans="1:36" s="19" customFormat="1" x14ac:dyDescent="0.3">
      <c r="A388" s="5"/>
      <c r="B388" s="5"/>
      <c r="C388" s="4"/>
      <c r="D388" s="4"/>
      <c r="E388" s="4"/>
      <c r="F388" s="4"/>
      <c r="G388" s="4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37"/>
      <c r="AF388" s="26"/>
      <c r="AG388" s="26"/>
      <c r="AH388" s="26"/>
      <c r="AI388" s="26"/>
      <c r="AJ388" s="26"/>
    </row>
    <row r="389" spans="1:36" s="19" customFormat="1" x14ac:dyDescent="0.3">
      <c r="A389" s="5"/>
      <c r="B389" s="5"/>
      <c r="C389" s="4"/>
      <c r="D389" s="4"/>
      <c r="E389" s="4"/>
      <c r="F389" s="4"/>
      <c r="G389" s="4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37"/>
      <c r="AF389" s="26"/>
      <c r="AG389" s="26"/>
      <c r="AH389" s="26"/>
      <c r="AI389" s="26"/>
      <c r="AJ389" s="26"/>
    </row>
    <row r="390" spans="1:36" s="19" customFormat="1" x14ac:dyDescent="0.3">
      <c r="A390" s="5"/>
      <c r="B390" s="5"/>
      <c r="C390" s="4"/>
      <c r="D390" s="4"/>
      <c r="E390" s="4"/>
      <c r="F390" s="4"/>
      <c r="G390" s="4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37"/>
      <c r="AF390" s="5"/>
      <c r="AG390" s="5"/>
      <c r="AH390" s="26"/>
      <c r="AI390" s="26"/>
      <c r="AJ390" s="26"/>
    </row>
    <row r="391" spans="1:36" s="19" customFormat="1" x14ac:dyDescent="0.3">
      <c r="A391" s="5"/>
      <c r="B391" s="5"/>
      <c r="C391" s="4"/>
      <c r="D391" s="4"/>
      <c r="E391" s="4"/>
      <c r="F391" s="4"/>
      <c r="G391" s="4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37"/>
      <c r="AF391" s="37"/>
      <c r="AG391" s="37"/>
      <c r="AH391" s="26"/>
      <c r="AI391" s="26"/>
      <c r="AJ391" s="26"/>
    </row>
    <row r="392" spans="1:36" s="19" customFormat="1" x14ac:dyDescent="0.3">
      <c r="A392" s="5"/>
      <c r="B392" s="5"/>
      <c r="C392" s="4"/>
      <c r="D392" s="4"/>
      <c r="E392" s="4"/>
      <c r="F392" s="4"/>
      <c r="G392" s="4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37"/>
      <c r="AF392" s="37"/>
      <c r="AG392" s="37"/>
      <c r="AH392" s="26"/>
      <c r="AI392" s="26"/>
      <c r="AJ392" s="26"/>
    </row>
    <row r="393" spans="1:36" s="19" customFormat="1" x14ac:dyDescent="0.3">
      <c r="A393" s="5"/>
      <c r="B393" s="5"/>
      <c r="C393" s="4"/>
      <c r="D393" s="4"/>
      <c r="E393" s="4"/>
      <c r="F393" s="4"/>
      <c r="G393" s="4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37"/>
      <c r="AF393" s="37"/>
      <c r="AG393" s="37"/>
      <c r="AH393" s="26"/>
      <c r="AI393" s="26"/>
      <c r="AJ393" s="26"/>
    </row>
    <row r="394" spans="1:36" s="19" customFormat="1" x14ac:dyDescent="0.3">
      <c r="A394" s="5"/>
      <c r="B394" s="5"/>
      <c r="C394" s="4"/>
      <c r="D394" s="4"/>
      <c r="E394" s="4"/>
      <c r="F394" s="4"/>
      <c r="G394" s="4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37"/>
      <c r="AF394" s="37"/>
      <c r="AG394" s="37"/>
      <c r="AH394" s="26"/>
      <c r="AI394" s="26"/>
      <c r="AJ394" s="26"/>
    </row>
    <row r="395" spans="1:36" s="19" customFormat="1" x14ac:dyDescent="0.3">
      <c r="A395" s="5"/>
      <c r="B395" s="5"/>
      <c r="C395" s="4"/>
      <c r="D395" s="4"/>
      <c r="E395" s="4"/>
      <c r="F395" s="4"/>
      <c r="G395" s="4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37"/>
      <c r="AF395" s="37"/>
      <c r="AG395" s="37"/>
      <c r="AH395" s="26"/>
      <c r="AI395" s="26"/>
      <c r="AJ395" s="26"/>
    </row>
    <row r="396" spans="1:36" s="19" customFormat="1" x14ac:dyDescent="0.3">
      <c r="A396" s="5"/>
      <c r="B396" s="5"/>
      <c r="C396" s="4"/>
      <c r="D396" s="4"/>
      <c r="E396" s="4"/>
      <c r="F396" s="4"/>
      <c r="G396" s="4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37"/>
      <c r="AF396" s="37"/>
      <c r="AG396" s="37"/>
      <c r="AH396" s="26"/>
      <c r="AI396" s="26"/>
      <c r="AJ396" s="26"/>
    </row>
    <row r="397" spans="1:36" s="19" customFormat="1" x14ac:dyDescent="0.3">
      <c r="A397" s="5"/>
      <c r="B397" s="5"/>
      <c r="C397" s="4"/>
      <c r="D397" s="4"/>
      <c r="E397" s="4"/>
      <c r="F397" s="4"/>
      <c r="G397" s="4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37"/>
      <c r="AF397" s="37"/>
      <c r="AG397" s="37"/>
      <c r="AH397" s="26"/>
      <c r="AI397" s="26"/>
      <c r="AJ397" s="26"/>
    </row>
    <row r="398" spans="1:36" s="19" customFormat="1" x14ac:dyDescent="0.3">
      <c r="A398" s="5"/>
      <c r="B398" s="5"/>
      <c r="C398" s="4"/>
      <c r="D398" s="4"/>
      <c r="E398" s="4"/>
      <c r="F398" s="4"/>
      <c r="G398" s="4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37"/>
      <c r="AF398" s="37"/>
      <c r="AG398" s="37"/>
      <c r="AH398" s="26"/>
      <c r="AI398" s="26"/>
      <c r="AJ398" s="26"/>
    </row>
    <row r="399" spans="1:36" s="19" customFormat="1" x14ac:dyDescent="0.3">
      <c r="A399" s="5"/>
      <c r="B399" s="5"/>
      <c r="C399" s="4"/>
      <c r="D399" s="4"/>
      <c r="E399" s="4"/>
      <c r="F399" s="4"/>
      <c r="G399" s="4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37"/>
      <c r="AF399" s="37"/>
      <c r="AG399" s="37"/>
      <c r="AH399" s="26"/>
      <c r="AI399" s="26"/>
      <c r="AJ399" s="26"/>
    </row>
    <row r="400" spans="1:36" s="19" customFormat="1" x14ac:dyDescent="0.3">
      <c r="A400" s="5"/>
      <c r="B400" s="5"/>
      <c r="C400" s="4"/>
      <c r="D400" s="4"/>
      <c r="E400" s="4"/>
      <c r="F400" s="4"/>
      <c r="G400" s="4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37"/>
      <c r="AF400" s="37"/>
      <c r="AG400" s="37"/>
      <c r="AH400" s="26"/>
      <c r="AI400" s="26"/>
      <c r="AJ400" s="26"/>
    </row>
    <row r="401" spans="1:36" s="19" customFormat="1" x14ac:dyDescent="0.3">
      <c r="A401" s="5"/>
      <c r="B401" s="5"/>
      <c r="C401" s="4"/>
      <c r="D401" s="4"/>
      <c r="E401" s="4"/>
      <c r="F401" s="4"/>
      <c r="G401" s="4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37"/>
      <c r="AF401" s="37"/>
      <c r="AG401" s="37"/>
      <c r="AH401" s="26"/>
      <c r="AI401" s="26"/>
      <c r="AJ401" s="26"/>
    </row>
    <row r="402" spans="1:36" s="19" customFormat="1" x14ac:dyDescent="0.3">
      <c r="A402" s="5"/>
      <c r="B402" s="5"/>
      <c r="C402" s="4"/>
      <c r="D402" s="4"/>
      <c r="E402" s="4"/>
      <c r="F402" s="4"/>
      <c r="G402" s="4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37"/>
      <c r="AF402" s="37"/>
      <c r="AG402" s="37"/>
      <c r="AH402" s="26"/>
      <c r="AI402" s="26"/>
      <c r="AJ402" s="26"/>
    </row>
    <row r="403" spans="1:36" s="19" customFormat="1" x14ac:dyDescent="0.3">
      <c r="A403" s="5"/>
      <c r="B403" s="5"/>
      <c r="C403" s="4"/>
      <c r="D403" s="4"/>
      <c r="E403" s="4"/>
      <c r="F403" s="4"/>
      <c r="G403" s="4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37"/>
      <c r="AF403" s="37"/>
      <c r="AG403" s="37"/>
      <c r="AH403" s="26"/>
      <c r="AI403" s="26"/>
      <c r="AJ403" s="26"/>
    </row>
    <row r="404" spans="1:36" s="19" customFormat="1" x14ac:dyDescent="0.3">
      <c r="A404" s="5"/>
      <c r="B404" s="5"/>
      <c r="C404" s="4"/>
      <c r="D404" s="4"/>
      <c r="E404" s="4"/>
      <c r="F404" s="4"/>
      <c r="G404" s="4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37"/>
      <c r="AF404" s="37"/>
      <c r="AG404" s="37"/>
      <c r="AH404" s="26"/>
      <c r="AI404" s="26"/>
      <c r="AJ404" s="26"/>
    </row>
    <row r="405" spans="1:36" s="19" customFormat="1" x14ac:dyDescent="0.3">
      <c r="A405" s="5"/>
      <c r="B405" s="5"/>
      <c r="C405" s="4"/>
      <c r="D405" s="4"/>
      <c r="E405" s="4"/>
      <c r="F405" s="4"/>
      <c r="G405" s="4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37"/>
      <c r="AF405" s="37"/>
      <c r="AG405" s="37"/>
      <c r="AH405" s="26"/>
      <c r="AI405" s="26"/>
      <c r="AJ405" s="26"/>
    </row>
    <row r="406" spans="1:36" s="19" customFormat="1" x14ac:dyDescent="0.3">
      <c r="A406" s="5"/>
      <c r="B406" s="5"/>
      <c r="C406" s="4"/>
      <c r="D406" s="4"/>
      <c r="E406" s="4"/>
      <c r="F406" s="4"/>
      <c r="G406" s="4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37"/>
      <c r="AF406" s="37"/>
      <c r="AG406" s="37"/>
      <c r="AH406" s="26"/>
      <c r="AI406" s="26"/>
      <c r="AJ406" s="26"/>
    </row>
    <row r="407" spans="1:36" s="19" customFormat="1" x14ac:dyDescent="0.3">
      <c r="A407" s="5"/>
      <c r="B407" s="5"/>
      <c r="C407" s="4"/>
      <c r="D407" s="4"/>
      <c r="E407" s="4"/>
      <c r="F407" s="4"/>
      <c r="G407" s="4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37"/>
      <c r="AF407" s="37"/>
      <c r="AG407" s="37"/>
      <c r="AH407" s="26"/>
      <c r="AI407" s="26"/>
      <c r="AJ407" s="26"/>
    </row>
    <row r="408" spans="1:36" s="19" customFormat="1" x14ac:dyDescent="0.3">
      <c r="A408" s="5"/>
      <c r="B408" s="5"/>
      <c r="C408" s="4"/>
      <c r="D408" s="4"/>
      <c r="E408" s="4"/>
      <c r="F408" s="4"/>
      <c r="G408" s="4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37"/>
      <c r="AF408" s="37"/>
      <c r="AG408" s="37"/>
      <c r="AH408" s="26"/>
      <c r="AI408" s="26"/>
      <c r="AJ408" s="26"/>
    </row>
    <row r="409" spans="1:36" s="19" customFormat="1" x14ac:dyDescent="0.3">
      <c r="A409" s="5"/>
      <c r="B409" s="5"/>
      <c r="C409" s="4"/>
      <c r="D409" s="4"/>
      <c r="E409" s="4"/>
      <c r="F409" s="4"/>
      <c r="G409" s="4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37"/>
      <c r="AF409" s="37"/>
      <c r="AG409" s="37"/>
      <c r="AH409" s="26"/>
      <c r="AI409" s="26"/>
      <c r="AJ409" s="26"/>
    </row>
    <row r="410" spans="1:36" s="19" customFormat="1" x14ac:dyDescent="0.3">
      <c r="A410" s="5"/>
      <c r="B410" s="5"/>
      <c r="C410" s="4"/>
      <c r="D410" s="4"/>
      <c r="E410" s="4"/>
      <c r="F410" s="4"/>
      <c r="G410" s="4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37"/>
      <c r="AF410" s="37"/>
      <c r="AG410" s="37"/>
      <c r="AH410" s="26"/>
      <c r="AI410" s="26"/>
      <c r="AJ410" s="26"/>
    </row>
    <row r="411" spans="1:36" s="19" customFormat="1" x14ac:dyDescent="0.3">
      <c r="A411" s="5"/>
      <c r="B411" s="5"/>
      <c r="C411" s="4"/>
      <c r="D411" s="4"/>
      <c r="E411" s="4"/>
      <c r="F411" s="4"/>
      <c r="G411" s="4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37"/>
      <c r="AF411" s="37"/>
      <c r="AG411" s="37"/>
      <c r="AH411" s="26"/>
      <c r="AI411" s="26"/>
      <c r="AJ411" s="26"/>
    </row>
    <row r="412" spans="1:36" s="19" customFormat="1" x14ac:dyDescent="0.3">
      <c r="A412" s="5"/>
      <c r="B412" s="5"/>
      <c r="C412" s="4"/>
      <c r="D412" s="4"/>
      <c r="E412" s="4"/>
      <c r="F412" s="4"/>
      <c r="G412" s="4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37"/>
      <c r="AF412" s="37"/>
      <c r="AG412" s="37"/>
      <c r="AH412" s="26"/>
      <c r="AI412" s="26"/>
      <c r="AJ412" s="26"/>
    </row>
    <row r="413" spans="1:36" s="19" customFormat="1" x14ac:dyDescent="0.3">
      <c r="A413" s="5"/>
      <c r="B413" s="5"/>
      <c r="C413" s="4"/>
      <c r="D413" s="4"/>
      <c r="E413" s="4"/>
      <c r="F413" s="4"/>
      <c r="G413" s="4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37"/>
      <c r="AF413" s="37"/>
      <c r="AG413" s="37"/>
      <c r="AH413" s="26"/>
      <c r="AI413" s="26"/>
      <c r="AJ413" s="26"/>
    </row>
    <row r="414" spans="1:36" s="19" customFormat="1" x14ac:dyDescent="0.3">
      <c r="A414" s="5"/>
      <c r="B414" s="5"/>
      <c r="C414" s="4"/>
      <c r="D414" s="4"/>
      <c r="E414" s="4"/>
      <c r="F414" s="4"/>
      <c r="G414" s="4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37"/>
      <c r="AF414" s="37"/>
      <c r="AG414" s="37"/>
      <c r="AH414" s="26"/>
      <c r="AI414" s="26"/>
      <c r="AJ414" s="26"/>
    </row>
    <row r="415" spans="1:36" s="19" customFormat="1" x14ac:dyDescent="0.3">
      <c r="A415" s="5"/>
      <c r="B415" s="5"/>
      <c r="C415" s="4"/>
      <c r="D415" s="4"/>
      <c r="E415" s="4"/>
      <c r="F415" s="4"/>
      <c r="G415" s="4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37"/>
      <c r="AF415" s="37"/>
      <c r="AG415" s="37"/>
      <c r="AH415" s="26"/>
      <c r="AI415" s="26"/>
      <c r="AJ415" s="26"/>
    </row>
    <row r="416" spans="1:36" s="19" customFormat="1" x14ac:dyDescent="0.3">
      <c r="A416" s="5"/>
      <c r="B416" s="5"/>
      <c r="C416" s="4"/>
      <c r="D416" s="4"/>
      <c r="E416" s="4"/>
      <c r="F416" s="4"/>
      <c r="G416" s="4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37"/>
      <c r="AF416" s="37"/>
      <c r="AG416" s="37"/>
      <c r="AH416" s="26"/>
      <c r="AI416" s="26"/>
      <c r="AJ416" s="26"/>
    </row>
    <row r="417" spans="1:36" s="19" customFormat="1" x14ac:dyDescent="0.3">
      <c r="A417" s="5"/>
      <c r="B417" s="5"/>
      <c r="C417" s="4"/>
      <c r="D417" s="4"/>
      <c r="E417" s="4"/>
      <c r="F417" s="4"/>
      <c r="G417" s="4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37"/>
      <c r="AF417" s="37"/>
      <c r="AG417" s="37"/>
      <c r="AH417" s="26"/>
      <c r="AI417" s="26"/>
      <c r="AJ417" s="26"/>
    </row>
    <row r="418" spans="1:36" s="19" customFormat="1" x14ac:dyDescent="0.3">
      <c r="A418" s="5"/>
      <c r="B418" s="5"/>
      <c r="C418" s="4"/>
      <c r="D418" s="4"/>
      <c r="E418" s="4"/>
      <c r="F418" s="4"/>
      <c r="G418" s="4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37"/>
      <c r="AF418" s="37"/>
      <c r="AG418" s="37"/>
      <c r="AH418" s="26"/>
      <c r="AI418" s="26"/>
      <c r="AJ418" s="26"/>
    </row>
    <row r="419" spans="1:36" s="19" customFormat="1" x14ac:dyDescent="0.3">
      <c r="A419" s="5"/>
      <c r="B419" s="5"/>
      <c r="C419" s="4"/>
      <c r="D419" s="4"/>
      <c r="E419" s="4"/>
      <c r="F419" s="4"/>
      <c r="G419" s="4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37"/>
      <c r="AF419" s="37"/>
      <c r="AG419" s="37"/>
      <c r="AH419" s="26"/>
      <c r="AI419" s="26"/>
      <c r="AJ419" s="26"/>
    </row>
    <row r="420" spans="1:36" s="19" customFormat="1" x14ac:dyDescent="0.3">
      <c r="A420" s="5"/>
      <c r="B420" s="5"/>
      <c r="C420" s="4"/>
      <c r="D420" s="4"/>
      <c r="E420" s="4"/>
      <c r="F420" s="4"/>
      <c r="G420" s="4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37"/>
      <c r="AF420" s="37"/>
      <c r="AG420" s="37"/>
      <c r="AH420" s="26"/>
      <c r="AI420" s="26"/>
      <c r="AJ420" s="26"/>
    </row>
    <row r="421" spans="1:36" s="19" customFormat="1" x14ac:dyDescent="0.3">
      <c r="A421" s="5"/>
      <c r="B421" s="5"/>
      <c r="C421" s="4"/>
      <c r="D421" s="4"/>
      <c r="E421" s="4"/>
      <c r="F421" s="4"/>
      <c r="G421" s="4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37"/>
      <c r="AF421" s="37"/>
      <c r="AG421" s="37"/>
      <c r="AH421" s="26"/>
      <c r="AI421" s="26"/>
      <c r="AJ421" s="26"/>
    </row>
    <row r="422" spans="1:36" s="19" customFormat="1" x14ac:dyDescent="0.3">
      <c r="A422" s="5"/>
      <c r="B422" s="5"/>
      <c r="C422" s="4"/>
      <c r="D422" s="4"/>
      <c r="E422" s="4"/>
      <c r="F422" s="4"/>
      <c r="G422" s="4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37"/>
      <c r="AF422" s="37"/>
      <c r="AG422" s="37"/>
      <c r="AH422" s="26"/>
      <c r="AI422" s="26"/>
      <c r="AJ422" s="26"/>
    </row>
    <row r="423" spans="1:36" s="19" customFormat="1" x14ac:dyDescent="0.3">
      <c r="A423" s="5"/>
      <c r="B423" s="5"/>
      <c r="C423" s="4"/>
      <c r="D423" s="4"/>
      <c r="E423" s="4"/>
      <c r="F423" s="4"/>
      <c r="G423" s="4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37"/>
      <c r="AF423" s="37"/>
      <c r="AG423" s="37"/>
      <c r="AH423" s="26"/>
      <c r="AI423" s="26"/>
      <c r="AJ423" s="26"/>
    </row>
    <row r="424" spans="1:36" s="19" customFormat="1" x14ac:dyDescent="0.3">
      <c r="A424" s="5"/>
      <c r="B424" s="5"/>
      <c r="C424" s="4"/>
      <c r="D424" s="4"/>
      <c r="E424" s="4"/>
      <c r="F424" s="4"/>
      <c r="G424" s="4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37"/>
      <c r="AF424" s="37"/>
      <c r="AG424" s="37"/>
      <c r="AH424" s="26"/>
      <c r="AI424" s="26"/>
      <c r="AJ424" s="26"/>
    </row>
    <row r="425" spans="1:36" s="19" customFormat="1" x14ac:dyDescent="0.3">
      <c r="A425" s="5"/>
      <c r="B425" s="5"/>
      <c r="C425" s="4"/>
      <c r="D425" s="4"/>
      <c r="E425" s="4"/>
      <c r="F425" s="4"/>
      <c r="G425" s="4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37"/>
      <c r="AF425" s="37"/>
      <c r="AG425" s="37"/>
      <c r="AH425" s="26"/>
      <c r="AI425" s="26"/>
      <c r="AJ425" s="26"/>
    </row>
    <row r="426" spans="1:36" s="19" customFormat="1" x14ac:dyDescent="0.3">
      <c r="A426" s="5"/>
      <c r="B426" s="5"/>
      <c r="C426" s="4"/>
      <c r="D426" s="4"/>
      <c r="E426" s="4"/>
      <c r="F426" s="4"/>
      <c r="G426" s="4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37"/>
      <c r="AF426" s="37"/>
      <c r="AG426" s="37"/>
      <c r="AH426" s="26"/>
      <c r="AI426" s="26"/>
      <c r="AJ426" s="26"/>
    </row>
    <row r="427" spans="1:36" s="19" customFormat="1" x14ac:dyDescent="0.3">
      <c r="A427" s="5"/>
      <c r="B427" s="5"/>
      <c r="C427" s="4"/>
      <c r="D427" s="4"/>
      <c r="E427" s="4"/>
      <c r="F427" s="4"/>
      <c r="G427" s="4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37"/>
      <c r="AF427" s="37"/>
      <c r="AG427" s="37"/>
      <c r="AH427" s="5"/>
      <c r="AI427" s="5"/>
      <c r="AJ427" s="26"/>
    </row>
    <row r="428" spans="1:36" s="19" customFormat="1" x14ac:dyDescent="0.3">
      <c r="A428" s="5"/>
      <c r="B428" s="5"/>
      <c r="C428" s="4"/>
      <c r="D428" s="4"/>
      <c r="E428" s="4"/>
      <c r="F428" s="4"/>
      <c r="G428" s="4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37"/>
      <c r="AF428" s="37"/>
      <c r="AG428" s="37"/>
      <c r="AH428" s="37"/>
      <c r="AI428" s="37"/>
      <c r="AJ428" s="26"/>
    </row>
    <row r="429" spans="1:36" s="19" customFormat="1" x14ac:dyDescent="0.3">
      <c r="A429" s="5"/>
      <c r="B429" s="5"/>
      <c r="C429" s="4"/>
      <c r="D429" s="4"/>
      <c r="E429" s="4"/>
      <c r="F429" s="4"/>
      <c r="G429" s="4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37"/>
      <c r="AF429" s="37"/>
      <c r="AG429" s="37"/>
      <c r="AH429" s="37"/>
      <c r="AI429" s="37"/>
      <c r="AJ429" s="26"/>
    </row>
    <row r="430" spans="1:36" s="19" customFormat="1" x14ac:dyDescent="0.3">
      <c r="A430" s="5"/>
      <c r="B430" s="5"/>
      <c r="C430" s="4"/>
      <c r="D430" s="4"/>
      <c r="E430" s="4"/>
      <c r="F430" s="4"/>
      <c r="G430" s="4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37"/>
      <c r="AF430" s="37"/>
      <c r="AG430" s="37"/>
      <c r="AH430" s="37"/>
      <c r="AI430" s="37"/>
      <c r="AJ430" s="26"/>
    </row>
    <row r="431" spans="1:36" s="19" customFormat="1" x14ac:dyDescent="0.3">
      <c r="A431" s="5"/>
      <c r="B431" s="5"/>
      <c r="C431" s="4"/>
      <c r="D431" s="4"/>
      <c r="E431" s="4"/>
      <c r="F431" s="4"/>
      <c r="G431" s="4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37"/>
      <c r="AF431" s="37"/>
      <c r="AG431" s="37"/>
      <c r="AH431" s="37"/>
      <c r="AI431" s="37"/>
      <c r="AJ431" s="26"/>
    </row>
    <row r="432" spans="1:36" s="19" customFormat="1" x14ac:dyDescent="0.3">
      <c r="A432" s="5"/>
      <c r="B432" s="5"/>
      <c r="C432" s="4"/>
      <c r="D432" s="4"/>
      <c r="E432" s="4"/>
      <c r="F432" s="4"/>
      <c r="G432" s="4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37"/>
      <c r="AF432" s="37"/>
      <c r="AG432" s="37"/>
      <c r="AH432" s="37"/>
      <c r="AI432" s="37"/>
      <c r="AJ432" s="26"/>
    </row>
    <row r="433" spans="1:36" s="19" customFormat="1" x14ac:dyDescent="0.3">
      <c r="A433" s="5"/>
      <c r="B433" s="5"/>
      <c r="C433" s="4"/>
      <c r="D433" s="4"/>
      <c r="E433" s="4"/>
      <c r="F433" s="4"/>
      <c r="G433" s="4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37"/>
      <c r="AF433" s="37"/>
      <c r="AG433" s="37"/>
      <c r="AH433" s="37"/>
      <c r="AI433" s="37"/>
      <c r="AJ433" s="26"/>
    </row>
    <row r="434" spans="1:36" s="19" customFormat="1" x14ac:dyDescent="0.3">
      <c r="A434" s="5"/>
      <c r="B434" s="5"/>
      <c r="C434" s="4"/>
      <c r="D434" s="4"/>
      <c r="E434" s="4"/>
      <c r="F434" s="4"/>
      <c r="G434" s="4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37"/>
      <c r="AF434" s="37"/>
      <c r="AG434" s="37"/>
      <c r="AH434" s="37"/>
      <c r="AI434" s="37"/>
      <c r="AJ434" s="26"/>
    </row>
    <row r="435" spans="1:36" s="19" customFormat="1" x14ac:dyDescent="0.3">
      <c r="A435" s="5"/>
      <c r="B435" s="5"/>
      <c r="C435" s="4"/>
      <c r="D435" s="4"/>
      <c r="E435" s="4"/>
      <c r="F435" s="4"/>
      <c r="G435" s="4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37"/>
      <c r="AF435" s="37"/>
      <c r="AG435" s="37"/>
      <c r="AH435" s="37"/>
      <c r="AI435" s="37"/>
      <c r="AJ435" s="26"/>
    </row>
    <row r="436" spans="1:36" s="19" customFormat="1" x14ac:dyDescent="0.3">
      <c r="A436" s="5"/>
      <c r="B436" s="5"/>
      <c r="C436" s="4"/>
      <c r="D436" s="4"/>
      <c r="E436" s="4"/>
      <c r="F436" s="4"/>
      <c r="G436" s="4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37"/>
      <c r="AF436" s="37"/>
      <c r="AG436" s="37"/>
      <c r="AH436" s="37"/>
      <c r="AI436" s="37"/>
      <c r="AJ436" s="26"/>
    </row>
    <row r="437" spans="1:36" s="19" customFormat="1" x14ac:dyDescent="0.3">
      <c r="A437" s="5"/>
      <c r="B437" s="5"/>
      <c r="C437" s="4"/>
      <c r="D437" s="4"/>
      <c r="E437" s="4"/>
      <c r="F437" s="4"/>
      <c r="G437" s="4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37"/>
      <c r="AF437" s="37"/>
      <c r="AG437" s="37"/>
      <c r="AH437" s="37"/>
      <c r="AI437" s="37"/>
      <c r="AJ437" s="26"/>
    </row>
    <row r="438" spans="1:36" s="19" customFormat="1" x14ac:dyDescent="0.3">
      <c r="A438" s="5"/>
      <c r="B438" s="5"/>
      <c r="C438" s="4"/>
      <c r="D438" s="4"/>
      <c r="E438" s="4"/>
      <c r="F438" s="4"/>
      <c r="G438" s="4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37"/>
      <c r="AF438" s="37"/>
      <c r="AG438" s="37"/>
      <c r="AH438" s="37"/>
      <c r="AI438" s="37"/>
      <c r="AJ438" s="26"/>
    </row>
    <row r="439" spans="1:36" s="19" customFormat="1" x14ac:dyDescent="0.3">
      <c r="A439" s="5"/>
      <c r="B439" s="5"/>
      <c r="C439" s="4"/>
      <c r="D439" s="4"/>
      <c r="E439" s="4"/>
      <c r="F439" s="4"/>
      <c r="G439" s="4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37"/>
      <c r="AF439" s="37"/>
      <c r="AG439" s="37"/>
      <c r="AH439" s="37"/>
      <c r="AI439" s="37"/>
      <c r="AJ439" s="26"/>
    </row>
    <row r="440" spans="1:36" s="19" customFormat="1" x14ac:dyDescent="0.3">
      <c r="A440" s="5"/>
      <c r="B440" s="5"/>
      <c r="C440" s="4"/>
      <c r="D440" s="4"/>
      <c r="E440" s="4"/>
      <c r="F440" s="4"/>
      <c r="G440" s="4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37"/>
      <c r="AF440" s="37"/>
      <c r="AG440" s="37"/>
      <c r="AH440" s="37"/>
      <c r="AI440" s="37"/>
      <c r="AJ440" s="26"/>
    </row>
    <row r="441" spans="1:36" s="19" customFormat="1" x14ac:dyDescent="0.3">
      <c r="A441" s="5"/>
      <c r="B441" s="5"/>
      <c r="C441" s="4"/>
      <c r="D441" s="4"/>
      <c r="E441" s="4"/>
      <c r="F441" s="4"/>
      <c r="G441" s="4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37"/>
      <c r="AF441" s="37"/>
      <c r="AG441" s="37"/>
      <c r="AH441" s="37"/>
      <c r="AI441" s="37"/>
      <c r="AJ441" s="26"/>
    </row>
    <row r="442" spans="1:36" s="19" customFormat="1" x14ac:dyDescent="0.3">
      <c r="A442" s="5"/>
      <c r="B442" s="5"/>
      <c r="C442" s="4"/>
      <c r="D442" s="4"/>
      <c r="E442" s="4"/>
      <c r="F442" s="4"/>
      <c r="G442" s="4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37"/>
      <c r="AF442" s="37"/>
      <c r="AG442" s="37"/>
      <c r="AH442" s="37"/>
      <c r="AI442" s="37"/>
      <c r="AJ442" s="26"/>
    </row>
    <row r="443" spans="1:36" s="19" customFormat="1" x14ac:dyDescent="0.3">
      <c r="A443" s="5"/>
      <c r="B443" s="5"/>
      <c r="C443" s="4"/>
      <c r="D443" s="4"/>
      <c r="E443" s="4"/>
      <c r="F443" s="4"/>
      <c r="G443" s="4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37"/>
      <c r="AF443" s="37"/>
      <c r="AG443" s="37"/>
      <c r="AH443" s="37"/>
      <c r="AI443" s="37"/>
      <c r="AJ443" s="26"/>
    </row>
    <row r="444" spans="1:36" s="19" customFormat="1" x14ac:dyDescent="0.3">
      <c r="A444" s="5"/>
      <c r="B444" s="5"/>
      <c r="C444" s="4"/>
      <c r="D444" s="4"/>
      <c r="E444" s="4"/>
      <c r="F444" s="4"/>
      <c r="G444" s="4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37"/>
      <c r="AF444" s="37"/>
      <c r="AG444" s="37"/>
      <c r="AH444" s="37"/>
      <c r="AI444" s="37"/>
      <c r="AJ444" s="26"/>
    </row>
    <row r="445" spans="1:36" s="19" customFormat="1" x14ac:dyDescent="0.3">
      <c r="A445" s="5"/>
      <c r="B445" s="5"/>
      <c r="C445" s="4"/>
      <c r="D445" s="4"/>
      <c r="E445" s="4"/>
      <c r="F445" s="4"/>
      <c r="G445" s="4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37"/>
      <c r="AF445" s="37"/>
      <c r="AG445" s="37"/>
      <c r="AH445" s="37"/>
      <c r="AI445" s="37"/>
      <c r="AJ445" s="26"/>
    </row>
    <row r="446" spans="1:36" s="19" customFormat="1" x14ac:dyDescent="0.3">
      <c r="A446" s="5"/>
      <c r="B446" s="5"/>
      <c r="C446" s="4"/>
      <c r="D446" s="4"/>
      <c r="E446" s="4"/>
      <c r="F446" s="4"/>
      <c r="G446" s="4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37"/>
      <c r="AF446" s="37"/>
      <c r="AG446" s="37"/>
      <c r="AH446" s="37"/>
      <c r="AI446" s="37"/>
      <c r="AJ446" s="26"/>
    </row>
    <row r="447" spans="1:36" s="19" customFormat="1" x14ac:dyDescent="0.3">
      <c r="A447" s="5"/>
      <c r="B447" s="5"/>
      <c r="C447" s="4"/>
      <c r="D447" s="4"/>
      <c r="E447" s="4"/>
      <c r="F447" s="4"/>
      <c r="G447" s="4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37"/>
      <c r="AF447" s="37"/>
      <c r="AG447" s="37"/>
      <c r="AH447" s="37"/>
      <c r="AI447" s="37"/>
      <c r="AJ447" s="26"/>
    </row>
    <row r="448" spans="1:36" s="19" customFormat="1" x14ac:dyDescent="0.3">
      <c r="A448" s="5"/>
      <c r="B448" s="5"/>
      <c r="C448" s="4"/>
      <c r="D448" s="4"/>
      <c r="E448" s="4"/>
      <c r="F448" s="4"/>
      <c r="G448" s="4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37"/>
      <c r="AF448" s="37"/>
      <c r="AG448" s="37"/>
      <c r="AH448" s="37"/>
      <c r="AI448" s="37"/>
      <c r="AJ448" s="26"/>
    </row>
    <row r="449" spans="1:37" s="19" customFormat="1" x14ac:dyDescent="0.3">
      <c r="A449" s="5"/>
      <c r="B449" s="5"/>
      <c r="C449" s="4"/>
      <c r="D449" s="4"/>
      <c r="E449" s="4"/>
      <c r="F449" s="4"/>
      <c r="G449" s="4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37"/>
      <c r="AF449" s="37"/>
      <c r="AG449" s="37"/>
      <c r="AH449" s="37"/>
      <c r="AI449" s="37"/>
      <c r="AJ449" s="26"/>
    </row>
    <row r="450" spans="1:37" s="19" customFormat="1" x14ac:dyDescent="0.3">
      <c r="A450" s="5"/>
      <c r="B450" s="5"/>
      <c r="C450" s="4"/>
      <c r="D450" s="4"/>
      <c r="E450" s="4"/>
      <c r="F450" s="4"/>
      <c r="G450" s="4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37"/>
      <c r="AF450" s="37"/>
      <c r="AG450" s="37"/>
      <c r="AH450" s="37"/>
      <c r="AI450" s="37"/>
      <c r="AJ450" s="26"/>
    </row>
    <row r="451" spans="1:37" s="19" customFormat="1" x14ac:dyDescent="0.3">
      <c r="A451" s="5"/>
      <c r="B451" s="5"/>
      <c r="C451" s="4"/>
      <c r="D451" s="4"/>
      <c r="E451" s="4"/>
      <c r="F451" s="4"/>
      <c r="G451" s="4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37"/>
      <c r="AF451" s="37"/>
      <c r="AG451" s="37"/>
      <c r="AH451" s="37"/>
      <c r="AI451" s="37"/>
      <c r="AJ451" s="26"/>
    </row>
    <row r="452" spans="1:37" s="19" customFormat="1" x14ac:dyDescent="0.3">
      <c r="A452" s="5"/>
      <c r="B452" s="5"/>
      <c r="C452" s="4"/>
      <c r="D452" s="4"/>
      <c r="E452" s="4"/>
      <c r="F452" s="4"/>
      <c r="G452" s="4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37"/>
      <c r="AF452" s="37"/>
      <c r="AG452" s="37"/>
      <c r="AH452" s="37"/>
      <c r="AI452" s="37"/>
      <c r="AJ452" s="26"/>
    </row>
    <row r="453" spans="1:37" s="19" customFormat="1" x14ac:dyDescent="0.3">
      <c r="A453" s="5"/>
      <c r="B453" s="5"/>
      <c r="C453" s="4"/>
      <c r="D453" s="4"/>
      <c r="E453" s="4"/>
      <c r="F453" s="4"/>
      <c r="G453" s="4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37"/>
      <c r="AF453" s="37"/>
      <c r="AG453" s="37"/>
      <c r="AH453" s="37"/>
      <c r="AI453" s="37"/>
      <c r="AJ453" s="26"/>
    </row>
    <row r="454" spans="1:37" s="19" customFormat="1" x14ac:dyDescent="0.3">
      <c r="A454" s="5"/>
      <c r="B454" s="5"/>
      <c r="C454" s="4"/>
      <c r="D454" s="4"/>
      <c r="E454" s="4"/>
      <c r="F454" s="4"/>
      <c r="G454" s="4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37"/>
      <c r="AF454" s="37"/>
      <c r="AG454" s="37"/>
      <c r="AH454" s="37"/>
      <c r="AI454" s="37"/>
      <c r="AJ454" s="5"/>
      <c r="AK454" s="5"/>
    </row>
    <row r="455" spans="1:37" s="19" customFormat="1" x14ac:dyDescent="0.3">
      <c r="A455" s="5"/>
      <c r="B455" s="5"/>
      <c r="C455" s="4"/>
      <c r="D455" s="4"/>
      <c r="E455" s="4"/>
      <c r="F455" s="4"/>
      <c r="G455" s="4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37"/>
      <c r="AF455" s="37"/>
      <c r="AG455" s="37"/>
      <c r="AH455" s="37"/>
      <c r="AI455" s="37"/>
      <c r="AJ455" s="37"/>
      <c r="AK455" s="37"/>
    </row>
    <row r="456" spans="1:37" s="19" customFormat="1" x14ac:dyDescent="0.3">
      <c r="A456" s="5"/>
      <c r="B456" s="5"/>
      <c r="C456" s="4"/>
      <c r="D456" s="4"/>
      <c r="E456" s="4"/>
      <c r="F456" s="4"/>
      <c r="G456" s="4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37"/>
      <c r="AF456" s="37"/>
      <c r="AG456" s="37"/>
      <c r="AH456" s="37"/>
      <c r="AI456" s="37"/>
      <c r="AJ456" s="37"/>
      <c r="AK456" s="37"/>
    </row>
    <row r="457" spans="1:37" s="19" customFormat="1" x14ac:dyDescent="0.3">
      <c r="A457" s="5"/>
      <c r="B457" s="5"/>
      <c r="C457" s="4"/>
      <c r="D457" s="4"/>
      <c r="E457" s="4"/>
      <c r="F457" s="4"/>
      <c r="G457" s="4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37"/>
      <c r="AF457" s="37"/>
      <c r="AG457" s="37"/>
      <c r="AH457" s="37"/>
      <c r="AI457" s="37"/>
      <c r="AJ457" s="37"/>
      <c r="AK457" s="37"/>
    </row>
    <row r="458" spans="1:37" s="19" customFormat="1" x14ac:dyDescent="0.3">
      <c r="A458" s="5"/>
      <c r="B458" s="5"/>
      <c r="C458" s="4"/>
      <c r="D458" s="4"/>
      <c r="E458" s="4"/>
      <c r="F458" s="4"/>
      <c r="G458" s="4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37"/>
      <c r="AF458" s="37"/>
      <c r="AG458" s="37"/>
      <c r="AH458" s="37"/>
      <c r="AI458" s="37"/>
      <c r="AJ458" s="37"/>
      <c r="AK458" s="37"/>
    </row>
    <row r="459" spans="1:37" s="19" customFormat="1" x14ac:dyDescent="0.3">
      <c r="A459" s="5"/>
      <c r="B459" s="5"/>
      <c r="C459" s="4"/>
      <c r="D459" s="4"/>
      <c r="E459" s="4"/>
      <c r="F459" s="4"/>
      <c r="G459" s="4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37"/>
      <c r="AF459" s="37"/>
      <c r="AG459" s="37"/>
      <c r="AH459" s="37"/>
      <c r="AI459" s="37"/>
      <c r="AJ459" s="37"/>
      <c r="AK459" s="37"/>
    </row>
    <row r="460" spans="1:37" s="19" customFormat="1" x14ac:dyDescent="0.3">
      <c r="A460" s="5"/>
      <c r="B460" s="5"/>
      <c r="C460" s="4"/>
      <c r="D460" s="4"/>
      <c r="E460" s="4"/>
      <c r="F460" s="4"/>
      <c r="G460" s="4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37"/>
      <c r="AF460" s="37"/>
      <c r="AG460" s="37"/>
      <c r="AH460" s="37"/>
      <c r="AI460" s="37"/>
      <c r="AJ460" s="37"/>
      <c r="AK460" s="37"/>
    </row>
    <row r="461" spans="1:37" s="19" customFormat="1" x14ac:dyDescent="0.3">
      <c r="A461" s="5"/>
      <c r="B461" s="5"/>
      <c r="C461" s="4"/>
      <c r="D461" s="4"/>
      <c r="E461" s="4"/>
      <c r="F461" s="4"/>
      <c r="G461" s="4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37"/>
      <c r="AF461" s="37"/>
      <c r="AG461" s="37"/>
      <c r="AH461" s="37"/>
      <c r="AI461" s="37"/>
      <c r="AJ461" s="37"/>
      <c r="AK461" s="37"/>
    </row>
    <row r="462" spans="1:37" s="19" customFormat="1" x14ac:dyDescent="0.3">
      <c r="A462" s="5"/>
      <c r="B462" s="5"/>
      <c r="C462" s="4"/>
      <c r="D462" s="4"/>
      <c r="E462" s="4"/>
      <c r="F462" s="4"/>
      <c r="G462" s="4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37"/>
      <c r="AF462" s="37"/>
      <c r="AG462" s="37"/>
      <c r="AH462" s="37"/>
      <c r="AI462" s="37"/>
      <c r="AJ462" s="37"/>
      <c r="AK462" s="37"/>
    </row>
    <row r="463" spans="1:37" s="19" customFormat="1" x14ac:dyDescent="0.3">
      <c r="A463" s="5"/>
      <c r="B463" s="5"/>
      <c r="C463" s="4"/>
      <c r="D463" s="4"/>
      <c r="E463" s="4"/>
      <c r="F463" s="4"/>
      <c r="G463" s="4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37"/>
      <c r="AF463" s="37"/>
      <c r="AG463" s="37"/>
      <c r="AH463" s="37"/>
      <c r="AI463" s="37"/>
      <c r="AJ463" s="37"/>
      <c r="AK463" s="37"/>
    </row>
    <row r="464" spans="1:37" s="19" customFormat="1" x14ac:dyDescent="0.3">
      <c r="A464" s="5"/>
      <c r="B464" s="5"/>
      <c r="C464" s="4"/>
      <c r="D464" s="4"/>
      <c r="E464" s="4"/>
      <c r="F464" s="4"/>
      <c r="G464" s="4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37"/>
      <c r="AF464" s="37"/>
      <c r="AG464" s="37"/>
      <c r="AH464" s="37"/>
      <c r="AI464" s="37"/>
      <c r="AJ464" s="37"/>
      <c r="AK464" s="37"/>
    </row>
    <row r="465" spans="1:37" s="19" customFormat="1" x14ac:dyDescent="0.3">
      <c r="A465" s="5"/>
      <c r="B465" s="5"/>
      <c r="C465" s="4"/>
      <c r="D465" s="4"/>
      <c r="E465" s="4"/>
      <c r="F465" s="4"/>
      <c r="G465" s="4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37"/>
      <c r="AF465" s="37"/>
      <c r="AG465" s="37"/>
      <c r="AH465" s="37"/>
      <c r="AI465" s="37"/>
      <c r="AJ465" s="37"/>
      <c r="AK465" s="37"/>
    </row>
    <row r="466" spans="1:37" s="19" customFormat="1" x14ac:dyDescent="0.3">
      <c r="A466" s="5"/>
      <c r="B466" s="5"/>
      <c r="C466" s="4"/>
      <c r="D466" s="4"/>
      <c r="E466" s="4"/>
      <c r="F466" s="4"/>
      <c r="G466" s="4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37"/>
      <c r="AF466" s="37"/>
      <c r="AG466" s="37"/>
      <c r="AH466" s="37"/>
      <c r="AI466" s="37"/>
      <c r="AJ466" s="37"/>
      <c r="AK466" s="37"/>
    </row>
    <row r="467" spans="1:37" s="19" customFormat="1" x14ac:dyDescent="0.3">
      <c r="A467" s="5"/>
      <c r="B467" s="5"/>
      <c r="C467" s="4"/>
      <c r="D467" s="4"/>
      <c r="E467" s="4"/>
      <c r="F467" s="4"/>
      <c r="G467" s="4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37"/>
      <c r="AF467" s="37"/>
      <c r="AG467" s="37"/>
      <c r="AH467" s="37"/>
      <c r="AI467" s="37"/>
      <c r="AJ467" s="37"/>
      <c r="AK467" s="37"/>
    </row>
    <row r="468" spans="1:37" s="19" customFormat="1" x14ac:dyDescent="0.3">
      <c r="A468" s="5"/>
      <c r="B468" s="5"/>
      <c r="C468" s="4"/>
      <c r="D468" s="4"/>
      <c r="E468" s="4"/>
      <c r="F468" s="4"/>
      <c r="G468" s="4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37"/>
      <c r="AF468" s="37"/>
      <c r="AG468" s="37"/>
      <c r="AH468" s="37"/>
      <c r="AI468" s="37"/>
      <c r="AJ468" s="37"/>
      <c r="AK468" s="37"/>
    </row>
    <row r="469" spans="1:37" s="19" customFormat="1" x14ac:dyDescent="0.3">
      <c r="A469" s="5"/>
      <c r="B469" s="5"/>
      <c r="C469" s="4"/>
      <c r="D469" s="4"/>
      <c r="E469" s="4"/>
      <c r="F469" s="4"/>
      <c r="G469" s="4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37"/>
      <c r="AF469" s="37"/>
      <c r="AG469" s="37"/>
      <c r="AH469" s="37"/>
      <c r="AI469" s="37"/>
      <c r="AJ469" s="37"/>
      <c r="AK469" s="37"/>
    </row>
    <row r="470" spans="1:37" s="19" customFormat="1" x14ac:dyDescent="0.3">
      <c r="A470" s="5"/>
      <c r="B470" s="5"/>
      <c r="C470" s="4"/>
      <c r="D470" s="4"/>
      <c r="E470" s="4"/>
      <c r="F470" s="4"/>
      <c r="G470" s="4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37"/>
      <c r="AF470" s="37"/>
      <c r="AG470" s="37"/>
      <c r="AH470" s="37"/>
      <c r="AI470" s="37"/>
      <c r="AJ470" s="37"/>
      <c r="AK470" s="37"/>
    </row>
    <row r="471" spans="1:37" s="19" customFormat="1" x14ac:dyDescent="0.3">
      <c r="A471" s="5"/>
      <c r="B471" s="5"/>
      <c r="C471" s="4"/>
      <c r="D471" s="4"/>
      <c r="E471" s="4"/>
      <c r="F471" s="4"/>
      <c r="G471" s="4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37"/>
      <c r="AF471" s="37"/>
      <c r="AG471" s="37"/>
      <c r="AH471" s="37"/>
      <c r="AI471" s="37"/>
      <c r="AJ471" s="37"/>
      <c r="AK471" s="37"/>
    </row>
    <row r="472" spans="1:37" s="19" customFormat="1" x14ac:dyDescent="0.3">
      <c r="A472" s="5"/>
      <c r="B472" s="5"/>
      <c r="C472" s="4"/>
      <c r="D472" s="4"/>
      <c r="E472" s="4"/>
      <c r="F472" s="4"/>
      <c r="G472" s="4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37"/>
      <c r="AF472" s="37"/>
      <c r="AG472" s="37"/>
      <c r="AH472" s="37"/>
      <c r="AI472" s="37"/>
      <c r="AJ472" s="37"/>
      <c r="AK472" s="37"/>
    </row>
    <row r="473" spans="1:37" s="19" customFormat="1" x14ac:dyDescent="0.3">
      <c r="A473" s="5"/>
      <c r="B473" s="5"/>
      <c r="C473" s="4"/>
      <c r="D473" s="4"/>
      <c r="E473" s="4"/>
      <c r="F473" s="4"/>
      <c r="G473" s="4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37"/>
      <c r="AF473" s="37"/>
      <c r="AG473" s="37"/>
      <c r="AH473" s="37"/>
      <c r="AI473" s="37"/>
      <c r="AJ473" s="37"/>
      <c r="AK473" s="37"/>
    </row>
    <row r="474" spans="1:37" s="19" customFormat="1" x14ac:dyDescent="0.3">
      <c r="A474" s="5"/>
      <c r="B474" s="5"/>
      <c r="C474" s="4"/>
      <c r="D474" s="4"/>
      <c r="E474" s="4"/>
      <c r="F474" s="4"/>
      <c r="G474" s="4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37"/>
      <c r="AF474" s="37"/>
      <c r="AG474" s="37"/>
      <c r="AH474" s="37"/>
      <c r="AI474" s="37"/>
      <c r="AJ474" s="37"/>
      <c r="AK474" s="37"/>
    </row>
    <row r="475" spans="1:37" s="19" customFormat="1" x14ac:dyDescent="0.3">
      <c r="A475" s="5"/>
      <c r="B475" s="5"/>
      <c r="C475" s="4"/>
      <c r="D475" s="4"/>
      <c r="E475" s="4"/>
      <c r="F475" s="4"/>
      <c r="G475" s="4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37"/>
      <c r="AF475" s="37"/>
      <c r="AG475" s="37"/>
      <c r="AH475" s="37"/>
      <c r="AI475" s="37"/>
      <c r="AJ475" s="37"/>
      <c r="AK475" s="37"/>
    </row>
    <row r="476" spans="1:37" s="19" customFormat="1" x14ac:dyDescent="0.3">
      <c r="A476" s="5"/>
      <c r="B476" s="5"/>
      <c r="C476" s="4"/>
      <c r="D476" s="4"/>
      <c r="E476" s="4"/>
      <c r="F476" s="4"/>
      <c r="G476" s="4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37"/>
      <c r="AF476" s="37"/>
      <c r="AG476" s="37"/>
      <c r="AH476" s="37"/>
      <c r="AI476" s="37"/>
      <c r="AJ476" s="37"/>
      <c r="AK476" s="37"/>
    </row>
    <row r="477" spans="1:37" s="19" customFormat="1" x14ac:dyDescent="0.3">
      <c r="A477" s="5"/>
      <c r="B477" s="5"/>
      <c r="C477" s="4"/>
      <c r="D477" s="4"/>
      <c r="E477" s="4"/>
      <c r="F477" s="4"/>
      <c r="G477" s="4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37"/>
      <c r="AF477" s="37"/>
      <c r="AG477" s="37"/>
      <c r="AH477" s="37"/>
      <c r="AI477" s="37"/>
      <c r="AJ477" s="37"/>
      <c r="AK477" s="37"/>
    </row>
    <row r="478" spans="1:37" s="19" customFormat="1" x14ac:dyDescent="0.3">
      <c r="A478" s="5"/>
      <c r="B478" s="5"/>
      <c r="C478" s="4"/>
      <c r="D478" s="4"/>
      <c r="E478" s="4"/>
      <c r="F478" s="4"/>
      <c r="G478" s="4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37"/>
      <c r="AF478" s="37"/>
      <c r="AG478" s="37"/>
      <c r="AH478" s="37"/>
      <c r="AI478" s="37"/>
      <c r="AJ478" s="37"/>
      <c r="AK478" s="37"/>
    </row>
    <row r="479" spans="1:37" s="19" customFormat="1" x14ac:dyDescent="0.3">
      <c r="A479" s="5"/>
      <c r="B479" s="5"/>
      <c r="C479" s="4"/>
      <c r="D479" s="4"/>
      <c r="E479" s="4"/>
      <c r="F479" s="4"/>
      <c r="G479" s="4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37"/>
      <c r="AF479" s="37"/>
      <c r="AG479" s="37"/>
      <c r="AH479" s="37"/>
      <c r="AI479" s="37"/>
      <c r="AJ479" s="37"/>
      <c r="AK479" s="37"/>
    </row>
    <row r="480" spans="1:37" s="19" customFormat="1" x14ac:dyDescent="0.3">
      <c r="A480" s="5"/>
      <c r="B480" s="5"/>
      <c r="C480" s="4"/>
      <c r="D480" s="4"/>
      <c r="E480" s="4"/>
      <c r="F480" s="4"/>
      <c r="G480" s="4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37"/>
      <c r="AF480" s="37"/>
      <c r="AG480" s="37"/>
      <c r="AH480" s="37"/>
      <c r="AI480" s="37"/>
      <c r="AJ480" s="37"/>
      <c r="AK480" s="37"/>
    </row>
    <row r="481" spans="1:37" s="19" customFormat="1" x14ac:dyDescent="0.3">
      <c r="A481" s="5"/>
      <c r="B481" s="5"/>
      <c r="C481" s="4"/>
      <c r="D481" s="4"/>
      <c r="E481" s="4"/>
      <c r="F481" s="4"/>
      <c r="G481" s="4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37"/>
      <c r="AF481" s="37"/>
      <c r="AG481" s="37"/>
      <c r="AH481" s="37"/>
      <c r="AI481" s="37"/>
      <c r="AJ481" s="37"/>
      <c r="AK481" s="37"/>
    </row>
    <row r="482" spans="1:37" s="19" customFormat="1" x14ac:dyDescent="0.3">
      <c r="A482" s="5"/>
      <c r="B482" s="5"/>
      <c r="C482" s="4"/>
      <c r="D482" s="4"/>
      <c r="E482" s="4"/>
      <c r="F482" s="4"/>
      <c r="G482" s="4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37"/>
      <c r="AF482" s="37"/>
      <c r="AG482" s="37"/>
      <c r="AH482" s="37"/>
      <c r="AI482" s="37"/>
      <c r="AJ482" s="37"/>
      <c r="AK482" s="37"/>
    </row>
    <row r="483" spans="1:37" s="19" customFormat="1" x14ac:dyDescent="0.3">
      <c r="A483" s="5"/>
      <c r="B483" s="5"/>
      <c r="C483" s="4"/>
      <c r="D483" s="4"/>
      <c r="E483" s="4"/>
      <c r="F483" s="4"/>
      <c r="G483" s="4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37"/>
      <c r="AF483" s="37"/>
      <c r="AG483" s="37"/>
      <c r="AH483" s="37"/>
      <c r="AI483" s="37"/>
      <c r="AJ483" s="37"/>
      <c r="AK483" s="37"/>
    </row>
    <row r="484" spans="1:37" s="19" customFormat="1" x14ac:dyDescent="0.3">
      <c r="A484" s="5"/>
      <c r="B484" s="5"/>
      <c r="C484" s="4"/>
      <c r="D484" s="4"/>
      <c r="E484" s="4"/>
      <c r="F484" s="4"/>
      <c r="G484" s="4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37"/>
      <c r="AF484" s="37"/>
      <c r="AG484" s="37"/>
      <c r="AH484" s="37"/>
      <c r="AI484" s="37"/>
      <c r="AJ484" s="37"/>
      <c r="AK484" s="37"/>
    </row>
    <row r="485" spans="1:37" s="19" customFormat="1" x14ac:dyDescent="0.3">
      <c r="A485" s="5"/>
      <c r="B485" s="5"/>
      <c r="C485" s="4"/>
      <c r="D485" s="4"/>
      <c r="E485" s="4"/>
      <c r="F485" s="4"/>
      <c r="G485" s="4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37"/>
      <c r="AF485" s="37"/>
      <c r="AG485" s="37"/>
      <c r="AH485" s="37"/>
      <c r="AI485" s="37"/>
      <c r="AJ485" s="37"/>
      <c r="AK485" s="37"/>
    </row>
    <row r="486" spans="1:37" s="19" customFormat="1" x14ac:dyDescent="0.3">
      <c r="A486" s="5"/>
      <c r="B486" s="5"/>
      <c r="C486" s="4"/>
      <c r="D486" s="4"/>
      <c r="E486" s="4"/>
      <c r="F486" s="4"/>
      <c r="G486" s="4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37"/>
      <c r="AF486" s="37"/>
      <c r="AG486" s="37"/>
      <c r="AH486" s="37"/>
      <c r="AI486" s="37"/>
      <c r="AJ486" s="37"/>
      <c r="AK486" s="37"/>
    </row>
    <row r="487" spans="1:37" s="19" customFormat="1" x14ac:dyDescent="0.3">
      <c r="A487" s="5"/>
      <c r="B487" s="5"/>
      <c r="C487" s="4"/>
      <c r="D487" s="4"/>
      <c r="E487" s="4"/>
      <c r="F487" s="4"/>
      <c r="G487" s="4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37"/>
      <c r="AF487" s="37"/>
      <c r="AG487" s="37"/>
      <c r="AH487" s="37"/>
      <c r="AI487" s="37"/>
      <c r="AJ487" s="37"/>
      <c r="AK487" s="37"/>
    </row>
    <row r="488" spans="1:37" s="19" customFormat="1" x14ac:dyDescent="0.3">
      <c r="A488" s="5"/>
      <c r="B488" s="5"/>
      <c r="C488" s="4"/>
      <c r="D488" s="4"/>
      <c r="E488" s="4"/>
      <c r="F488" s="4"/>
      <c r="G488" s="4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37"/>
      <c r="AF488" s="37"/>
      <c r="AG488" s="37"/>
      <c r="AH488" s="37"/>
      <c r="AI488" s="37"/>
      <c r="AJ488" s="37"/>
      <c r="AK488" s="37"/>
    </row>
    <row r="489" spans="1:37" s="19" customFormat="1" x14ac:dyDescent="0.3">
      <c r="A489" s="5"/>
      <c r="B489" s="5"/>
      <c r="C489" s="4"/>
      <c r="D489" s="4"/>
      <c r="E489" s="4"/>
      <c r="F489" s="4"/>
      <c r="G489" s="4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37"/>
      <c r="AF489" s="37"/>
      <c r="AG489" s="37"/>
      <c r="AH489" s="37"/>
      <c r="AI489" s="37"/>
      <c r="AJ489" s="37"/>
      <c r="AK489" s="37"/>
    </row>
    <row r="490" spans="1:37" s="19" customFormat="1" x14ac:dyDescent="0.3">
      <c r="A490" s="5"/>
      <c r="B490" s="5"/>
      <c r="C490" s="4"/>
      <c r="D490" s="4"/>
      <c r="E490" s="4"/>
      <c r="F490" s="4"/>
      <c r="G490" s="4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37"/>
      <c r="AF490" s="37"/>
      <c r="AG490" s="37"/>
      <c r="AH490" s="37"/>
      <c r="AI490" s="37"/>
      <c r="AJ490" s="37"/>
      <c r="AK490" s="37"/>
    </row>
    <row r="491" spans="1:37" s="19" customFormat="1" x14ac:dyDescent="0.3">
      <c r="A491" s="5"/>
      <c r="B491" s="5"/>
      <c r="C491" s="4"/>
      <c r="D491" s="4"/>
      <c r="E491" s="4"/>
      <c r="F491" s="4"/>
      <c r="G491" s="4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37"/>
      <c r="AF491" s="37"/>
      <c r="AG491" s="37"/>
      <c r="AH491" s="37"/>
      <c r="AI491" s="37"/>
      <c r="AJ491" s="37"/>
      <c r="AK491" s="37"/>
    </row>
    <row r="492" spans="1:37" s="19" customFormat="1" x14ac:dyDescent="0.3">
      <c r="A492" s="5"/>
      <c r="B492" s="5"/>
      <c r="C492" s="4"/>
      <c r="D492" s="4"/>
      <c r="E492" s="4"/>
      <c r="F492" s="4"/>
      <c r="G492" s="4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37"/>
      <c r="AF492" s="37"/>
      <c r="AG492" s="37"/>
      <c r="AH492" s="37"/>
      <c r="AI492" s="37"/>
      <c r="AJ492" s="37"/>
      <c r="AK492" s="37"/>
    </row>
    <row r="493" spans="1:37" s="19" customFormat="1" x14ac:dyDescent="0.3">
      <c r="A493" s="5"/>
      <c r="B493" s="5"/>
      <c r="C493" s="4"/>
      <c r="D493" s="4"/>
      <c r="E493" s="4"/>
      <c r="F493" s="4"/>
      <c r="G493" s="4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37"/>
      <c r="AF493" s="37"/>
      <c r="AG493" s="37"/>
      <c r="AH493" s="37"/>
      <c r="AI493" s="37"/>
      <c r="AJ493" s="37"/>
      <c r="AK493" s="37"/>
    </row>
    <row r="494" spans="1:37" s="19" customFormat="1" x14ac:dyDescent="0.3">
      <c r="A494" s="5"/>
      <c r="B494" s="5"/>
      <c r="C494" s="4"/>
      <c r="D494" s="4"/>
      <c r="E494" s="4"/>
      <c r="F494" s="4"/>
      <c r="G494" s="4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37"/>
      <c r="AF494" s="37"/>
      <c r="AG494" s="37"/>
      <c r="AH494" s="37"/>
      <c r="AI494" s="37"/>
      <c r="AJ494" s="37"/>
      <c r="AK494" s="37"/>
    </row>
    <row r="495" spans="1:37" s="19" customFormat="1" x14ac:dyDescent="0.3">
      <c r="A495" s="5"/>
      <c r="B495" s="5"/>
      <c r="C495" s="4"/>
      <c r="D495" s="4"/>
      <c r="E495" s="4"/>
      <c r="F495" s="4"/>
      <c r="G495" s="4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37"/>
      <c r="AF495" s="37"/>
      <c r="AG495" s="37"/>
      <c r="AH495" s="37"/>
      <c r="AI495" s="37"/>
      <c r="AJ495" s="37"/>
      <c r="AK495" s="37"/>
    </row>
    <row r="496" spans="1:37" s="19" customFormat="1" x14ac:dyDescent="0.3">
      <c r="A496" s="5"/>
      <c r="B496" s="5"/>
      <c r="C496" s="4"/>
      <c r="D496" s="4"/>
      <c r="E496" s="4"/>
      <c r="F496" s="4"/>
      <c r="G496" s="4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37"/>
      <c r="AF496" s="37"/>
      <c r="AG496" s="37"/>
      <c r="AH496" s="37"/>
      <c r="AI496" s="37"/>
      <c r="AJ496" s="37"/>
      <c r="AK496" s="37"/>
    </row>
    <row r="497" spans="1:37" s="19" customFormat="1" x14ac:dyDescent="0.3">
      <c r="A497" s="5"/>
      <c r="B497" s="5"/>
      <c r="C497" s="4"/>
      <c r="D497" s="4"/>
      <c r="E497" s="4"/>
      <c r="F497" s="4"/>
      <c r="G497" s="4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37"/>
      <c r="AF497" s="37"/>
      <c r="AG497" s="37"/>
      <c r="AH497" s="37"/>
      <c r="AI497" s="37"/>
      <c r="AJ497" s="37"/>
      <c r="AK497" s="37"/>
    </row>
    <row r="498" spans="1:37" s="19" customFormat="1" x14ac:dyDescent="0.3">
      <c r="A498" s="5"/>
      <c r="B498" s="5"/>
      <c r="C498" s="4"/>
      <c r="D498" s="4"/>
      <c r="E498" s="4"/>
      <c r="F498" s="4"/>
      <c r="G498" s="4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37"/>
      <c r="AF498" s="37"/>
      <c r="AG498" s="37"/>
      <c r="AH498" s="37"/>
      <c r="AI498" s="37"/>
      <c r="AJ498" s="37"/>
      <c r="AK498" s="37"/>
    </row>
    <row r="499" spans="1:37" s="19" customFormat="1" x14ac:dyDescent="0.3">
      <c r="A499" s="5"/>
      <c r="B499" s="5"/>
      <c r="C499" s="4"/>
      <c r="D499" s="4"/>
      <c r="E499" s="4"/>
      <c r="F499" s="4"/>
      <c r="G499" s="4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37"/>
      <c r="AF499" s="37"/>
      <c r="AG499" s="37"/>
      <c r="AH499" s="37"/>
      <c r="AI499" s="37"/>
      <c r="AJ499" s="37"/>
      <c r="AK499" s="37"/>
    </row>
    <row r="500" spans="1:37" s="19" customFormat="1" x14ac:dyDescent="0.3">
      <c r="A500" s="5"/>
      <c r="B500" s="5"/>
      <c r="C500" s="4"/>
      <c r="D500" s="4"/>
      <c r="E500" s="4"/>
      <c r="F500" s="4"/>
      <c r="G500" s="4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37"/>
      <c r="AF500" s="37"/>
      <c r="AG500" s="37"/>
      <c r="AH500" s="37"/>
      <c r="AI500" s="37"/>
      <c r="AJ500" s="37"/>
      <c r="AK500" s="37"/>
    </row>
    <row r="501" spans="1:37" s="19" customFormat="1" x14ac:dyDescent="0.3">
      <c r="A501" s="5"/>
      <c r="B501" s="5"/>
      <c r="C501" s="4"/>
      <c r="D501" s="4"/>
      <c r="E501" s="4"/>
      <c r="F501" s="4"/>
      <c r="G501" s="4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37"/>
      <c r="AF501" s="37"/>
      <c r="AG501" s="37"/>
      <c r="AH501" s="37"/>
      <c r="AI501" s="37"/>
      <c r="AJ501" s="37"/>
      <c r="AK501" s="37"/>
    </row>
    <row r="502" spans="1:37" s="19" customFormat="1" x14ac:dyDescent="0.3">
      <c r="A502" s="5"/>
      <c r="B502" s="5"/>
      <c r="C502" s="4"/>
      <c r="D502" s="4"/>
      <c r="E502" s="4"/>
      <c r="F502" s="4"/>
      <c r="G502" s="4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37"/>
      <c r="AF502" s="37"/>
      <c r="AG502" s="37"/>
      <c r="AH502" s="37"/>
      <c r="AI502" s="37"/>
      <c r="AJ502" s="37"/>
      <c r="AK502" s="37"/>
    </row>
    <row r="503" spans="1:37" s="19" customFormat="1" x14ac:dyDescent="0.3">
      <c r="A503" s="5"/>
      <c r="B503" s="5"/>
      <c r="C503" s="4"/>
      <c r="D503" s="4"/>
      <c r="E503" s="4"/>
      <c r="F503" s="4"/>
      <c r="G503" s="4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37"/>
      <c r="AF503" s="37"/>
      <c r="AG503" s="37"/>
      <c r="AH503" s="37"/>
      <c r="AI503" s="37"/>
      <c r="AJ503" s="37"/>
      <c r="AK503" s="37"/>
    </row>
    <row r="504" spans="1:37" s="19" customFormat="1" x14ac:dyDescent="0.3">
      <c r="A504" s="5"/>
      <c r="B504" s="5"/>
      <c r="C504" s="4"/>
      <c r="D504" s="4"/>
      <c r="E504" s="4"/>
      <c r="F504" s="4"/>
      <c r="G504" s="4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37"/>
      <c r="AF504" s="37"/>
      <c r="AG504" s="37"/>
      <c r="AH504" s="37"/>
      <c r="AI504" s="37"/>
      <c r="AJ504" s="37"/>
      <c r="AK504" s="37"/>
    </row>
    <row r="505" spans="1:37" s="19" customFormat="1" x14ac:dyDescent="0.3">
      <c r="A505" s="5"/>
      <c r="B505" s="5"/>
      <c r="C505" s="4"/>
      <c r="D505" s="4"/>
      <c r="E505" s="4"/>
      <c r="F505" s="4"/>
      <c r="G505" s="4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37"/>
      <c r="AF505" s="37"/>
      <c r="AG505" s="37"/>
      <c r="AH505" s="37"/>
      <c r="AI505" s="37"/>
      <c r="AJ505" s="37"/>
      <c r="AK505" s="37"/>
    </row>
    <row r="506" spans="1:37" s="19" customFormat="1" x14ac:dyDescent="0.3">
      <c r="A506" s="5"/>
      <c r="B506" s="5"/>
      <c r="C506" s="4"/>
      <c r="D506" s="4"/>
      <c r="E506" s="4"/>
      <c r="F506" s="4"/>
      <c r="G506" s="4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37"/>
      <c r="AF506" s="37"/>
      <c r="AG506" s="37"/>
      <c r="AH506" s="37"/>
      <c r="AI506" s="37"/>
      <c r="AJ506" s="37"/>
      <c r="AK506" s="37"/>
    </row>
    <row r="507" spans="1:37" s="19" customFormat="1" x14ac:dyDescent="0.3">
      <c r="A507" s="5"/>
      <c r="B507" s="5"/>
      <c r="C507" s="4"/>
      <c r="D507" s="4"/>
      <c r="E507" s="4"/>
      <c r="F507" s="4"/>
      <c r="G507" s="4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37"/>
      <c r="AF507" s="37"/>
      <c r="AG507" s="37"/>
      <c r="AH507" s="37"/>
      <c r="AI507" s="37"/>
      <c r="AJ507" s="37"/>
      <c r="AK507" s="37"/>
    </row>
    <row r="508" spans="1:37" s="19" customFormat="1" x14ac:dyDescent="0.3">
      <c r="A508" s="5"/>
      <c r="B508" s="5"/>
      <c r="C508" s="4"/>
      <c r="D508" s="4"/>
      <c r="E508" s="4"/>
      <c r="F508" s="4"/>
      <c r="G508" s="4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37"/>
      <c r="AF508" s="37"/>
      <c r="AG508" s="37"/>
      <c r="AH508" s="37"/>
      <c r="AI508" s="37"/>
      <c r="AJ508" s="37"/>
      <c r="AK508" s="37"/>
    </row>
    <row r="509" spans="1:37" s="19" customFormat="1" x14ac:dyDescent="0.3">
      <c r="A509" s="5"/>
      <c r="B509" s="5"/>
      <c r="C509" s="4"/>
      <c r="D509" s="4"/>
      <c r="E509" s="4"/>
      <c r="F509" s="4"/>
      <c r="G509" s="4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37"/>
      <c r="AF509" s="37"/>
      <c r="AG509" s="37"/>
      <c r="AH509" s="37"/>
      <c r="AI509" s="37"/>
      <c r="AJ509" s="37"/>
      <c r="AK509" s="37"/>
    </row>
    <row r="510" spans="1:37" s="19" customFormat="1" x14ac:dyDescent="0.3">
      <c r="A510" s="5"/>
      <c r="B510" s="5"/>
      <c r="C510" s="4"/>
      <c r="D510" s="4"/>
      <c r="E510" s="4"/>
      <c r="F510" s="4"/>
      <c r="G510" s="4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37"/>
      <c r="AF510" s="37"/>
      <c r="AG510" s="37"/>
      <c r="AH510" s="37"/>
      <c r="AI510" s="37"/>
      <c r="AJ510" s="37"/>
      <c r="AK510" s="37"/>
    </row>
    <row r="511" spans="1:37" s="19" customFormat="1" x14ac:dyDescent="0.3">
      <c r="A511" s="5"/>
      <c r="B511" s="5"/>
      <c r="C511" s="4"/>
      <c r="D511" s="4"/>
      <c r="E511" s="4"/>
      <c r="F511" s="4"/>
      <c r="G511" s="4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37"/>
      <c r="AF511" s="37"/>
      <c r="AG511" s="37"/>
      <c r="AH511" s="37"/>
      <c r="AI511" s="37"/>
      <c r="AJ511" s="37"/>
      <c r="AK511" s="37"/>
    </row>
    <row r="512" spans="1:37" s="19" customFormat="1" x14ac:dyDescent="0.3">
      <c r="A512" s="5"/>
      <c r="B512" s="5"/>
      <c r="C512" s="4"/>
      <c r="D512" s="4"/>
      <c r="E512" s="4"/>
      <c r="F512" s="4"/>
      <c r="G512" s="4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37"/>
      <c r="AF512" s="37"/>
      <c r="AG512" s="37"/>
      <c r="AH512" s="37"/>
      <c r="AI512" s="37"/>
      <c r="AJ512" s="37"/>
      <c r="AK512" s="37"/>
    </row>
    <row r="513" spans="1:37" s="19" customFormat="1" x14ac:dyDescent="0.3">
      <c r="A513" s="5"/>
      <c r="B513" s="5"/>
      <c r="C513" s="4"/>
      <c r="D513" s="4"/>
      <c r="E513" s="4"/>
      <c r="F513" s="4"/>
      <c r="G513" s="4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37"/>
      <c r="AF513" s="37"/>
      <c r="AG513" s="37"/>
      <c r="AH513" s="37"/>
      <c r="AI513" s="37"/>
      <c r="AJ513" s="37"/>
      <c r="AK513" s="37"/>
    </row>
    <row r="514" spans="1:37" s="19" customFormat="1" x14ac:dyDescent="0.3">
      <c r="A514" s="5"/>
      <c r="B514" s="5"/>
      <c r="C514" s="4"/>
      <c r="D514" s="4"/>
      <c r="E514" s="4"/>
      <c r="F514" s="4"/>
      <c r="G514" s="4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37"/>
      <c r="AF514" s="37"/>
      <c r="AG514" s="37"/>
      <c r="AH514" s="37"/>
      <c r="AI514" s="37"/>
      <c r="AJ514" s="37"/>
      <c r="AK514" s="37"/>
    </row>
    <row r="515" spans="1:37" s="19" customFormat="1" x14ac:dyDescent="0.3">
      <c r="A515" s="5"/>
      <c r="B515" s="5"/>
      <c r="C515" s="4"/>
      <c r="D515" s="4"/>
      <c r="E515" s="4"/>
      <c r="F515" s="4"/>
      <c r="G515" s="4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37"/>
      <c r="AF515" s="37"/>
      <c r="AG515" s="37"/>
      <c r="AH515" s="37"/>
      <c r="AI515" s="37"/>
      <c r="AJ515" s="37"/>
      <c r="AK515" s="37"/>
    </row>
    <row r="516" spans="1:37" s="19" customFormat="1" x14ac:dyDescent="0.3">
      <c r="A516" s="5"/>
      <c r="B516" s="5"/>
      <c r="C516" s="4"/>
      <c r="D516" s="4"/>
      <c r="E516" s="4"/>
      <c r="F516" s="4"/>
      <c r="G516" s="4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37"/>
      <c r="AF516" s="37"/>
      <c r="AG516" s="37"/>
      <c r="AH516" s="37"/>
      <c r="AI516" s="37"/>
      <c r="AJ516" s="37"/>
      <c r="AK516" s="37"/>
    </row>
    <row r="517" spans="1:37" s="19" customFormat="1" x14ac:dyDescent="0.3">
      <c r="A517" s="5"/>
      <c r="B517" s="5"/>
      <c r="C517" s="4"/>
      <c r="D517" s="4"/>
      <c r="E517" s="4"/>
      <c r="F517" s="4"/>
      <c r="G517" s="4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37"/>
      <c r="AF517" s="37"/>
      <c r="AG517" s="37"/>
      <c r="AH517" s="37"/>
      <c r="AI517" s="37"/>
      <c r="AJ517" s="37"/>
      <c r="AK517" s="37"/>
    </row>
    <row r="518" spans="1:37" s="19" customFormat="1" x14ac:dyDescent="0.3">
      <c r="A518" s="5"/>
      <c r="B518" s="5"/>
      <c r="C518" s="4"/>
      <c r="D518" s="4"/>
      <c r="E518" s="4"/>
      <c r="F518" s="4"/>
      <c r="G518" s="4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37"/>
      <c r="AF518" s="37"/>
      <c r="AG518" s="37"/>
      <c r="AH518" s="37"/>
      <c r="AI518" s="37"/>
      <c r="AJ518" s="37"/>
      <c r="AK518" s="37"/>
    </row>
    <row r="519" spans="1:37" s="19" customFormat="1" x14ac:dyDescent="0.3">
      <c r="A519" s="5"/>
      <c r="B519" s="5"/>
      <c r="C519" s="4"/>
      <c r="D519" s="4"/>
      <c r="E519" s="4"/>
      <c r="F519" s="4"/>
      <c r="G519" s="4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37"/>
      <c r="AF519" s="37"/>
      <c r="AG519" s="37"/>
      <c r="AH519" s="37"/>
      <c r="AI519" s="37"/>
      <c r="AJ519" s="37"/>
      <c r="AK519" s="37"/>
    </row>
    <row r="520" spans="1:37" s="19" customFormat="1" x14ac:dyDescent="0.3">
      <c r="A520" s="5"/>
      <c r="B520" s="5"/>
      <c r="C520" s="4"/>
      <c r="D520" s="4"/>
      <c r="E520" s="4"/>
      <c r="F520" s="4"/>
      <c r="G520" s="4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37"/>
      <c r="AF520" s="37"/>
      <c r="AG520" s="37"/>
      <c r="AH520" s="37"/>
      <c r="AI520" s="37"/>
      <c r="AJ520" s="37"/>
      <c r="AK520" s="37"/>
    </row>
    <row r="521" spans="1:37" s="19" customFormat="1" x14ac:dyDescent="0.3">
      <c r="A521" s="5"/>
      <c r="B521" s="5"/>
      <c r="C521" s="4"/>
      <c r="D521" s="4"/>
      <c r="E521" s="4"/>
      <c r="F521" s="4"/>
      <c r="G521" s="4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37"/>
      <c r="AF521" s="37"/>
      <c r="AG521" s="37"/>
      <c r="AH521" s="37"/>
      <c r="AI521" s="37"/>
      <c r="AJ521" s="37"/>
      <c r="AK521" s="37"/>
    </row>
    <row r="522" spans="1:37" s="19" customFormat="1" x14ac:dyDescent="0.3">
      <c r="A522" s="5"/>
      <c r="B522" s="5"/>
      <c r="C522" s="4"/>
      <c r="D522" s="4"/>
      <c r="E522" s="4"/>
      <c r="F522" s="4"/>
      <c r="G522" s="4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37"/>
      <c r="AF522" s="37"/>
      <c r="AG522" s="37"/>
      <c r="AH522" s="37"/>
      <c r="AI522" s="37"/>
      <c r="AJ522" s="37"/>
      <c r="AK522" s="37"/>
    </row>
    <row r="523" spans="1:37" s="19" customFormat="1" x14ac:dyDescent="0.3">
      <c r="A523" s="5"/>
      <c r="B523" s="5"/>
      <c r="C523" s="4"/>
      <c r="D523" s="4"/>
      <c r="E523" s="4"/>
      <c r="F523" s="4"/>
      <c r="G523" s="4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37"/>
      <c r="AF523" s="37"/>
      <c r="AG523" s="37"/>
      <c r="AH523" s="37"/>
      <c r="AI523" s="37"/>
      <c r="AJ523" s="37"/>
      <c r="AK523" s="37"/>
    </row>
    <row r="524" spans="1:37" s="19" customFormat="1" x14ac:dyDescent="0.3">
      <c r="A524" s="5"/>
      <c r="B524" s="5"/>
      <c r="C524" s="4"/>
      <c r="D524" s="4"/>
      <c r="E524" s="4"/>
      <c r="F524" s="4"/>
      <c r="G524" s="4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37"/>
      <c r="AF524" s="37"/>
      <c r="AG524" s="37"/>
      <c r="AH524" s="37"/>
      <c r="AI524" s="37"/>
      <c r="AJ524" s="37"/>
      <c r="AK524" s="37"/>
    </row>
    <row r="525" spans="1:37" s="19" customFormat="1" x14ac:dyDescent="0.3">
      <c r="A525" s="5"/>
      <c r="B525" s="5"/>
      <c r="C525" s="4"/>
      <c r="D525" s="4"/>
      <c r="E525" s="4"/>
      <c r="F525" s="4"/>
      <c r="G525" s="4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37"/>
      <c r="AF525" s="37"/>
      <c r="AG525" s="37"/>
      <c r="AH525" s="37"/>
      <c r="AI525" s="37"/>
      <c r="AJ525" s="37"/>
      <c r="AK525" s="37"/>
    </row>
    <row r="526" spans="1:37" s="19" customFormat="1" x14ac:dyDescent="0.3">
      <c r="A526" s="5"/>
      <c r="B526" s="5"/>
      <c r="C526" s="4"/>
      <c r="D526" s="4"/>
      <c r="E526" s="4"/>
      <c r="F526" s="4"/>
      <c r="G526" s="4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37"/>
      <c r="AF526" s="37"/>
      <c r="AG526" s="37"/>
      <c r="AH526" s="37"/>
      <c r="AI526" s="37"/>
      <c r="AJ526" s="37"/>
      <c r="AK526" s="37"/>
    </row>
    <row r="527" spans="1:37" s="19" customFormat="1" x14ac:dyDescent="0.3">
      <c r="A527" s="5"/>
      <c r="B527" s="5"/>
      <c r="C527" s="4"/>
      <c r="D527" s="4"/>
      <c r="E527" s="4"/>
      <c r="F527" s="4"/>
      <c r="G527" s="4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37"/>
      <c r="AF527" s="37"/>
      <c r="AG527" s="37"/>
      <c r="AH527" s="37"/>
      <c r="AI527" s="37"/>
      <c r="AJ527" s="37"/>
      <c r="AK527" s="37"/>
    </row>
    <row r="528" spans="1:37" x14ac:dyDescent="0.3">
      <c r="AE528" s="37"/>
      <c r="AF528" s="37"/>
      <c r="AG528" s="37"/>
      <c r="AH528" s="37"/>
      <c r="AI528" s="37"/>
      <c r="AJ528" s="37"/>
      <c r="AK528" s="37"/>
    </row>
    <row r="529" spans="1:30" s="37" customFormat="1" x14ac:dyDescent="0.3">
      <c r="A529" s="5"/>
      <c r="B529" s="5"/>
      <c r="C529" s="4"/>
      <c r="D529" s="4"/>
      <c r="E529" s="4"/>
      <c r="F529" s="4"/>
      <c r="G529" s="4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spans="1:30" s="37" customFormat="1" x14ac:dyDescent="0.3">
      <c r="A530" s="5"/>
      <c r="B530" s="5"/>
      <c r="C530" s="4"/>
      <c r="D530" s="4"/>
      <c r="E530" s="4"/>
      <c r="F530" s="4"/>
      <c r="G530" s="4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spans="1:30" s="37" customFormat="1" x14ac:dyDescent="0.3">
      <c r="A531" s="5"/>
      <c r="B531" s="5"/>
      <c r="C531" s="4"/>
      <c r="D531" s="4"/>
      <c r="E531" s="4"/>
      <c r="F531" s="4"/>
      <c r="G531" s="4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1:30" s="37" customFormat="1" x14ac:dyDescent="0.3">
      <c r="A532" s="5"/>
      <c r="B532" s="5"/>
      <c r="C532" s="4"/>
      <c r="D532" s="4"/>
      <c r="E532" s="4"/>
      <c r="F532" s="4"/>
      <c r="G532" s="4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spans="1:30" s="37" customFormat="1" x14ac:dyDescent="0.3">
      <c r="A533" s="5"/>
      <c r="B533" s="5"/>
      <c r="C533" s="4"/>
      <c r="D533" s="4"/>
      <c r="E533" s="4"/>
      <c r="F533" s="4"/>
      <c r="G533" s="4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1:30" s="37" customFormat="1" x14ac:dyDescent="0.3">
      <c r="A534" s="5"/>
      <c r="B534" s="5"/>
      <c r="C534" s="4"/>
      <c r="D534" s="4"/>
      <c r="E534" s="4"/>
      <c r="F534" s="4"/>
      <c r="G534" s="4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1:30" s="37" customFormat="1" x14ac:dyDescent="0.3">
      <c r="A535" s="5"/>
      <c r="B535" s="5"/>
      <c r="C535" s="4"/>
      <c r="D535" s="4"/>
      <c r="E535" s="4"/>
      <c r="F535" s="4"/>
      <c r="G535" s="4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1:30" s="37" customFormat="1" x14ac:dyDescent="0.3">
      <c r="A536" s="5"/>
      <c r="B536" s="5"/>
      <c r="C536" s="4"/>
      <c r="D536" s="4"/>
      <c r="E536" s="4"/>
      <c r="F536" s="4"/>
      <c r="G536" s="4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1:30" s="37" customFormat="1" x14ac:dyDescent="0.3">
      <c r="A537" s="5"/>
      <c r="B537" s="5"/>
      <c r="C537" s="4"/>
      <c r="D537" s="4"/>
      <c r="E537" s="4"/>
      <c r="F537" s="4"/>
      <c r="G537" s="4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1:30" s="37" customFormat="1" x14ac:dyDescent="0.3">
      <c r="A538" s="5"/>
      <c r="B538" s="5"/>
      <c r="C538" s="4"/>
      <c r="D538" s="4"/>
      <c r="E538" s="4"/>
      <c r="F538" s="4"/>
      <c r="G538" s="4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1:30" s="37" customFormat="1" x14ac:dyDescent="0.3">
      <c r="A539" s="5"/>
      <c r="B539" s="5"/>
      <c r="C539" s="4"/>
      <c r="D539" s="4"/>
      <c r="E539" s="4"/>
      <c r="F539" s="4"/>
      <c r="G539" s="4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1:30" s="37" customFormat="1" x14ac:dyDescent="0.3">
      <c r="A540" s="5"/>
      <c r="B540" s="5"/>
      <c r="C540" s="4"/>
      <c r="D540" s="4"/>
      <c r="E540" s="4"/>
      <c r="F540" s="4"/>
      <c r="G540" s="4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1:30" s="37" customFormat="1" x14ac:dyDescent="0.3">
      <c r="A541" s="5"/>
      <c r="B541" s="5"/>
      <c r="C541" s="4"/>
      <c r="D541" s="4"/>
      <c r="E541" s="4"/>
      <c r="F541" s="4"/>
      <c r="G541" s="4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1:30" s="37" customFormat="1" x14ac:dyDescent="0.3">
      <c r="A542" s="5"/>
      <c r="B542" s="5"/>
      <c r="C542" s="4"/>
      <c r="D542" s="4"/>
      <c r="E542" s="4"/>
      <c r="F542" s="4"/>
      <c r="G542" s="4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1:30" s="37" customFormat="1" x14ac:dyDescent="0.3">
      <c r="A543" s="5"/>
      <c r="B543" s="5"/>
      <c r="C543" s="4"/>
      <c r="D543" s="4"/>
      <c r="E543" s="4"/>
      <c r="F543" s="4"/>
      <c r="G543" s="4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1:30" s="37" customFormat="1" x14ac:dyDescent="0.3">
      <c r="A544" s="5"/>
      <c r="B544" s="5"/>
      <c r="C544" s="4"/>
      <c r="D544" s="4"/>
      <c r="E544" s="4"/>
      <c r="F544" s="4"/>
      <c r="G544" s="4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1:30" s="37" customFormat="1" x14ac:dyDescent="0.3">
      <c r="A545" s="5"/>
      <c r="B545" s="5"/>
      <c r="C545" s="4"/>
      <c r="D545" s="4"/>
      <c r="E545" s="4"/>
      <c r="F545" s="4"/>
      <c r="G545" s="4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s="37" customFormat="1" x14ac:dyDescent="0.3">
      <c r="A546" s="5"/>
      <c r="B546" s="5"/>
      <c r="C546" s="4"/>
      <c r="D546" s="4"/>
      <c r="E546" s="4"/>
      <c r="F546" s="4"/>
      <c r="G546" s="4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s="37" customFormat="1" x14ac:dyDescent="0.3">
      <c r="A547" s="5"/>
      <c r="B547" s="5"/>
      <c r="C547" s="4"/>
      <c r="D547" s="4"/>
      <c r="E547" s="4"/>
      <c r="F547" s="4"/>
      <c r="G547" s="4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 s="37" customFormat="1" x14ac:dyDescent="0.3">
      <c r="A548" s="5"/>
      <c r="B548" s="5"/>
      <c r="C548" s="4"/>
      <c r="D548" s="4"/>
      <c r="E548" s="4"/>
      <c r="F548" s="4"/>
      <c r="G548" s="4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 s="37" customFormat="1" x14ac:dyDescent="0.3">
      <c r="A549" s="5"/>
      <c r="B549" s="5"/>
      <c r="C549" s="4"/>
      <c r="D549" s="4"/>
      <c r="E549" s="4"/>
      <c r="F549" s="4"/>
      <c r="G549" s="4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1:30" s="37" customFormat="1" x14ac:dyDescent="0.3">
      <c r="A550" s="5"/>
      <c r="B550" s="5"/>
      <c r="C550" s="4"/>
      <c r="D550" s="4"/>
      <c r="E550" s="4"/>
      <c r="F550" s="4"/>
      <c r="G550" s="4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s="37" customFormat="1" x14ac:dyDescent="0.3">
      <c r="A551" s="5"/>
      <c r="B551" s="5"/>
      <c r="C551" s="4"/>
      <c r="D551" s="4"/>
      <c r="E551" s="4"/>
      <c r="F551" s="4"/>
      <c r="G551" s="4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1:30" s="37" customFormat="1" x14ac:dyDescent="0.3">
      <c r="A552" s="5"/>
      <c r="B552" s="5"/>
      <c r="C552" s="4"/>
      <c r="D552" s="4"/>
      <c r="E552" s="4"/>
      <c r="F552" s="4"/>
      <c r="G552" s="4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1:30" s="37" customFormat="1" x14ac:dyDescent="0.3">
      <c r="A553" s="5"/>
      <c r="B553" s="5"/>
      <c r="C553" s="4"/>
      <c r="D553" s="4"/>
      <c r="E553" s="4"/>
      <c r="F553" s="4"/>
      <c r="G553" s="4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s="37" customFormat="1" x14ac:dyDescent="0.3">
      <c r="A554" s="5"/>
      <c r="B554" s="5"/>
      <c r="C554" s="4"/>
      <c r="D554" s="4"/>
      <c r="E554" s="4"/>
      <c r="F554" s="4"/>
      <c r="G554" s="4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s="37" customFormat="1" x14ac:dyDescent="0.3">
      <c r="A555" s="5"/>
      <c r="B555" s="5"/>
      <c r="C555" s="4"/>
      <c r="D555" s="4"/>
      <c r="E555" s="4"/>
      <c r="F555" s="4"/>
      <c r="G555" s="4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s="37" customFormat="1" x14ac:dyDescent="0.3">
      <c r="A556" s="5"/>
      <c r="B556" s="5"/>
      <c r="C556" s="4"/>
      <c r="D556" s="4"/>
      <c r="E556" s="4"/>
      <c r="F556" s="4"/>
      <c r="G556" s="4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s="37" customFormat="1" x14ac:dyDescent="0.3">
      <c r="A557" s="5"/>
      <c r="B557" s="5"/>
      <c r="C557" s="4"/>
      <c r="D557" s="4"/>
      <c r="E557" s="4"/>
      <c r="F557" s="4"/>
      <c r="G557" s="4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1:30" s="37" customFormat="1" x14ac:dyDescent="0.3">
      <c r="A558" s="5"/>
      <c r="B558" s="5"/>
      <c r="C558" s="4"/>
      <c r="D558" s="4"/>
      <c r="E558" s="4"/>
      <c r="F558" s="4"/>
      <c r="G558" s="4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1:30" s="37" customFormat="1" x14ac:dyDescent="0.3">
      <c r="A559" s="5"/>
      <c r="B559" s="5"/>
      <c r="C559" s="4"/>
      <c r="D559" s="4"/>
      <c r="E559" s="4"/>
      <c r="F559" s="4"/>
      <c r="G559" s="4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1:30" s="37" customFormat="1" x14ac:dyDescent="0.3">
      <c r="A560" s="5"/>
      <c r="B560" s="5"/>
      <c r="C560" s="4"/>
      <c r="D560" s="4"/>
      <c r="E560" s="4"/>
      <c r="F560" s="4"/>
      <c r="G560" s="4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1:30" s="37" customFormat="1" x14ac:dyDescent="0.3">
      <c r="A561" s="5"/>
      <c r="B561" s="5"/>
      <c r="C561" s="4"/>
      <c r="D561" s="4"/>
      <c r="E561" s="4"/>
      <c r="F561" s="4"/>
      <c r="G561" s="4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 s="37" customFormat="1" x14ac:dyDescent="0.3">
      <c r="A562" s="5"/>
      <c r="B562" s="5"/>
      <c r="C562" s="4"/>
      <c r="D562" s="4"/>
      <c r="E562" s="4"/>
      <c r="F562" s="4"/>
      <c r="G562" s="4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s="37" customFormat="1" x14ac:dyDescent="0.3">
      <c r="A563" s="5"/>
      <c r="B563" s="5"/>
      <c r="C563" s="4"/>
      <c r="D563" s="4"/>
      <c r="E563" s="4"/>
      <c r="F563" s="4"/>
      <c r="G563" s="4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s="37" customFormat="1" x14ac:dyDescent="0.3">
      <c r="A564" s="5"/>
      <c r="B564" s="5"/>
      <c r="C564" s="4"/>
      <c r="D564" s="4"/>
      <c r="E564" s="4"/>
      <c r="F564" s="4"/>
      <c r="G564" s="4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0" s="37" customFormat="1" x14ac:dyDescent="0.3">
      <c r="A565" s="5"/>
      <c r="B565" s="5"/>
      <c r="C565" s="4"/>
      <c r="D565" s="4"/>
      <c r="E565" s="4"/>
      <c r="F565" s="4"/>
      <c r="G565" s="4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1:30" s="37" customFormat="1" x14ac:dyDescent="0.3">
      <c r="A566" s="5"/>
      <c r="B566" s="5"/>
      <c r="C566" s="4"/>
      <c r="D566" s="4"/>
      <c r="E566" s="4"/>
      <c r="F566" s="4"/>
      <c r="G566" s="4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1:30" s="37" customFormat="1" x14ac:dyDescent="0.3">
      <c r="A567" s="5"/>
      <c r="B567" s="5"/>
      <c r="C567" s="4"/>
      <c r="D567" s="4"/>
      <c r="E567" s="4"/>
      <c r="F567" s="4"/>
      <c r="G567" s="4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1:30" s="37" customFormat="1" x14ac:dyDescent="0.3">
      <c r="A568" s="5"/>
      <c r="B568" s="5"/>
      <c r="C568" s="4"/>
      <c r="D568" s="4"/>
      <c r="E568" s="4"/>
      <c r="F568" s="4"/>
      <c r="G568" s="4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spans="1:30" s="37" customFormat="1" x14ac:dyDescent="0.3">
      <c r="A569" s="5"/>
      <c r="B569" s="5"/>
      <c r="C569" s="4"/>
      <c r="D569" s="4"/>
      <c r="E569" s="4"/>
      <c r="F569" s="4"/>
      <c r="G569" s="4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spans="1:30" s="37" customFormat="1" x14ac:dyDescent="0.3">
      <c r="A570" s="5"/>
      <c r="B570" s="5"/>
      <c r="C570" s="4"/>
      <c r="D570" s="4"/>
      <c r="E570" s="4"/>
      <c r="F570" s="4"/>
      <c r="G570" s="4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spans="1:30" s="37" customFormat="1" x14ac:dyDescent="0.3">
      <c r="A571" s="5"/>
      <c r="B571" s="5"/>
      <c r="C571" s="4"/>
      <c r="D571" s="4"/>
      <c r="E571" s="4"/>
      <c r="F571" s="4"/>
      <c r="G571" s="4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spans="1:30" s="37" customFormat="1" x14ac:dyDescent="0.3">
      <c r="A572" s="5"/>
      <c r="B572" s="5"/>
      <c r="C572" s="4"/>
      <c r="D572" s="4"/>
      <c r="E572" s="4"/>
      <c r="F572" s="4"/>
      <c r="G572" s="4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spans="1:30" s="37" customFormat="1" x14ac:dyDescent="0.3">
      <c r="A573" s="5"/>
      <c r="B573" s="5"/>
      <c r="C573" s="4"/>
      <c r="D573" s="4"/>
      <c r="E573" s="4"/>
      <c r="F573" s="4"/>
      <c r="G573" s="4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spans="1:30" s="37" customFormat="1" x14ac:dyDescent="0.3">
      <c r="A574" s="5"/>
      <c r="B574" s="5"/>
      <c r="C574" s="4"/>
      <c r="D574" s="4"/>
      <c r="E574" s="4"/>
      <c r="F574" s="4"/>
      <c r="G574" s="4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spans="1:30" s="37" customFormat="1" x14ac:dyDescent="0.3">
      <c r="A575" s="5"/>
      <c r="B575" s="5"/>
      <c r="C575" s="4"/>
      <c r="D575" s="4"/>
      <c r="E575" s="4"/>
      <c r="F575" s="4"/>
      <c r="G575" s="4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spans="1:30" s="37" customFormat="1" x14ac:dyDescent="0.3">
      <c r="A576" s="5"/>
      <c r="B576" s="5"/>
      <c r="C576" s="4"/>
      <c r="D576" s="4"/>
      <c r="E576" s="4"/>
      <c r="F576" s="4"/>
      <c r="G576" s="4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spans="1:30" s="37" customFormat="1" x14ac:dyDescent="0.3">
      <c r="A577" s="5"/>
      <c r="B577" s="5"/>
      <c r="C577" s="4"/>
      <c r="D577" s="4"/>
      <c r="E577" s="4"/>
      <c r="F577" s="4"/>
      <c r="G577" s="4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 s="37" customFormat="1" x14ac:dyDescent="0.3">
      <c r="A578" s="5"/>
      <c r="B578" s="5"/>
      <c r="C578" s="4"/>
      <c r="D578" s="4"/>
      <c r="E578" s="4"/>
      <c r="F578" s="4"/>
      <c r="G578" s="4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s="37" customFormat="1" x14ac:dyDescent="0.3">
      <c r="A579" s="5"/>
      <c r="B579" s="5"/>
      <c r="C579" s="4"/>
      <c r="D579" s="4"/>
      <c r="E579" s="4"/>
      <c r="F579" s="4"/>
      <c r="G579" s="4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spans="1:30" s="37" customFormat="1" x14ac:dyDescent="0.3">
      <c r="A580" s="5"/>
      <c r="B580" s="5"/>
      <c r="C580" s="4"/>
      <c r="D580" s="4"/>
      <c r="E580" s="4"/>
      <c r="F580" s="4"/>
      <c r="G580" s="4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spans="1:30" s="37" customFormat="1" x14ac:dyDescent="0.3">
      <c r="A581" s="5"/>
      <c r="B581" s="5"/>
      <c r="C581" s="4"/>
      <c r="D581" s="4"/>
      <c r="E581" s="4"/>
      <c r="F581" s="4"/>
      <c r="G581" s="4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spans="1:30" s="37" customFormat="1" x14ac:dyDescent="0.3">
      <c r="A582" s="5"/>
      <c r="B582" s="5"/>
      <c r="C582" s="4"/>
      <c r="D582" s="4"/>
      <c r="E582" s="4"/>
      <c r="F582" s="4"/>
      <c r="G582" s="4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spans="1:30" s="37" customFormat="1" x14ac:dyDescent="0.3">
      <c r="A583" s="5"/>
      <c r="B583" s="5"/>
      <c r="C583" s="4"/>
      <c r="D583" s="4"/>
      <c r="E583" s="4"/>
      <c r="F583" s="4"/>
      <c r="G583" s="4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s="37" customFormat="1" x14ac:dyDescent="0.3">
      <c r="A584" s="5"/>
      <c r="B584" s="5"/>
      <c r="C584" s="4"/>
      <c r="D584" s="4"/>
      <c r="E584" s="4"/>
      <c r="F584" s="4"/>
      <c r="G584" s="4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s="37" customFormat="1" x14ac:dyDescent="0.3">
      <c r="A585" s="5"/>
      <c r="B585" s="5"/>
      <c r="C585" s="4"/>
      <c r="D585" s="4"/>
      <c r="E585" s="4"/>
      <c r="F585" s="4"/>
      <c r="G585" s="4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s="37" customFormat="1" x14ac:dyDescent="0.3">
      <c r="A586" s="5"/>
      <c r="B586" s="5"/>
      <c r="C586" s="4"/>
      <c r="D586" s="4"/>
      <c r="E586" s="4"/>
      <c r="F586" s="4"/>
      <c r="G586" s="4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s="37" customFormat="1" x14ac:dyDescent="0.3">
      <c r="A587" s="5"/>
      <c r="B587" s="5"/>
      <c r="C587" s="4"/>
      <c r="D587" s="4"/>
      <c r="E587" s="4"/>
      <c r="F587" s="4"/>
      <c r="G587" s="4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s="37" customFormat="1" x14ac:dyDescent="0.3">
      <c r="A588" s="5"/>
      <c r="B588" s="5"/>
      <c r="C588" s="4"/>
      <c r="D588" s="4"/>
      <c r="E588" s="4"/>
      <c r="F588" s="4"/>
      <c r="G588" s="4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spans="1:30" s="37" customFormat="1" x14ac:dyDescent="0.3">
      <c r="A589" s="5"/>
      <c r="B589" s="5"/>
      <c r="C589" s="4"/>
      <c r="D589" s="4"/>
      <c r="E589" s="4"/>
      <c r="F589" s="4"/>
      <c r="G589" s="4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spans="1:30" s="37" customFormat="1" x14ac:dyDescent="0.3">
      <c r="A590" s="5"/>
      <c r="B590" s="5"/>
      <c r="C590" s="4"/>
      <c r="D590" s="4"/>
      <c r="E590" s="4"/>
      <c r="F590" s="4"/>
      <c r="G590" s="4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spans="1:30" s="37" customFormat="1" x14ac:dyDescent="0.3">
      <c r="A591" s="5"/>
      <c r="B591" s="5"/>
      <c r="C591" s="4"/>
      <c r="D591" s="4"/>
      <c r="E591" s="4"/>
      <c r="F591" s="4"/>
      <c r="G591" s="4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spans="1:30" s="37" customFormat="1" x14ac:dyDescent="0.3">
      <c r="A592" s="5"/>
      <c r="B592" s="5"/>
      <c r="C592" s="4"/>
      <c r="D592" s="4"/>
      <c r="E592" s="4"/>
      <c r="F592" s="4"/>
      <c r="G592" s="4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spans="1:31" s="37" customFormat="1" x14ac:dyDescent="0.3">
      <c r="A593" s="5"/>
      <c r="B593" s="5"/>
      <c r="C593" s="4"/>
      <c r="D593" s="4"/>
      <c r="E593" s="4"/>
      <c r="F593" s="4"/>
      <c r="G593" s="4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spans="1:31" s="37" customFormat="1" x14ac:dyDescent="0.3">
      <c r="A594" s="5"/>
      <c r="B594" s="5"/>
      <c r="C594" s="4"/>
      <c r="D594" s="4"/>
      <c r="E594" s="4"/>
      <c r="F594" s="4"/>
      <c r="G594" s="4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spans="1:31" s="37" customFormat="1" x14ac:dyDescent="0.3">
      <c r="A595" s="5"/>
      <c r="B595" s="5"/>
      <c r="C595" s="4"/>
      <c r="D595" s="4"/>
      <c r="E595" s="4"/>
      <c r="F595" s="4"/>
      <c r="G595" s="4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spans="1:31" s="37" customFormat="1" x14ac:dyDescent="0.3">
      <c r="A596" s="5"/>
      <c r="B596" s="5"/>
      <c r="C596" s="4"/>
      <c r="D596" s="4"/>
      <c r="E596" s="4"/>
      <c r="F596" s="4"/>
      <c r="G596" s="4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spans="1:31" s="37" customFormat="1" x14ac:dyDescent="0.3">
      <c r="A597" s="5"/>
      <c r="B597" s="5"/>
      <c r="C597" s="4"/>
      <c r="D597" s="4"/>
      <c r="E597" s="4"/>
      <c r="F597" s="4"/>
      <c r="G597" s="4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spans="1:31" s="37" customFormat="1" x14ac:dyDescent="0.3">
      <c r="A598" s="5"/>
      <c r="B598" s="5"/>
      <c r="C598" s="4"/>
      <c r="D598" s="4"/>
      <c r="E598" s="4"/>
      <c r="F598" s="4"/>
      <c r="G598" s="4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spans="1:31" s="37" customFormat="1" x14ac:dyDescent="0.3">
      <c r="A599" s="5"/>
      <c r="B599" s="5"/>
      <c r="C599" s="4"/>
      <c r="D599" s="4"/>
      <c r="E599" s="4"/>
      <c r="F599" s="4"/>
      <c r="G599" s="4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spans="1:31" s="37" customFormat="1" x14ac:dyDescent="0.3">
      <c r="A600" s="5"/>
      <c r="B600" s="5"/>
      <c r="C600" s="4"/>
      <c r="D600" s="4"/>
      <c r="E600" s="4"/>
      <c r="F600" s="4"/>
      <c r="G600" s="4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</row>
    <row r="601" spans="1:31" s="37" customFormat="1" x14ac:dyDescent="0.3">
      <c r="A601" s="5"/>
      <c r="B601" s="5"/>
      <c r="C601" s="4"/>
      <c r="D601" s="4"/>
      <c r="E601" s="4"/>
      <c r="F601" s="4"/>
      <c r="G601" s="4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</row>
    <row r="602" spans="1:31" s="37" customFormat="1" x14ac:dyDescent="0.3">
      <c r="A602" s="5"/>
      <c r="B602" s="5"/>
      <c r="C602" s="4"/>
      <c r="D602" s="4"/>
      <c r="E602" s="4"/>
      <c r="F602" s="4"/>
      <c r="G602" s="4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</row>
    <row r="603" spans="1:31" s="37" customFormat="1" x14ac:dyDescent="0.3">
      <c r="A603" s="5"/>
      <c r="B603" s="5"/>
      <c r="C603" s="4"/>
      <c r="D603" s="4"/>
      <c r="E603" s="4"/>
      <c r="F603" s="4"/>
      <c r="G603" s="4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</row>
    <row r="604" spans="1:31" s="37" customFormat="1" x14ac:dyDescent="0.3">
      <c r="A604" s="5"/>
      <c r="B604" s="5"/>
      <c r="C604" s="4"/>
      <c r="D604" s="4"/>
      <c r="E604" s="4"/>
      <c r="F604" s="4"/>
      <c r="G604" s="4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</row>
    <row r="605" spans="1:31" s="37" customFormat="1" x14ac:dyDescent="0.3">
      <c r="A605" s="5"/>
      <c r="B605" s="5"/>
      <c r="C605" s="4"/>
      <c r="D605" s="4"/>
      <c r="E605" s="4"/>
      <c r="F605" s="4"/>
      <c r="G605" s="4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</row>
    <row r="606" spans="1:31" s="37" customFormat="1" x14ac:dyDescent="0.3">
      <c r="A606" s="5"/>
      <c r="B606" s="5"/>
      <c r="C606" s="4"/>
      <c r="D606" s="4"/>
      <c r="E606" s="4"/>
      <c r="F606" s="4"/>
      <c r="G606" s="4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</row>
    <row r="607" spans="1:31" s="37" customFormat="1" x14ac:dyDescent="0.3">
      <c r="A607" s="5"/>
      <c r="B607" s="5"/>
      <c r="C607" s="4"/>
      <c r="D607" s="4"/>
      <c r="E607" s="4"/>
      <c r="F607" s="4"/>
      <c r="G607" s="4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</row>
    <row r="608" spans="1:31" s="37" customFormat="1" x14ac:dyDescent="0.3">
      <c r="A608" s="5"/>
      <c r="B608" s="5"/>
      <c r="C608" s="4"/>
      <c r="D608" s="4"/>
      <c r="E608" s="4"/>
      <c r="F608" s="4"/>
      <c r="G608" s="4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</row>
    <row r="609" spans="1:31" s="37" customFormat="1" x14ac:dyDescent="0.3">
      <c r="A609" s="5"/>
      <c r="B609" s="5"/>
      <c r="C609" s="4"/>
      <c r="D609" s="4"/>
      <c r="E609" s="4"/>
      <c r="F609" s="4"/>
      <c r="G609" s="4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</row>
    <row r="610" spans="1:31" s="37" customFormat="1" x14ac:dyDescent="0.3">
      <c r="A610" s="5"/>
      <c r="B610" s="5"/>
      <c r="C610" s="4"/>
      <c r="D610" s="4"/>
      <c r="E610" s="4"/>
      <c r="F610" s="4"/>
      <c r="G610" s="4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</row>
    <row r="611" spans="1:31" s="37" customFormat="1" x14ac:dyDescent="0.3">
      <c r="A611" s="5"/>
      <c r="B611" s="5"/>
      <c r="C611" s="4"/>
      <c r="D611" s="4"/>
      <c r="E611" s="4"/>
      <c r="F611" s="4"/>
      <c r="G611" s="4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</row>
    <row r="612" spans="1:31" s="37" customFormat="1" x14ac:dyDescent="0.3">
      <c r="A612" s="5"/>
      <c r="B612" s="5"/>
      <c r="C612" s="4"/>
      <c r="D612" s="4"/>
      <c r="E612" s="4"/>
      <c r="F612" s="4"/>
      <c r="G612" s="4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</row>
    <row r="613" spans="1:31" s="37" customFormat="1" x14ac:dyDescent="0.3">
      <c r="A613" s="5"/>
      <c r="B613" s="5"/>
      <c r="C613" s="4"/>
      <c r="D613" s="4"/>
      <c r="E613" s="4"/>
      <c r="F613" s="4"/>
      <c r="G613" s="4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</row>
    <row r="614" spans="1:31" s="37" customFormat="1" x14ac:dyDescent="0.3">
      <c r="A614" s="5"/>
      <c r="B614" s="5"/>
      <c r="C614" s="4"/>
      <c r="D614" s="4"/>
      <c r="E614" s="4"/>
      <c r="F614" s="4"/>
      <c r="G614" s="4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</row>
    <row r="615" spans="1:31" s="37" customFormat="1" x14ac:dyDescent="0.3">
      <c r="A615" s="5"/>
      <c r="B615" s="5"/>
      <c r="C615" s="4"/>
      <c r="D615" s="4"/>
      <c r="E615" s="4"/>
      <c r="F615" s="4"/>
      <c r="G615" s="4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</row>
    <row r="616" spans="1:31" s="37" customFormat="1" x14ac:dyDescent="0.3">
      <c r="A616" s="5"/>
      <c r="B616" s="5"/>
      <c r="C616" s="4"/>
      <c r="D616" s="4"/>
      <c r="E616" s="4"/>
      <c r="F616" s="4"/>
      <c r="G616" s="4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</row>
    <row r="617" spans="1:31" s="37" customFormat="1" x14ac:dyDescent="0.3">
      <c r="A617" s="5"/>
      <c r="B617" s="5"/>
      <c r="C617" s="4"/>
      <c r="D617" s="4"/>
      <c r="E617" s="4"/>
      <c r="F617" s="4"/>
      <c r="G617" s="4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</row>
    <row r="618" spans="1:31" s="37" customFormat="1" x14ac:dyDescent="0.3">
      <c r="A618" s="5"/>
      <c r="B618" s="5"/>
      <c r="C618" s="4"/>
      <c r="D618" s="4"/>
      <c r="E618" s="4"/>
      <c r="F618" s="4"/>
      <c r="G618" s="4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</row>
    <row r="619" spans="1:31" s="37" customFormat="1" x14ac:dyDescent="0.3">
      <c r="A619" s="5"/>
      <c r="B619" s="5"/>
      <c r="C619" s="4"/>
      <c r="D619" s="4"/>
      <c r="E619" s="4"/>
      <c r="F619" s="4"/>
      <c r="G619" s="4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</row>
    <row r="620" spans="1:31" s="37" customFormat="1" x14ac:dyDescent="0.3">
      <c r="A620" s="5"/>
      <c r="B620" s="5"/>
      <c r="C620" s="4"/>
      <c r="D620" s="4"/>
      <c r="E620" s="4"/>
      <c r="F620" s="4"/>
      <c r="G620" s="4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</row>
    <row r="621" spans="1:31" s="37" customFormat="1" x14ac:dyDescent="0.3">
      <c r="A621" s="5"/>
      <c r="B621" s="5"/>
      <c r="C621" s="4"/>
      <c r="D621" s="4"/>
      <c r="E621" s="4"/>
      <c r="F621" s="4"/>
      <c r="G621" s="4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</row>
    <row r="622" spans="1:31" s="37" customFormat="1" x14ac:dyDescent="0.3">
      <c r="A622" s="5"/>
      <c r="B622" s="5"/>
      <c r="C622" s="4"/>
      <c r="D622" s="4"/>
      <c r="E622" s="4"/>
      <c r="F622" s="4"/>
      <c r="G622" s="4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</row>
    <row r="623" spans="1:31" s="37" customFormat="1" x14ac:dyDescent="0.3">
      <c r="A623" s="5"/>
      <c r="B623" s="5"/>
      <c r="C623" s="4"/>
      <c r="D623" s="4"/>
      <c r="E623" s="4"/>
      <c r="F623" s="4"/>
      <c r="G623" s="4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</row>
    <row r="624" spans="1:31" s="37" customFormat="1" x14ac:dyDescent="0.3">
      <c r="A624" s="5"/>
      <c r="B624" s="5"/>
      <c r="C624" s="4"/>
      <c r="D624" s="4"/>
      <c r="E624" s="4"/>
      <c r="F624" s="4"/>
      <c r="G624" s="4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</row>
    <row r="625" spans="1:31" s="37" customFormat="1" x14ac:dyDescent="0.3">
      <c r="A625" s="5"/>
      <c r="B625" s="5"/>
      <c r="C625" s="4"/>
      <c r="D625" s="4"/>
      <c r="E625" s="4"/>
      <c r="F625" s="4"/>
      <c r="G625" s="4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</row>
    <row r="626" spans="1:31" s="37" customFormat="1" x14ac:dyDescent="0.3">
      <c r="A626" s="5"/>
      <c r="B626" s="5"/>
      <c r="C626" s="4"/>
      <c r="D626" s="4"/>
      <c r="E626" s="4"/>
      <c r="F626" s="4"/>
      <c r="G626" s="4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</row>
    <row r="627" spans="1:31" s="37" customFormat="1" x14ac:dyDescent="0.3">
      <c r="A627" s="5"/>
      <c r="B627" s="5"/>
      <c r="C627" s="4"/>
      <c r="D627" s="4"/>
      <c r="E627" s="4"/>
      <c r="F627" s="4"/>
      <c r="G627" s="4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</row>
    <row r="628" spans="1:31" s="37" customFormat="1" x14ac:dyDescent="0.3">
      <c r="A628" s="5"/>
      <c r="B628" s="5"/>
      <c r="C628" s="4"/>
      <c r="D628" s="4"/>
      <c r="E628" s="4"/>
      <c r="F628" s="4"/>
      <c r="G628" s="4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</row>
    <row r="629" spans="1:31" s="37" customFormat="1" x14ac:dyDescent="0.3">
      <c r="A629" s="5"/>
      <c r="B629" s="5"/>
      <c r="C629" s="4"/>
      <c r="D629" s="4"/>
      <c r="E629" s="4"/>
      <c r="F629" s="4"/>
      <c r="G629" s="4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</row>
    <row r="630" spans="1:31" s="37" customFormat="1" x14ac:dyDescent="0.3">
      <c r="A630" s="5"/>
      <c r="B630" s="5"/>
      <c r="C630" s="4"/>
      <c r="D630" s="4"/>
      <c r="E630" s="4"/>
      <c r="F630" s="4"/>
      <c r="G630" s="4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</row>
    <row r="631" spans="1:31" s="37" customFormat="1" x14ac:dyDescent="0.3">
      <c r="A631" s="5"/>
      <c r="B631" s="5"/>
      <c r="C631" s="4"/>
      <c r="D631" s="4"/>
      <c r="E631" s="4"/>
      <c r="F631" s="4"/>
      <c r="G631" s="4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</row>
    <row r="632" spans="1:31" s="37" customFormat="1" x14ac:dyDescent="0.3">
      <c r="A632" s="5"/>
      <c r="B632" s="5"/>
      <c r="C632" s="4"/>
      <c r="D632" s="4"/>
      <c r="E632" s="4"/>
      <c r="F632" s="4"/>
      <c r="G632" s="4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</row>
    <row r="633" spans="1:31" s="37" customFormat="1" x14ac:dyDescent="0.3">
      <c r="A633" s="5"/>
      <c r="B633" s="5"/>
      <c r="C633" s="4"/>
      <c r="D633" s="4"/>
      <c r="E633" s="4"/>
      <c r="F633" s="4"/>
      <c r="G633" s="4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</row>
    <row r="634" spans="1:31" s="37" customFormat="1" x14ac:dyDescent="0.3">
      <c r="A634" s="5"/>
      <c r="B634" s="5"/>
      <c r="C634" s="4"/>
      <c r="D634" s="4"/>
      <c r="E634" s="4"/>
      <c r="F634" s="4"/>
      <c r="G634" s="4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</row>
    <row r="635" spans="1:31" s="37" customFormat="1" x14ac:dyDescent="0.3">
      <c r="A635" s="5"/>
      <c r="B635" s="5"/>
      <c r="C635" s="4"/>
      <c r="D635" s="4"/>
      <c r="E635" s="4"/>
      <c r="F635" s="4"/>
      <c r="G635" s="4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</row>
    <row r="636" spans="1:31" s="37" customFormat="1" x14ac:dyDescent="0.3">
      <c r="A636" s="5"/>
      <c r="B636" s="5"/>
      <c r="C636" s="4"/>
      <c r="D636" s="4"/>
      <c r="E636" s="4"/>
      <c r="F636" s="4"/>
      <c r="G636" s="4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</row>
    <row r="637" spans="1:31" s="37" customFormat="1" x14ac:dyDescent="0.3">
      <c r="A637" s="5"/>
      <c r="B637" s="5"/>
      <c r="C637" s="4"/>
      <c r="D637" s="4"/>
      <c r="E637" s="4"/>
      <c r="F637" s="4"/>
      <c r="G637" s="4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</row>
    <row r="638" spans="1:31" s="37" customFormat="1" x14ac:dyDescent="0.3">
      <c r="A638" s="5"/>
      <c r="B638" s="5"/>
      <c r="C638" s="4"/>
      <c r="D638" s="4"/>
      <c r="E638" s="4"/>
      <c r="F638" s="4"/>
      <c r="G638" s="4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</row>
    <row r="639" spans="1:31" s="37" customFormat="1" x14ac:dyDescent="0.3">
      <c r="A639" s="5"/>
      <c r="B639" s="5"/>
      <c r="C639" s="4"/>
      <c r="D639" s="4"/>
      <c r="E639" s="4"/>
      <c r="F639" s="4"/>
      <c r="G639" s="4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</row>
    <row r="640" spans="1:31" s="37" customFormat="1" x14ac:dyDescent="0.3">
      <c r="A640" s="5"/>
      <c r="B640" s="5"/>
      <c r="C640" s="4"/>
      <c r="D640" s="4"/>
      <c r="E640" s="4"/>
      <c r="F640" s="4"/>
      <c r="G640" s="4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</row>
    <row r="641" spans="1:31" s="37" customFormat="1" x14ac:dyDescent="0.3">
      <c r="A641" s="5"/>
      <c r="B641" s="5"/>
      <c r="C641" s="4"/>
      <c r="D641" s="4"/>
      <c r="E641" s="4"/>
      <c r="F641" s="4"/>
      <c r="G641" s="4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</row>
    <row r="642" spans="1:31" s="37" customFormat="1" x14ac:dyDescent="0.3">
      <c r="A642" s="5"/>
      <c r="B642" s="5"/>
      <c r="C642" s="4"/>
      <c r="D642" s="4"/>
      <c r="E642" s="4"/>
      <c r="F642" s="4"/>
      <c r="G642" s="4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</row>
    <row r="643" spans="1:31" s="37" customFormat="1" x14ac:dyDescent="0.3">
      <c r="A643" s="5"/>
      <c r="B643" s="5"/>
      <c r="C643" s="4"/>
      <c r="D643" s="4"/>
      <c r="E643" s="4"/>
      <c r="F643" s="4"/>
      <c r="G643" s="4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</row>
    <row r="644" spans="1:31" s="37" customFormat="1" x14ac:dyDescent="0.3">
      <c r="A644" s="5"/>
      <c r="B644" s="5"/>
      <c r="C644" s="4"/>
      <c r="D644" s="4"/>
      <c r="E644" s="4"/>
      <c r="F644" s="4"/>
      <c r="G644" s="4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</row>
    <row r="645" spans="1:31" s="37" customFormat="1" x14ac:dyDescent="0.3">
      <c r="A645" s="5"/>
      <c r="B645" s="5"/>
      <c r="C645" s="4"/>
      <c r="D645" s="4"/>
      <c r="E645" s="4"/>
      <c r="F645" s="4"/>
      <c r="G645" s="4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</row>
    <row r="646" spans="1:31" s="37" customFormat="1" x14ac:dyDescent="0.3">
      <c r="A646" s="5"/>
      <c r="B646" s="5"/>
      <c r="C646" s="4"/>
      <c r="D646" s="4"/>
      <c r="E646" s="4"/>
      <c r="F646" s="4"/>
      <c r="G646" s="4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</row>
    <row r="647" spans="1:31" s="37" customFormat="1" x14ac:dyDescent="0.3">
      <c r="A647" s="5"/>
      <c r="B647" s="5"/>
      <c r="C647" s="4"/>
      <c r="D647" s="4"/>
      <c r="E647" s="4"/>
      <c r="F647" s="4"/>
      <c r="G647" s="4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</row>
    <row r="648" spans="1:31" s="37" customFormat="1" x14ac:dyDescent="0.3">
      <c r="A648" s="5"/>
      <c r="B648" s="5"/>
      <c r="C648" s="4"/>
      <c r="D648" s="4"/>
      <c r="E648" s="4"/>
      <c r="F648" s="4"/>
      <c r="G648" s="4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</row>
    <row r="649" spans="1:31" s="37" customFormat="1" x14ac:dyDescent="0.3">
      <c r="A649" s="5"/>
      <c r="B649" s="5"/>
      <c r="C649" s="4"/>
      <c r="D649" s="4"/>
      <c r="E649" s="4"/>
      <c r="F649" s="4"/>
      <c r="G649" s="4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</row>
    <row r="650" spans="1:31" s="37" customFormat="1" x14ac:dyDescent="0.3">
      <c r="A650" s="5"/>
      <c r="B650" s="5"/>
      <c r="C650" s="4"/>
      <c r="D650" s="4"/>
      <c r="E650" s="4"/>
      <c r="F650" s="4"/>
      <c r="G650" s="4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</row>
    <row r="651" spans="1:31" s="37" customFormat="1" x14ac:dyDescent="0.3">
      <c r="A651" s="5"/>
      <c r="B651" s="5"/>
      <c r="C651" s="4"/>
      <c r="D651" s="4"/>
      <c r="E651" s="4"/>
      <c r="F651" s="4"/>
      <c r="G651" s="4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</row>
    <row r="652" spans="1:31" s="37" customFormat="1" x14ac:dyDescent="0.3">
      <c r="A652" s="5"/>
      <c r="B652" s="5"/>
      <c r="C652" s="4"/>
      <c r="D652" s="4"/>
      <c r="E652" s="4"/>
      <c r="F652" s="4"/>
      <c r="G652" s="4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</row>
    <row r="653" spans="1:31" s="37" customFormat="1" x14ac:dyDescent="0.3">
      <c r="A653" s="5"/>
      <c r="B653" s="5"/>
      <c r="C653" s="4"/>
      <c r="D653" s="4"/>
      <c r="E653" s="4"/>
      <c r="F653" s="4"/>
      <c r="G653" s="4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</row>
    <row r="654" spans="1:31" s="37" customFormat="1" x14ac:dyDescent="0.3">
      <c r="A654" s="5"/>
      <c r="B654" s="5"/>
      <c r="C654" s="4"/>
      <c r="D654" s="4"/>
      <c r="E654" s="4"/>
      <c r="F654" s="4"/>
      <c r="G654" s="4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</row>
    <row r="655" spans="1:31" s="37" customFormat="1" x14ac:dyDescent="0.3">
      <c r="A655" s="5"/>
      <c r="B655" s="5"/>
      <c r="C655" s="4"/>
      <c r="D655" s="4"/>
      <c r="E655" s="4"/>
      <c r="F655" s="4"/>
      <c r="G655" s="4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</row>
    <row r="656" spans="1:31" s="37" customFormat="1" x14ac:dyDescent="0.3">
      <c r="A656" s="5"/>
      <c r="B656" s="5"/>
      <c r="C656" s="4"/>
      <c r="D656" s="4"/>
      <c r="E656" s="4"/>
      <c r="F656" s="4"/>
      <c r="G656" s="4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</row>
    <row r="657" spans="1:31" s="37" customFormat="1" x14ac:dyDescent="0.3">
      <c r="A657" s="5"/>
      <c r="B657" s="5"/>
      <c r="C657" s="4"/>
      <c r="D657" s="4"/>
      <c r="E657" s="4"/>
      <c r="F657" s="4"/>
      <c r="G657" s="4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</row>
    <row r="658" spans="1:31" s="37" customFormat="1" x14ac:dyDescent="0.3">
      <c r="A658" s="5"/>
      <c r="B658" s="5"/>
      <c r="C658" s="4"/>
      <c r="D658" s="4"/>
      <c r="E658" s="4"/>
      <c r="F658" s="4"/>
      <c r="G658" s="4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</row>
    <row r="659" spans="1:31" s="37" customFormat="1" x14ac:dyDescent="0.3">
      <c r="A659" s="5"/>
      <c r="B659" s="5"/>
      <c r="C659" s="4"/>
      <c r="D659" s="4"/>
      <c r="E659" s="4"/>
      <c r="F659" s="4"/>
      <c r="G659" s="4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</row>
    <row r="660" spans="1:31" s="37" customFormat="1" x14ac:dyDescent="0.3">
      <c r="A660" s="5"/>
      <c r="B660" s="5"/>
      <c r="C660" s="4"/>
      <c r="D660" s="4"/>
      <c r="E660" s="4"/>
      <c r="F660" s="4"/>
      <c r="G660" s="4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</row>
    <row r="661" spans="1:31" s="37" customFormat="1" x14ac:dyDescent="0.3">
      <c r="A661" s="5"/>
      <c r="B661" s="5"/>
      <c r="C661" s="4"/>
      <c r="D661" s="4"/>
      <c r="E661" s="4"/>
      <c r="F661" s="4"/>
      <c r="G661" s="4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</row>
    <row r="662" spans="1:31" s="37" customFormat="1" x14ac:dyDescent="0.3">
      <c r="A662" s="5"/>
      <c r="B662" s="5"/>
      <c r="C662" s="4"/>
      <c r="D662" s="4"/>
      <c r="E662" s="4"/>
      <c r="F662" s="4"/>
      <c r="G662" s="4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</row>
    <row r="663" spans="1:31" s="37" customFormat="1" x14ac:dyDescent="0.3">
      <c r="A663" s="5"/>
      <c r="B663" s="5"/>
      <c r="C663" s="4"/>
      <c r="D663" s="4"/>
      <c r="E663" s="4"/>
      <c r="F663" s="4"/>
      <c r="G663" s="4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</row>
    <row r="664" spans="1:31" s="37" customFormat="1" x14ac:dyDescent="0.3">
      <c r="A664" s="5"/>
      <c r="B664" s="5"/>
      <c r="C664" s="4"/>
      <c r="D664" s="4"/>
      <c r="E664" s="4"/>
      <c r="F664" s="4"/>
      <c r="G664" s="4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</row>
    <row r="665" spans="1:31" s="37" customFormat="1" x14ac:dyDescent="0.3">
      <c r="A665" s="5"/>
      <c r="B665" s="5"/>
      <c r="C665" s="4"/>
      <c r="D665" s="4"/>
      <c r="E665" s="4"/>
      <c r="F665" s="4"/>
      <c r="G665" s="4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</row>
    <row r="666" spans="1:31" s="37" customFormat="1" x14ac:dyDescent="0.3">
      <c r="A666" s="5"/>
      <c r="B666" s="5"/>
      <c r="C666" s="4"/>
      <c r="D666" s="4"/>
      <c r="E666" s="4"/>
      <c r="F666" s="4"/>
      <c r="G666" s="4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</row>
    <row r="667" spans="1:31" s="37" customFormat="1" x14ac:dyDescent="0.3">
      <c r="A667" s="5"/>
      <c r="B667" s="5"/>
      <c r="C667" s="4"/>
      <c r="D667" s="4"/>
      <c r="E667" s="4"/>
      <c r="F667" s="4"/>
      <c r="G667" s="4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</row>
    <row r="668" spans="1:31" s="37" customFormat="1" x14ac:dyDescent="0.3">
      <c r="A668" s="5"/>
      <c r="B668" s="5"/>
      <c r="C668" s="4"/>
      <c r="D668" s="4"/>
      <c r="E668" s="4"/>
      <c r="F668" s="4"/>
      <c r="G668" s="4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</row>
    <row r="669" spans="1:31" s="37" customFormat="1" x14ac:dyDescent="0.3">
      <c r="A669" s="5"/>
      <c r="B669" s="5"/>
      <c r="C669" s="4"/>
      <c r="D669" s="4"/>
      <c r="E669" s="4"/>
      <c r="F669" s="4"/>
      <c r="G669" s="4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</row>
    <row r="670" spans="1:31" s="37" customFormat="1" x14ac:dyDescent="0.3">
      <c r="A670" s="5"/>
      <c r="B670" s="5"/>
      <c r="C670" s="4"/>
      <c r="D670" s="4"/>
      <c r="E670" s="4"/>
      <c r="F670" s="4"/>
      <c r="G670" s="4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</row>
    <row r="671" spans="1:31" s="37" customFormat="1" x14ac:dyDescent="0.3">
      <c r="A671" s="5"/>
      <c r="B671" s="5"/>
      <c r="C671" s="4"/>
      <c r="D671" s="4"/>
      <c r="E671" s="4"/>
      <c r="F671" s="4"/>
      <c r="G671" s="4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</row>
    <row r="672" spans="1:31" s="37" customFormat="1" x14ac:dyDescent="0.3">
      <c r="A672" s="5"/>
      <c r="B672" s="5"/>
      <c r="C672" s="4"/>
      <c r="D672" s="4"/>
      <c r="E672" s="4"/>
      <c r="F672" s="4"/>
      <c r="G672" s="4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</row>
    <row r="673" spans="1:31" s="37" customFormat="1" x14ac:dyDescent="0.3">
      <c r="A673" s="5"/>
      <c r="B673" s="5"/>
      <c r="C673" s="4"/>
      <c r="D673" s="4"/>
      <c r="E673" s="4"/>
      <c r="F673" s="4"/>
      <c r="G673" s="4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</row>
    <row r="674" spans="1:31" s="37" customFormat="1" x14ac:dyDescent="0.3">
      <c r="A674" s="5"/>
      <c r="B674" s="5"/>
      <c r="C674" s="4"/>
      <c r="D674" s="4"/>
      <c r="E674" s="4"/>
      <c r="F674" s="4"/>
      <c r="G674" s="4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</row>
    <row r="675" spans="1:31" s="37" customFormat="1" x14ac:dyDescent="0.3">
      <c r="A675" s="5"/>
      <c r="B675" s="5"/>
      <c r="C675" s="4"/>
      <c r="D675" s="4"/>
      <c r="E675" s="4"/>
      <c r="F675" s="4"/>
      <c r="G675" s="4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</row>
    <row r="676" spans="1:31" s="37" customFormat="1" x14ac:dyDescent="0.3">
      <c r="A676" s="5"/>
      <c r="B676" s="5"/>
      <c r="C676" s="4"/>
      <c r="D676" s="4"/>
      <c r="E676" s="4"/>
      <c r="F676" s="4"/>
      <c r="G676" s="4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</row>
    <row r="677" spans="1:31" s="37" customFormat="1" x14ac:dyDescent="0.3">
      <c r="A677" s="5"/>
      <c r="B677" s="5"/>
      <c r="C677" s="4"/>
      <c r="D677" s="4"/>
      <c r="E677" s="4"/>
      <c r="F677" s="4"/>
      <c r="G677" s="4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</row>
    <row r="678" spans="1:31" s="37" customFormat="1" x14ac:dyDescent="0.3">
      <c r="A678" s="5"/>
      <c r="B678" s="5"/>
      <c r="C678" s="4"/>
      <c r="D678" s="4"/>
      <c r="E678" s="4"/>
      <c r="F678" s="4"/>
      <c r="G678" s="4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</row>
    <row r="679" spans="1:31" s="37" customFormat="1" x14ac:dyDescent="0.3">
      <c r="A679" s="5"/>
      <c r="B679" s="5"/>
      <c r="C679" s="4"/>
      <c r="D679" s="4"/>
      <c r="E679" s="4"/>
      <c r="F679" s="4"/>
      <c r="G679" s="4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</row>
    <row r="680" spans="1:31" s="37" customFormat="1" x14ac:dyDescent="0.3">
      <c r="A680" s="5"/>
      <c r="B680" s="5"/>
      <c r="C680" s="4"/>
      <c r="D680" s="4"/>
      <c r="E680" s="4"/>
      <c r="F680" s="4"/>
      <c r="G680" s="4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</row>
    <row r="681" spans="1:31" s="37" customFormat="1" x14ac:dyDescent="0.3">
      <c r="A681" s="5"/>
      <c r="B681" s="5"/>
      <c r="C681" s="4"/>
      <c r="D681" s="4"/>
      <c r="E681" s="4"/>
      <c r="F681" s="4"/>
      <c r="G681" s="4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</row>
    <row r="682" spans="1:31" s="37" customFormat="1" x14ac:dyDescent="0.3">
      <c r="A682" s="5"/>
      <c r="B682" s="5"/>
      <c r="C682" s="4"/>
      <c r="D682" s="4"/>
      <c r="E682" s="4"/>
      <c r="F682" s="4"/>
      <c r="G682" s="4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</row>
    <row r="683" spans="1:31" s="37" customFormat="1" x14ac:dyDescent="0.3">
      <c r="A683" s="5"/>
      <c r="B683" s="5"/>
      <c r="C683" s="4"/>
      <c r="D683" s="4"/>
      <c r="E683" s="4"/>
      <c r="F683" s="4"/>
      <c r="G683" s="4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</row>
    <row r="684" spans="1:31" s="37" customFormat="1" x14ac:dyDescent="0.3">
      <c r="A684" s="5"/>
      <c r="B684" s="5"/>
      <c r="C684" s="4"/>
      <c r="D684" s="4"/>
      <c r="E684" s="4"/>
      <c r="F684" s="4"/>
      <c r="G684" s="4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</row>
    <row r="685" spans="1:31" s="37" customFormat="1" x14ac:dyDescent="0.3">
      <c r="A685" s="5"/>
      <c r="B685" s="5"/>
      <c r="C685" s="4"/>
      <c r="D685" s="4"/>
      <c r="E685" s="4"/>
      <c r="F685" s="4"/>
      <c r="G685" s="4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</row>
    <row r="686" spans="1:31" s="37" customFormat="1" x14ac:dyDescent="0.3">
      <c r="A686" s="5"/>
      <c r="B686" s="5"/>
      <c r="C686" s="4"/>
      <c r="D686" s="4"/>
      <c r="E686" s="4"/>
      <c r="F686" s="4"/>
      <c r="G686" s="4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</row>
    <row r="687" spans="1:31" s="37" customFormat="1" x14ac:dyDescent="0.3">
      <c r="A687" s="5"/>
      <c r="B687" s="5"/>
      <c r="C687" s="4"/>
      <c r="D687" s="4"/>
      <c r="E687" s="4"/>
      <c r="F687" s="4"/>
      <c r="G687" s="4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</row>
    <row r="688" spans="1:31" s="37" customFormat="1" x14ac:dyDescent="0.3">
      <c r="A688" s="5"/>
      <c r="B688" s="5"/>
      <c r="C688" s="4"/>
      <c r="D688" s="4"/>
      <c r="E688" s="4"/>
      <c r="F688" s="4"/>
      <c r="G688" s="4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</row>
    <row r="689" spans="1:31" s="37" customFormat="1" x14ac:dyDescent="0.3">
      <c r="A689" s="5"/>
      <c r="B689" s="5"/>
      <c r="C689" s="4"/>
      <c r="D689" s="4"/>
      <c r="E689" s="4"/>
      <c r="F689" s="4"/>
      <c r="G689" s="4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</row>
    <row r="690" spans="1:31" s="37" customFormat="1" x14ac:dyDescent="0.3">
      <c r="A690" s="5"/>
      <c r="B690" s="5"/>
      <c r="C690" s="4"/>
      <c r="D690" s="4"/>
      <c r="E690" s="4"/>
      <c r="F690" s="4"/>
      <c r="G690" s="4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</row>
    <row r="691" spans="1:31" s="37" customFormat="1" x14ac:dyDescent="0.3">
      <c r="A691" s="5"/>
      <c r="B691" s="5"/>
      <c r="C691" s="4"/>
      <c r="D691" s="4"/>
      <c r="E691" s="4"/>
      <c r="F691" s="4"/>
      <c r="G691" s="4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</row>
    <row r="692" spans="1:31" s="37" customFormat="1" x14ac:dyDescent="0.3">
      <c r="A692" s="5"/>
      <c r="B692" s="5"/>
      <c r="C692" s="4"/>
      <c r="D692" s="4"/>
      <c r="E692" s="4"/>
      <c r="F692" s="4"/>
      <c r="G692" s="4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</row>
    <row r="693" spans="1:31" s="37" customFormat="1" x14ac:dyDescent="0.3">
      <c r="A693" s="5"/>
      <c r="B693" s="5"/>
      <c r="C693" s="4"/>
      <c r="D693" s="4"/>
      <c r="E693" s="4"/>
      <c r="F693" s="4"/>
      <c r="G693" s="4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</row>
    <row r="694" spans="1:31" s="37" customFormat="1" x14ac:dyDescent="0.3">
      <c r="A694" s="5"/>
      <c r="B694" s="5"/>
      <c r="C694" s="4"/>
      <c r="D694" s="4"/>
      <c r="E694" s="4"/>
      <c r="F694" s="4"/>
      <c r="G694" s="4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</row>
    <row r="695" spans="1:31" s="37" customFormat="1" x14ac:dyDescent="0.3">
      <c r="A695" s="5"/>
      <c r="B695" s="5"/>
      <c r="C695" s="4"/>
      <c r="D695" s="4"/>
      <c r="E695" s="4"/>
      <c r="F695" s="4"/>
      <c r="G695" s="4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</row>
    <row r="696" spans="1:31" s="37" customFormat="1" x14ac:dyDescent="0.3">
      <c r="A696" s="5"/>
      <c r="B696" s="5"/>
      <c r="C696" s="4"/>
      <c r="D696" s="4"/>
      <c r="E696" s="4"/>
      <c r="F696" s="4"/>
      <c r="G696" s="4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</row>
    <row r="697" spans="1:31" s="37" customFormat="1" x14ac:dyDescent="0.3">
      <c r="A697" s="5"/>
      <c r="B697" s="5"/>
      <c r="C697" s="4"/>
      <c r="D697" s="4"/>
      <c r="E697" s="4"/>
      <c r="F697" s="4"/>
      <c r="G697" s="4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</row>
    <row r="698" spans="1:31" s="37" customFormat="1" x14ac:dyDescent="0.3">
      <c r="A698" s="5"/>
      <c r="B698" s="5"/>
      <c r="C698" s="4"/>
      <c r="D698" s="4"/>
      <c r="E698" s="4"/>
      <c r="F698" s="4"/>
      <c r="G698" s="4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</row>
    <row r="699" spans="1:31" s="37" customFormat="1" x14ac:dyDescent="0.3">
      <c r="A699" s="5"/>
      <c r="B699" s="5"/>
      <c r="C699" s="4"/>
      <c r="D699" s="4"/>
      <c r="E699" s="4"/>
      <c r="F699" s="4"/>
      <c r="G699" s="4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</row>
    <row r="700" spans="1:31" s="37" customFormat="1" x14ac:dyDescent="0.3">
      <c r="A700" s="5"/>
      <c r="B700" s="5"/>
      <c r="C700" s="4"/>
      <c r="D700" s="4"/>
      <c r="E700" s="4"/>
      <c r="F700" s="4"/>
      <c r="G700" s="4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</row>
    <row r="701" spans="1:31" s="37" customFormat="1" x14ac:dyDescent="0.3">
      <c r="A701" s="5"/>
      <c r="B701" s="5"/>
      <c r="C701" s="4"/>
      <c r="D701" s="4"/>
      <c r="E701" s="4"/>
      <c r="F701" s="4"/>
      <c r="G701" s="4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</row>
    <row r="702" spans="1:31" s="37" customFormat="1" x14ac:dyDescent="0.3">
      <c r="A702" s="5"/>
      <c r="B702" s="5"/>
      <c r="C702" s="4"/>
      <c r="D702" s="4"/>
      <c r="E702" s="4"/>
      <c r="F702" s="4"/>
      <c r="G702" s="4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</row>
    <row r="703" spans="1:31" s="37" customFormat="1" x14ac:dyDescent="0.3">
      <c r="A703" s="5"/>
      <c r="B703" s="5"/>
      <c r="C703" s="4"/>
      <c r="D703" s="4"/>
      <c r="E703" s="4"/>
      <c r="F703" s="4"/>
      <c r="G703" s="4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</row>
    <row r="704" spans="1:31" s="37" customFormat="1" x14ac:dyDescent="0.3">
      <c r="A704" s="5"/>
      <c r="B704" s="5"/>
      <c r="C704" s="4"/>
      <c r="D704" s="4"/>
      <c r="E704" s="4"/>
      <c r="F704" s="4"/>
      <c r="G704" s="4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</row>
    <row r="705" spans="1:31" s="37" customFormat="1" x14ac:dyDescent="0.3">
      <c r="A705" s="5"/>
      <c r="B705" s="5"/>
      <c r="C705" s="4"/>
      <c r="D705" s="4"/>
      <c r="E705" s="4"/>
      <c r="F705" s="4"/>
      <c r="G705" s="4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</row>
    <row r="706" spans="1:31" s="37" customFormat="1" x14ac:dyDescent="0.3">
      <c r="A706" s="5"/>
      <c r="B706" s="5"/>
      <c r="C706" s="4"/>
      <c r="D706" s="4"/>
      <c r="E706" s="4"/>
      <c r="F706" s="4"/>
      <c r="G706" s="4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</row>
    <row r="707" spans="1:31" s="37" customFormat="1" x14ac:dyDescent="0.3">
      <c r="A707" s="5"/>
      <c r="B707" s="5"/>
      <c r="C707" s="4"/>
      <c r="D707" s="4"/>
      <c r="E707" s="4"/>
      <c r="F707" s="4"/>
      <c r="G707" s="4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</row>
    <row r="708" spans="1:31" s="37" customFormat="1" x14ac:dyDescent="0.3">
      <c r="A708" s="5"/>
      <c r="B708" s="5"/>
      <c r="C708" s="4"/>
      <c r="D708" s="4"/>
      <c r="E708" s="4"/>
      <c r="F708" s="4"/>
      <c r="G708" s="4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</row>
    <row r="709" spans="1:31" s="37" customFormat="1" x14ac:dyDescent="0.3">
      <c r="A709" s="5"/>
      <c r="B709" s="5"/>
      <c r="C709" s="4"/>
      <c r="D709" s="4"/>
      <c r="E709" s="4"/>
      <c r="F709" s="4"/>
      <c r="G709" s="4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</row>
    <row r="710" spans="1:31" s="37" customFormat="1" x14ac:dyDescent="0.3">
      <c r="A710" s="5"/>
      <c r="B710" s="5"/>
      <c r="C710" s="4"/>
      <c r="D710" s="4"/>
      <c r="E710" s="4"/>
      <c r="F710" s="4"/>
      <c r="G710" s="4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</row>
    <row r="711" spans="1:31" s="37" customFormat="1" x14ac:dyDescent="0.3">
      <c r="A711" s="5"/>
      <c r="B711" s="5"/>
      <c r="C711" s="4"/>
      <c r="D711" s="4"/>
      <c r="E711" s="4"/>
      <c r="F711" s="4"/>
      <c r="G711" s="4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</row>
    <row r="712" spans="1:31" s="37" customFormat="1" x14ac:dyDescent="0.3">
      <c r="A712" s="5"/>
      <c r="B712" s="5"/>
      <c r="C712" s="4"/>
      <c r="D712" s="4"/>
      <c r="E712" s="4"/>
      <c r="F712" s="4"/>
      <c r="G712" s="4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</row>
    <row r="713" spans="1:31" s="37" customFormat="1" x14ac:dyDescent="0.3">
      <c r="A713" s="5"/>
      <c r="B713" s="5"/>
      <c r="C713" s="4"/>
      <c r="D713" s="4"/>
      <c r="E713" s="4"/>
      <c r="F713" s="4"/>
      <c r="G713" s="4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</row>
    <row r="714" spans="1:31" s="37" customFormat="1" x14ac:dyDescent="0.3">
      <c r="A714" s="5"/>
      <c r="B714" s="5"/>
      <c r="C714" s="4"/>
      <c r="D714" s="4"/>
      <c r="E714" s="4"/>
      <c r="F714" s="4"/>
      <c r="G714" s="4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</row>
    <row r="715" spans="1:31" s="37" customFormat="1" x14ac:dyDescent="0.3">
      <c r="A715" s="5"/>
      <c r="B715" s="5"/>
      <c r="C715" s="4"/>
      <c r="D715" s="4"/>
      <c r="E715" s="4"/>
      <c r="F715" s="4"/>
      <c r="G715" s="4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</row>
    <row r="716" spans="1:31" s="37" customFormat="1" x14ac:dyDescent="0.3">
      <c r="A716" s="5"/>
      <c r="B716" s="5"/>
      <c r="C716" s="4"/>
      <c r="D716" s="4"/>
      <c r="E716" s="4"/>
      <c r="F716" s="4"/>
      <c r="G716" s="4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</row>
    <row r="717" spans="1:31" s="37" customFormat="1" x14ac:dyDescent="0.3">
      <c r="A717" s="5"/>
      <c r="B717" s="5"/>
      <c r="C717" s="4"/>
      <c r="D717" s="4"/>
      <c r="E717" s="4"/>
      <c r="F717" s="4"/>
      <c r="G717" s="4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</row>
    <row r="718" spans="1:31" s="37" customFormat="1" x14ac:dyDescent="0.3">
      <c r="A718" s="5"/>
      <c r="B718" s="5"/>
      <c r="C718" s="4"/>
      <c r="D718" s="4"/>
      <c r="E718" s="4"/>
      <c r="F718" s="4"/>
      <c r="G718" s="4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</row>
    <row r="719" spans="1:31" s="37" customFormat="1" x14ac:dyDescent="0.3">
      <c r="A719" s="5"/>
      <c r="B719" s="5"/>
      <c r="C719" s="4"/>
      <c r="D719" s="4"/>
      <c r="E719" s="4"/>
      <c r="F719" s="4"/>
      <c r="G719" s="4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</row>
    <row r="720" spans="1:31" s="37" customFormat="1" x14ac:dyDescent="0.3">
      <c r="A720" s="5"/>
      <c r="B720" s="5"/>
      <c r="C720" s="4"/>
      <c r="D720" s="4"/>
      <c r="E720" s="4"/>
      <c r="F720" s="4"/>
      <c r="G720" s="4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</row>
    <row r="721" spans="1:31" s="37" customFormat="1" x14ac:dyDescent="0.3">
      <c r="A721" s="5"/>
      <c r="B721" s="5"/>
      <c r="C721" s="4"/>
      <c r="D721" s="4"/>
      <c r="E721" s="4"/>
      <c r="F721" s="4"/>
      <c r="G721" s="4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</row>
    <row r="722" spans="1:31" s="37" customFormat="1" x14ac:dyDescent="0.3">
      <c r="A722" s="5"/>
      <c r="B722" s="5"/>
      <c r="C722" s="4"/>
      <c r="D722" s="4"/>
      <c r="E722" s="4"/>
      <c r="F722" s="4"/>
      <c r="G722" s="4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</row>
    <row r="723" spans="1:31" s="37" customFormat="1" x14ac:dyDescent="0.3">
      <c r="A723" s="5"/>
      <c r="B723" s="5"/>
      <c r="C723" s="4"/>
      <c r="D723" s="4"/>
      <c r="E723" s="4"/>
      <c r="F723" s="4"/>
      <c r="G723" s="4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</row>
    <row r="724" spans="1:31" s="37" customFormat="1" x14ac:dyDescent="0.3">
      <c r="A724" s="5"/>
      <c r="B724" s="5"/>
      <c r="C724" s="4"/>
      <c r="D724" s="4"/>
      <c r="E724" s="4"/>
      <c r="F724" s="4"/>
      <c r="G724" s="4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</row>
    <row r="725" spans="1:31" s="37" customFormat="1" x14ac:dyDescent="0.3">
      <c r="A725" s="5"/>
      <c r="B725" s="5"/>
      <c r="C725" s="4"/>
      <c r="D725" s="4"/>
      <c r="E725" s="4"/>
      <c r="F725" s="4"/>
      <c r="G725" s="4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</row>
    <row r="726" spans="1:31" s="37" customFormat="1" x14ac:dyDescent="0.3">
      <c r="A726" s="5"/>
      <c r="B726" s="5"/>
      <c r="C726" s="4"/>
      <c r="D726" s="4"/>
      <c r="E726" s="4"/>
      <c r="F726" s="4"/>
      <c r="G726" s="4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</row>
    <row r="727" spans="1:31" s="37" customFormat="1" x14ac:dyDescent="0.3">
      <c r="A727" s="5"/>
      <c r="B727" s="5"/>
      <c r="C727" s="4"/>
      <c r="D727" s="4"/>
      <c r="E727" s="4"/>
      <c r="F727" s="4"/>
      <c r="G727" s="4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</row>
    <row r="728" spans="1:31" s="37" customFormat="1" x14ac:dyDescent="0.3">
      <c r="A728" s="5"/>
      <c r="B728" s="5"/>
      <c r="C728" s="4"/>
      <c r="D728" s="4"/>
      <c r="E728" s="4"/>
      <c r="F728" s="4"/>
      <c r="G728" s="4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</row>
    <row r="729" spans="1:31" s="37" customFormat="1" x14ac:dyDescent="0.3">
      <c r="A729" s="5"/>
      <c r="B729" s="5"/>
      <c r="C729" s="4"/>
      <c r="D729" s="4"/>
      <c r="E729" s="4"/>
      <c r="F729" s="4"/>
      <c r="G729" s="4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</row>
    <row r="730" spans="1:31" s="37" customFormat="1" x14ac:dyDescent="0.3">
      <c r="A730" s="5"/>
      <c r="B730" s="5"/>
      <c r="C730" s="4"/>
      <c r="D730" s="4"/>
      <c r="E730" s="4"/>
      <c r="F730" s="4"/>
      <c r="G730" s="4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</row>
    <row r="731" spans="1:31" s="37" customFormat="1" x14ac:dyDescent="0.3">
      <c r="A731" s="5"/>
      <c r="B731" s="5"/>
      <c r="C731" s="4"/>
      <c r="D731" s="4"/>
      <c r="E731" s="4"/>
      <c r="F731" s="4"/>
      <c r="G731" s="4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</row>
    <row r="732" spans="1:31" s="37" customFormat="1" x14ac:dyDescent="0.3">
      <c r="A732" s="5"/>
      <c r="B732" s="5"/>
      <c r="C732" s="4"/>
      <c r="D732" s="4"/>
      <c r="E732" s="4"/>
      <c r="F732" s="4"/>
      <c r="G732" s="4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</row>
    <row r="733" spans="1:31" s="37" customFormat="1" x14ac:dyDescent="0.3">
      <c r="A733" s="5"/>
      <c r="B733" s="5"/>
      <c r="C733" s="4"/>
      <c r="D733" s="4"/>
      <c r="E733" s="4"/>
      <c r="F733" s="4"/>
      <c r="G733" s="4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</row>
    <row r="734" spans="1:31" s="37" customFormat="1" x14ac:dyDescent="0.3">
      <c r="A734" s="5"/>
      <c r="B734" s="5"/>
      <c r="C734" s="4"/>
      <c r="D734" s="4"/>
      <c r="E734" s="4"/>
      <c r="F734" s="4"/>
      <c r="G734" s="4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</row>
    <row r="735" spans="1:31" s="37" customFormat="1" x14ac:dyDescent="0.3">
      <c r="A735" s="5"/>
      <c r="B735" s="5"/>
      <c r="C735" s="4"/>
      <c r="D735" s="4"/>
      <c r="E735" s="4"/>
      <c r="F735" s="4"/>
      <c r="G735" s="4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</row>
    <row r="736" spans="1:31" s="37" customFormat="1" x14ac:dyDescent="0.3">
      <c r="A736" s="5"/>
      <c r="B736" s="5"/>
      <c r="C736" s="4"/>
      <c r="D736" s="4"/>
      <c r="E736" s="4"/>
      <c r="F736" s="4"/>
      <c r="G736" s="4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</row>
    <row r="737" spans="1:31" s="37" customFormat="1" x14ac:dyDescent="0.3">
      <c r="A737" s="5"/>
      <c r="B737" s="5"/>
      <c r="C737" s="4"/>
      <c r="D737" s="4"/>
      <c r="E737" s="4"/>
      <c r="F737" s="4"/>
      <c r="G737" s="4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</row>
    <row r="738" spans="1:31" s="37" customFormat="1" x14ac:dyDescent="0.3">
      <c r="A738" s="5"/>
      <c r="B738" s="5"/>
      <c r="C738" s="4"/>
      <c r="D738" s="4"/>
      <c r="E738" s="4"/>
      <c r="F738" s="4"/>
      <c r="G738" s="4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</row>
    <row r="739" spans="1:31" s="37" customFormat="1" x14ac:dyDescent="0.3">
      <c r="A739" s="5"/>
      <c r="B739" s="5"/>
      <c r="C739" s="4"/>
      <c r="D739" s="4"/>
      <c r="E739" s="4"/>
      <c r="F739" s="4"/>
      <c r="G739" s="4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</row>
    <row r="740" spans="1:31" s="37" customFormat="1" x14ac:dyDescent="0.3">
      <c r="A740" s="5"/>
      <c r="B740" s="5"/>
      <c r="C740" s="4"/>
      <c r="D740" s="4"/>
      <c r="E740" s="4"/>
      <c r="F740" s="4"/>
      <c r="G740" s="4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</row>
    <row r="741" spans="1:31" s="37" customFormat="1" x14ac:dyDescent="0.3">
      <c r="A741" s="5"/>
      <c r="B741" s="5"/>
      <c r="C741" s="4"/>
      <c r="D741" s="4"/>
      <c r="E741" s="4"/>
      <c r="F741" s="4"/>
      <c r="G741" s="4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</row>
    <row r="742" spans="1:31" s="37" customFormat="1" x14ac:dyDescent="0.3">
      <c r="A742" s="5"/>
      <c r="B742" s="5"/>
      <c r="C742" s="4"/>
      <c r="D742" s="4"/>
      <c r="E742" s="4"/>
      <c r="F742" s="4"/>
      <c r="G742" s="4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</row>
    <row r="743" spans="1:31" s="37" customFormat="1" x14ac:dyDescent="0.3">
      <c r="A743" s="5"/>
      <c r="B743" s="5"/>
      <c r="C743" s="4"/>
      <c r="D743" s="4"/>
      <c r="E743" s="4"/>
      <c r="F743" s="4"/>
      <c r="G743" s="4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</row>
    <row r="744" spans="1:31" s="37" customFormat="1" x14ac:dyDescent="0.3">
      <c r="A744" s="5"/>
      <c r="B744" s="5"/>
      <c r="C744" s="4"/>
      <c r="D744" s="4"/>
      <c r="E744" s="4"/>
      <c r="F744" s="4"/>
      <c r="G744" s="4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</row>
    <row r="745" spans="1:31" s="37" customFormat="1" x14ac:dyDescent="0.3">
      <c r="A745" s="5"/>
      <c r="B745" s="5"/>
      <c r="C745" s="4"/>
      <c r="D745" s="4"/>
      <c r="E745" s="4"/>
      <c r="F745" s="4"/>
      <c r="G745" s="4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</row>
    <row r="746" spans="1:31" s="37" customFormat="1" x14ac:dyDescent="0.3">
      <c r="A746" s="5"/>
      <c r="B746" s="5"/>
      <c r="C746" s="4"/>
      <c r="D746" s="4"/>
      <c r="E746" s="4"/>
      <c r="F746" s="4"/>
      <c r="G746" s="4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</row>
    <row r="747" spans="1:31" s="37" customFormat="1" x14ac:dyDescent="0.3">
      <c r="A747" s="5"/>
      <c r="B747" s="5"/>
      <c r="C747" s="4"/>
      <c r="D747" s="4"/>
      <c r="E747" s="4"/>
      <c r="F747" s="4"/>
      <c r="G747" s="4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</row>
    <row r="748" spans="1:31" s="37" customFormat="1" x14ac:dyDescent="0.3">
      <c r="A748" s="5"/>
      <c r="B748" s="5"/>
      <c r="C748" s="4"/>
      <c r="D748" s="4"/>
      <c r="E748" s="4"/>
      <c r="F748" s="4"/>
      <c r="G748" s="4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</row>
    <row r="749" spans="1:31" s="37" customFormat="1" x14ac:dyDescent="0.3">
      <c r="A749" s="5"/>
      <c r="B749" s="5"/>
      <c r="C749" s="4"/>
      <c r="D749" s="4"/>
      <c r="E749" s="4"/>
      <c r="F749" s="4"/>
      <c r="G749" s="4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</row>
    <row r="750" spans="1:31" s="37" customFormat="1" x14ac:dyDescent="0.3">
      <c r="A750" s="5"/>
      <c r="B750" s="5"/>
      <c r="C750" s="4"/>
      <c r="D750" s="4"/>
      <c r="E750" s="4"/>
      <c r="F750" s="4"/>
      <c r="G750" s="4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</row>
    <row r="751" spans="1:31" s="37" customFormat="1" x14ac:dyDescent="0.3">
      <c r="A751" s="5"/>
      <c r="B751" s="5"/>
      <c r="C751" s="4"/>
      <c r="D751" s="4"/>
      <c r="E751" s="4"/>
      <c r="F751" s="4"/>
      <c r="G751" s="4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</row>
    <row r="752" spans="1:31" s="37" customFormat="1" x14ac:dyDescent="0.3">
      <c r="A752" s="5"/>
      <c r="B752" s="5"/>
      <c r="C752" s="4"/>
      <c r="D752" s="4"/>
      <c r="E752" s="4"/>
      <c r="F752" s="4"/>
      <c r="G752" s="4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</row>
    <row r="753" spans="1:31" s="37" customFormat="1" x14ac:dyDescent="0.3">
      <c r="A753" s="5"/>
      <c r="B753" s="5"/>
      <c r="C753" s="4"/>
      <c r="D753" s="4"/>
      <c r="E753" s="4"/>
      <c r="F753" s="4"/>
      <c r="G753" s="4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</row>
    <row r="754" spans="1:31" s="37" customFormat="1" x14ac:dyDescent="0.3">
      <c r="A754" s="5"/>
      <c r="B754" s="5"/>
      <c r="C754" s="4"/>
      <c r="D754" s="4"/>
      <c r="E754" s="4"/>
      <c r="F754" s="4"/>
      <c r="G754" s="4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</row>
    <row r="755" spans="1:31" s="37" customFormat="1" x14ac:dyDescent="0.3">
      <c r="A755" s="5"/>
      <c r="B755" s="5"/>
      <c r="C755" s="4"/>
      <c r="D755" s="4"/>
      <c r="E755" s="4"/>
      <c r="F755" s="4"/>
      <c r="G755" s="4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</row>
    <row r="756" spans="1:31" s="37" customFormat="1" x14ac:dyDescent="0.3">
      <c r="A756" s="5"/>
      <c r="B756" s="5"/>
      <c r="C756" s="4"/>
      <c r="D756" s="4"/>
      <c r="E756" s="4"/>
      <c r="F756" s="4"/>
      <c r="G756" s="4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</row>
    <row r="757" spans="1:31" s="37" customFormat="1" x14ac:dyDescent="0.3">
      <c r="A757" s="5"/>
      <c r="B757" s="5"/>
      <c r="C757" s="4"/>
      <c r="D757" s="4"/>
      <c r="E757" s="4"/>
      <c r="F757" s="4"/>
      <c r="G757" s="4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</row>
    <row r="758" spans="1:31" s="37" customFormat="1" x14ac:dyDescent="0.3">
      <c r="A758" s="5"/>
      <c r="B758" s="5"/>
      <c r="C758" s="4"/>
      <c r="D758" s="4"/>
      <c r="E758" s="4"/>
      <c r="F758" s="4"/>
      <c r="G758" s="4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</row>
    <row r="759" spans="1:31" s="37" customFormat="1" x14ac:dyDescent="0.3">
      <c r="A759" s="5"/>
      <c r="B759" s="5"/>
      <c r="C759" s="4"/>
      <c r="D759" s="4"/>
      <c r="E759" s="4"/>
      <c r="F759" s="4"/>
      <c r="G759" s="4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</row>
    <row r="760" spans="1:31" s="37" customFormat="1" x14ac:dyDescent="0.3">
      <c r="A760" s="5"/>
      <c r="B760" s="5"/>
      <c r="C760" s="4"/>
      <c r="D760" s="4"/>
      <c r="E760" s="4"/>
      <c r="F760" s="4"/>
      <c r="G760" s="4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</row>
    <row r="761" spans="1:31" s="37" customFormat="1" x14ac:dyDescent="0.3">
      <c r="A761" s="5"/>
      <c r="B761" s="5"/>
      <c r="C761" s="4"/>
      <c r="D761" s="4"/>
      <c r="E761" s="4"/>
      <c r="F761" s="4"/>
      <c r="G761" s="4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</row>
    <row r="762" spans="1:31" s="37" customFormat="1" x14ac:dyDescent="0.3">
      <c r="A762" s="5"/>
      <c r="B762" s="5"/>
      <c r="C762" s="4"/>
      <c r="D762" s="4"/>
      <c r="E762" s="4"/>
      <c r="F762" s="4"/>
      <c r="G762" s="4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</row>
    <row r="763" spans="1:31" s="37" customFormat="1" x14ac:dyDescent="0.3">
      <c r="A763" s="5"/>
      <c r="B763" s="5"/>
      <c r="C763" s="4"/>
      <c r="D763" s="4"/>
      <c r="E763" s="4"/>
      <c r="F763" s="4"/>
      <c r="G763" s="4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</row>
    <row r="764" spans="1:31" s="37" customFormat="1" x14ac:dyDescent="0.3">
      <c r="A764" s="5"/>
      <c r="B764" s="5"/>
      <c r="C764" s="4"/>
      <c r="D764" s="4"/>
      <c r="E764" s="4"/>
      <c r="F764" s="4"/>
      <c r="G764" s="4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</row>
    <row r="765" spans="1:31" s="37" customFormat="1" x14ac:dyDescent="0.3">
      <c r="A765" s="5"/>
      <c r="B765" s="5"/>
      <c r="C765" s="4"/>
      <c r="D765" s="4"/>
      <c r="E765" s="4"/>
      <c r="F765" s="4"/>
      <c r="G765" s="4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</row>
    <row r="766" spans="1:31" s="37" customFormat="1" x14ac:dyDescent="0.3">
      <c r="A766" s="5"/>
      <c r="B766" s="5"/>
      <c r="C766" s="4"/>
      <c r="D766" s="4"/>
      <c r="E766" s="4"/>
      <c r="F766" s="4"/>
      <c r="G766" s="4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</row>
    <row r="767" spans="1:31" s="37" customFormat="1" x14ac:dyDescent="0.3">
      <c r="A767" s="5"/>
      <c r="B767" s="5"/>
      <c r="C767" s="4"/>
      <c r="D767" s="4"/>
      <c r="E767" s="4"/>
      <c r="F767" s="4"/>
      <c r="G767" s="4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</row>
    <row r="768" spans="1:31" s="37" customFormat="1" x14ac:dyDescent="0.3">
      <c r="A768" s="5"/>
      <c r="B768" s="5"/>
      <c r="C768" s="4"/>
      <c r="D768" s="4"/>
      <c r="E768" s="4"/>
      <c r="F768" s="4"/>
      <c r="G768" s="4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</row>
    <row r="769" spans="1:31" s="37" customFormat="1" x14ac:dyDescent="0.3">
      <c r="A769" s="5"/>
      <c r="B769" s="5"/>
      <c r="C769" s="4"/>
      <c r="D769" s="4"/>
      <c r="E769" s="4"/>
      <c r="F769" s="4"/>
      <c r="G769" s="4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</row>
    <row r="770" spans="1:31" s="37" customFormat="1" x14ac:dyDescent="0.3">
      <c r="A770" s="5"/>
      <c r="B770" s="5"/>
      <c r="C770" s="4"/>
      <c r="D770" s="4"/>
      <c r="E770" s="4"/>
      <c r="F770" s="4"/>
      <c r="G770" s="4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</row>
    <row r="771" spans="1:31" s="37" customFormat="1" x14ac:dyDescent="0.3">
      <c r="A771" s="5"/>
      <c r="B771" s="5"/>
      <c r="C771" s="4"/>
      <c r="D771" s="4"/>
      <c r="E771" s="4"/>
      <c r="F771" s="4"/>
      <c r="G771" s="4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</row>
    <row r="772" spans="1:31" s="37" customFormat="1" x14ac:dyDescent="0.3">
      <c r="A772" s="5"/>
      <c r="B772" s="5"/>
      <c r="C772" s="4"/>
      <c r="D772" s="4"/>
      <c r="E772" s="4"/>
      <c r="F772" s="4"/>
      <c r="G772" s="4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</row>
    <row r="773" spans="1:31" s="37" customFormat="1" x14ac:dyDescent="0.3">
      <c r="A773" s="5"/>
      <c r="B773" s="5"/>
      <c r="C773" s="4"/>
      <c r="D773" s="4"/>
      <c r="E773" s="4"/>
      <c r="F773" s="4"/>
      <c r="G773" s="4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</row>
    <row r="774" spans="1:31" s="37" customFormat="1" x14ac:dyDescent="0.3">
      <c r="A774" s="5"/>
      <c r="B774" s="5"/>
      <c r="C774" s="4"/>
      <c r="D774" s="4"/>
      <c r="E774" s="4"/>
      <c r="F774" s="4"/>
      <c r="G774" s="4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</row>
    <row r="775" spans="1:31" s="37" customFormat="1" x14ac:dyDescent="0.3">
      <c r="A775" s="5"/>
      <c r="B775" s="5"/>
      <c r="C775" s="4"/>
      <c r="D775" s="4"/>
      <c r="E775" s="4"/>
      <c r="F775" s="4"/>
      <c r="G775" s="4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</row>
    <row r="776" spans="1:31" s="37" customFormat="1" x14ac:dyDescent="0.3">
      <c r="A776" s="5"/>
      <c r="B776" s="5"/>
      <c r="C776" s="4"/>
      <c r="D776" s="4"/>
      <c r="E776" s="4"/>
      <c r="F776" s="4"/>
      <c r="G776" s="4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</row>
    <row r="777" spans="1:31" s="37" customFormat="1" x14ac:dyDescent="0.3">
      <c r="A777" s="5"/>
      <c r="B777" s="5"/>
      <c r="C777" s="4"/>
      <c r="D777" s="4"/>
      <c r="E777" s="4"/>
      <c r="F777" s="4"/>
      <c r="G777" s="4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</row>
    <row r="778" spans="1:31" s="37" customFormat="1" x14ac:dyDescent="0.3">
      <c r="A778" s="5"/>
      <c r="B778" s="5"/>
      <c r="C778" s="4"/>
      <c r="D778" s="4"/>
      <c r="E778" s="4"/>
      <c r="F778" s="4"/>
      <c r="G778" s="4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</row>
    <row r="779" spans="1:31" s="37" customFormat="1" x14ac:dyDescent="0.3">
      <c r="A779" s="5"/>
      <c r="B779" s="5"/>
      <c r="C779" s="4"/>
      <c r="D779" s="4"/>
      <c r="E779" s="4"/>
      <c r="F779" s="4"/>
      <c r="G779" s="4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</row>
    <row r="780" spans="1:31" s="37" customFormat="1" x14ac:dyDescent="0.3">
      <c r="A780" s="5"/>
      <c r="B780" s="5"/>
      <c r="C780" s="4"/>
      <c r="D780" s="4"/>
      <c r="E780" s="4"/>
      <c r="F780" s="4"/>
      <c r="G780" s="4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</row>
    <row r="781" spans="1:31" s="37" customFormat="1" x14ac:dyDescent="0.3">
      <c r="A781" s="5"/>
      <c r="B781" s="5"/>
      <c r="C781" s="4"/>
      <c r="D781" s="4"/>
      <c r="E781" s="4"/>
      <c r="F781" s="4"/>
      <c r="G781" s="4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</row>
    <row r="782" spans="1:31" s="37" customFormat="1" x14ac:dyDescent="0.3">
      <c r="A782" s="5"/>
      <c r="B782" s="5"/>
      <c r="C782" s="4"/>
      <c r="D782" s="4"/>
      <c r="E782" s="4"/>
      <c r="F782" s="4"/>
      <c r="G782" s="4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</row>
    <row r="783" spans="1:31" s="37" customFormat="1" x14ac:dyDescent="0.3">
      <c r="A783" s="5"/>
      <c r="B783" s="5"/>
      <c r="C783" s="4"/>
      <c r="D783" s="4"/>
      <c r="E783" s="4"/>
      <c r="F783" s="4"/>
      <c r="G783" s="4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</row>
    <row r="784" spans="1:31" s="37" customFormat="1" x14ac:dyDescent="0.3">
      <c r="A784" s="5"/>
      <c r="B784" s="5"/>
      <c r="C784" s="4"/>
      <c r="D784" s="4"/>
      <c r="E784" s="4"/>
      <c r="F784" s="4"/>
      <c r="G784" s="4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</row>
    <row r="785" spans="1:31" s="37" customFormat="1" x14ac:dyDescent="0.3">
      <c r="A785" s="5"/>
      <c r="B785" s="5"/>
      <c r="C785" s="4"/>
      <c r="D785" s="4"/>
      <c r="E785" s="4"/>
      <c r="F785" s="4"/>
      <c r="G785" s="4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</row>
    <row r="786" spans="1:31" s="37" customFormat="1" x14ac:dyDescent="0.3">
      <c r="A786" s="5"/>
      <c r="B786" s="5"/>
      <c r="C786" s="4"/>
      <c r="D786" s="4"/>
      <c r="E786" s="4"/>
      <c r="F786" s="4"/>
      <c r="G786" s="4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</row>
    <row r="787" spans="1:31" s="37" customFormat="1" x14ac:dyDescent="0.3">
      <c r="A787" s="5"/>
      <c r="B787" s="5"/>
      <c r="C787" s="4"/>
      <c r="D787" s="4"/>
      <c r="E787" s="4"/>
      <c r="F787" s="4"/>
      <c r="G787" s="4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</row>
    <row r="788" spans="1:31" s="37" customFormat="1" x14ac:dyDescent="0.3">
      <c r="A788" s="5"/>
      <c r="B788" s="5"/>
      <c r="C788" s="4"/>
      <c r="D788" s="4"/>
      <c r="E788" s="4"/>
      <c r="F788" s="4"/>
      <c r="G788" s="4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</row>
    <row r="789" spans="1:31" s="37" customFormat="1" x14ac:dyDescent="0.3">
      <c r="A789" s="5"/>
      <c r="B789" s="5"/>
      <c r="C789" s="4"/>
      <c r="D789" s="4"/>
      <c r="E789" s="4"/>
      <c r="F789" s="4"/>
      <c r="G789" s="4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</row>
    <row r="790" spans="1:31" s="37" customFormat="1" x14ac:dyDescent="0.3">
      <c r="A790" s="5"/>
      <c r="B790" s="5"/>
      <c r="C790" s="4"/>
      <c r="D790" s="4"/>
      <c r="E790" s="4"/>
      <c r="F790" s="4"/>
      <c r="G790" s="4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</row>
    <row r="791" spans="1:31" s="37" customFormat="1" x14ac:dyDescent="0.3">
      <c r="A791" s="5"/>
      <c r="B791" s="5"/>
      <c r="C791" s="4"/>
      <c r="D791" s="4"/>
      <c r="E791" s="4"/>
      <c r="F791" s="4"/>
      <c r="G791" s="4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</row>
    <row r="792" spans="1:31" s="37" customFormat="1" x14ac:dyDescent="0.3">
      <c r="A792" s="5"/>
      <c r="B792" s="5"/>
      <c r="C792" s="4"/>
      <c r="D792" s="4"/>
      <c r="E792" s="4"/>
      <c r="F792" s="4"/>
      <c r="G792" s="4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</row>
    <row r="793" spans="1:31" s="37" customFormat="1" x14ac:dyDescent="0.3">
      <c r="A793" s="5"/>
      <c r="B793" s="5"/>
      <c r="C793" s="4"/>
      <c r="D793" s="4"/>
      <c r="E793" s="4"/>
      <c r="F793" s="4"/>
      <c r="G793" s="4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</row>
    <row r="794" spans="1:31" s="37" customFormat="1" x14ac:dyDescent="0.3">
      <c r="A794" s="5"/>
      <c r="B794" s="5"/>
      <c r="C794" s="4"/>
      <c r="D794" s="4"/>
      <c r="E794" s="4"/>
      <c r="F794" s="4"/>
      <c r="G794" s="4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</row>
    <row r="795" spans="1:31" s="37" customFormat="1" x14ac:dyDescent="0.3">
      <c r="A795" s="5"/>
      <c r="B795" s="5"/>
      <c r="C795" s="4"/>
      <c r="D795" s="4"/>
      <c r="E795" s="4"/>
      <c r="F795" s="4"/>
      <c r="G795" s="4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</row>
    <row r="796" spans="1:31" s="37" customFormat="1" x14ac:dyDescent="0.3">
      <c r="A796" s="5"/>
      <c r="B796" s="5"/>
      <c r="C796" s="4"/>
      <c r="D796" s="4"/>
      <c r="E796" s="4"/>
      <c r="F796" s="4"/>
      <c r="G796" s="4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</row>
    <row r="797" spans="1:31" s="37" customFormat="1" x14ac:dyDescent="0.3">
      <c r="A797" s="5"/>
      <c r="B797" s="5"/>
      <c r="C797" s="4"/>
      <c r="D797" s="4"/>
      <c r="E797" s="4"/>
      <c r="F797" s="4"/>
      <c r="G797" s="4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</row>
    <row r="798" spans="1:31" s="37" customFormat="1" x14ac:dyDescent="0.3">
      <c r="A798" s="5"/>
      <c r="B798" s="5"/>
      <c r="C798" s="4"/>
      <c r="D798" s="4"/>
      <c r="E798" s="4"/>
      <c r="F798" s="4"/>
      <c r="G798" s="4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</row>
    <row r="799" spans="1:31" s="37" customFormat="1" x14ac:dyDescent="0.3">
      <c r="A799" s="5"/>
      <c r="B799" s="5"/>
      <c r="C799" s="4"/>
      <c r="D799" s="4"/>
      <c r="E799" s="4"/>
      <c r="F799" s="4"/>
      <c r="G799" s="4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</row>
    <row r="800" spans="1:31" s="37" customFormat="1" x14ac:dyDescent="0.3">
      <c r="A800" s="5"/>
      <c r="B800" s="5"/>
      <c r="C800" s="4"/>
      <c r="D800" s="4"/>
      <c r="E800" s="4"/>
      <c r="F800" s="4"/>
      <c r="G800" s="4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</row>
    <row r="801" spans="1:31" s="37" customFormat="1" x14ac:dyDescent="0.3">
      <c r="A801" s="5"/>
      <c r="B801" s="5"/>
      <c r="C801" s="4"/>
      <c r="D801" s="4"/>
      <c r="E801" s="4"/>
      <c r="F801" s="4"/>
      <c r="G801" s="4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</row>
    <row r="802" spans="1:31" s="37" customFormat="1" x14ac:dyDescent="0.3">
      <c r="A802" s="5"/>
      <c r="B802" s="5"/>
      <c r="C802" s="4"/>
      <c r="D802" s="4"/>
      <c r="E802" s="4"/>
      <c r="F802" s="4"/>
      <c r="G802" s="4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</row>
    <row r="803" spans="1:31" s="37" customFormat="1" x14ac:dyDescent="0.3">
      <c r="A803" s="5"/>
      <c r="B803" s="5"/>
      <c r="C803" s="4"/>
      <c r="D803" s="4"/>
      <c r="E803" s="4"/>
      <c r="F803" s="4"/>
      <c r="G803" s="4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</row>
    <row r="804" spans="1:31" s="37" customFormat="1" x14ac:dyDescent="0.3">
      <c r="A804" s="5"/>
      <c r="B804" s="5"/>
      <c r="C804" s="4"/>
      <c r="D804" s="4"/>
      <c r="E804" s="4"/>
      <c r="F804" s="4"/>
      <c r="G804" s="4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</row>
    <row r="805" spans="1:31" s="37" customFormat="1" x14ac:dyDescent="0.3">
      <c r="A805" s="5"/>
      <c r="B805" s="5"/>
      <c r="C805" s="4"/>
      <c r="D805" s="4"/>
      <c r="E805" s="4"/>
      <c r="F805" s="4"/>
      <c r="G805" s="4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</row>
    <row r="806" spans="1:31" s="37" customFormat="1" x14ac:dyDescent="0.3">
      <c r="A806" s="5"/>
      <c r="B806" s="5"/>
      <c r="C806" s="4"/>
      <c r="D806" s="4"/>
      <c r="E806" s="4"/>
      <c r="F806" s="4"/>
      <c r="G806" s="4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</row>
    <row r="807" spans="1:31" s="37" customFormat="1" x14ac:dyDescent="0.3">
      <c r="A807" s="5"/>
      <c r="B807" s="5"/>
      <c r="C807" s="4"/>
      <c r="D807" s="4"/>
      <c r="E807" s="4"/>
      <c r="F807" s="4"/>
      <c r="G807" s="4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</row>
    <row r="808" spans="1:31" s="37" customFormat="1" x14ac:dyDescent="0.3">
      <c r="A808" s="5"/>
      <c r="B808" s="5"/>
      <c r="C808" s="4"/>
      <c r="D808" s="4"/>
      <c r="E808" s="4"/>
      <c r="F808" s="4"/>
      <c r="G808" s="4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</row>
    <row r="809" spans="1:31" s="37" customFormat="1" x14ac:dyDescent="0.3">
      <c r="A809" s="5"/>
      <c r="B809" s="5"/>
      <c r="C809" s="4"/>
      <c r="D809" s="4"/>
      <c r="E809" s="4"/>
      <c r="F809" s="4"/>
      <c r="G809" s="4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</row>
    <row r="810" spans="1:31" s="37" customFormat="1" x14ac:dyDescent="0.3">
      <c r="A810" s="5"/>
      <c r="B810" s="5"/>
      <c r="C810" s="4"/>
      <c r="D810" s="4"/>
      <c r="E810" s="4"/>
      <c r="F810" s="4"/>
      <c r="G810" s="4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</row>
    <row r="811" spans="1:31" s="37" customFormat="1" x14ac:dyDescent="0.3">
      <c r="A811" s="5"/>
      <c r="B811" s="5"/>
      <c r="C811" s="4"/>
      <c r="D811" s="4"/>
      <c r="E811" s="4"/>
      <c r="F811" s="4"/>
      <c r="G811" s="4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</row>
    <row r="812" spans="1:31" s="37" customFormat="1" x14ac:dyDescent="0.3">
      <c r="A812" s="5"/>
      <c r="B812" s="5"/>
      <c r="C812" s="4"/>
      <c r="D812" s="4"/>
      <c r="E812" s="4"/>
      <c r="F812" s="4"/>
      <c r="G812" s="4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</row>
    <row r="813" spans="1:31" s="37" customFormat="1" x14ac:dyDescent="0.3">
      <c r="A813" s="5"/>
      <c r="B813" s="5"/>
      <c r="C813" s="4"/>
      <c r="D813" s="4"/>
      <c r="E813" s="4"/>
      <c r="F813" s="4"/>
      <c r="G813" s="4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</row>
    <row r="814" spans="1:31" s="37" customFormat="1" x14ac:dyDescent="0.3">
      <c r="A814" s="5"/>
      <c r="B814" s="5"/>
      <c r="C814" s="4"/>
      <c r="D814" s="4"/>
      <c r="E814" s="4"/>
      <c r="F814" s="4"/>
      <c r="G814" s="4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</row>
    <row r="815" spans="1:31" s="37" customFormat="1" x14ac:dyDescent="0.3">
      <c r="A815" s="5"/>
      <c r="B815" s="5"/>
      <c r="C815" s="4"/>
      <c r="D815" s="4"/>
      <c r="E815" s="4"/>
      <c r="F815" s="4"/>
      <c r="G815" s="4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</row>
    <row r="816" spans="1:31" s="37" customFormat="1" x14ac:dyDescent="0.3">
      <c r="A816" s="5"/>
      <c r="B816" s="5"/>
      <c r="C816" s="4"/>
      <c r="D816" s="4"/>
      <c r="E816" s="4"/>
      <c r="F816" s="4"/>
      <c r="G816" s="4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</row>
    <row r="817" spans="1:31" s="37" customFormat="1" x14ac:dyDescent="0.3">
      <c r="A817" s="5"/>
      <c r="B817" s="5"/>
      <c r="C817" s="4"/>
      <c r="D817" s="4"/>
      <c r="E817" s="4"/>
      <c r="F817" s="4"/>
      <c r="G817" s="4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</row>
    <row r="818" spans="1:31" s="37" customFormat="1" x14ac:dyDescent="0.3">
      <c r="A818" s="5"/>
      <c r="B818" s="5"/>
      <c r="C818" s="4"/>
      <c r="D818" s="4"/>
      <c r="E818" s="4"/>
      <c r="F818" s="4"/>
      <c r="G818" s="4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</row>
    <row r="819" spans="1:31" s="37" customFormat="1" x14ac:dyDescent="0.3">
      <c r="A819" s="5"/>
      <c r="B819" s="5"/>
      <c r="C819" s="4"/>
      <c r="D819" s="4"/>
      <c r="E819" s="4"/>
      <c r="F819" s="4"/>
      <c r="G819" s="4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</row>
    <row r="820" spans="1:31" s="37" customFormat="1" x14ac:dyDescent="0.3">
      <c r="A820" s="5"/>
      <c r="B820" s="5"/>
      <c r="C820" s="4"/>
      <c r="D820" s="4"/>
      <c r="E820" s="4"/>
      <c r="F820" s="4"/>
      <c r="G820" s="4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</row>
    <row r="821" spans="1:31" s="37" customFormat="1" x14ac:dyDescent="0.3">
      <c r="A821" s="5"/>
      <c r="B821" s="5"/>
      <c r="C821" s="4"/>
      <c r="D821" s="4"/>
      <c r="E821" s="4"/>
      <c r="F821" s="4"/>
      <c r="G821" s="4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</row>
    <row r="822" spans="1:31" s="37" customFormat="1" x14ac:dyDescent="0.3">
      <c r="A822" s="5"/>
      <c r="B822" s="5"/>
      <c r="C822" s="4"/>
      <c r="D822" s="4"/>
      <c r="E822" s="4"/>
      <c r="F822" s="4"/>
      <c r="G822" s="4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</row>
    <row r="823" spans="1:31" s="37" customFormat="1" x14ac:dyDescent="0.3">
      <c r="A823" s="5"/>
      <c r="B823" s="5"/>
      <c r="C823" s="4"/>
      <c r="D823" s="4"/>
      <c r="E823" s="4"/>
      <c r="F823" s="4"/>
      <c r="G823" s="4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</row>
    <row r="824" spans="1:31" s="37" customFormat="1" x14ac:dyDescent="0.3">
      <c r="A824" s="5"/>
      <c r="B824" s="5"/>
      <c r="C824" s="4"/>
      <c r="D824" s="4"/>
      <c r="E824" s="4"/>
      <c r="F824" s="4"/>
      <c r="G824" s="4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</row>
    <row r="825" spans="1:31" s="37" customFormat="1" x14ac:dyDescent="0.3">
      <c r="A825" s="5"/>
      <c r="B825" s="5"/>
      <c r="C825" s="4"/>
      <c r="D825" s="4"/>
      <c r="E825" s="4"/>
      <c r="F825" s="4"/>
      <c r="G825" s="4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</row>
    <row r="826" spans="1:31" s="37" customFormat="1" x14ac:dyDescent="0.3">
      <c r="A826" s="5"/>
      <c r="B826" s="5"/>
      <c r="C826" s="4"/>
      <c r="D826" s="4"/>
      <c r="E826" s="4"/>
      <c r="F826" s="4"/>
      <c r="G826" s="4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</row>
    <row r="827" spans="1:31" s="37" customFormat="1" x14ac:dyDescent="0.3">
      <c r="A827" s="5"/>
      <c r="B827" s="5"/>
      <c r="C827" s="4"/>
      <c r="D827" s="4"/>
      <c r="E827" s="4"/>
      <c r="F827" s="4"/>
      <c r="G827" s="4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</row>
    <row r="828" spans="1:31" s="37" customFormat="1" x14ac:dyDescent="0.3">
      <c r="A828" s="5"/>
      <c r="B828" s="5"/>
      <c r="C828" s="4"/>
      <c r="D828" s="4"/>
      <c r="E828" s="4"/>
      <c r="F828" s="4"/>
      <c r="G828" s="4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</row>
    <row r="829" spans="1:31" s="37" customFormat="1" x14ac:dyDescent="0.3">
      <c r="A829" s="5"/>
      <c r="B829" s="5"/>
      <c r="C829" s="4"/>
      <c r="D829" s="4"/>
      <c r="E829" s="4"/>
      <c r="F829" s="4"/>
      <c r="G829" s="4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</row>
    <row r="830" spans="1:31" s="37" customFormat="1" x14ac:dyDescent="0.3">
      <c r="A830" s="5"/>
      <c r="B830" s="5"/>
      <c r="C830" s="4"/>
      <c r="D830" s="4"/>
      <c r="E830" s="4"/>
      <c r="F830" s="4"/>
      <c r="G830" s="4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</row>
    <row r="831" spans="1:31" s="37" customFormat="1" x14ac:dyDescent="0.3">
      <c r="A831" s="5"/>
      <c r="B831" s="5"/>
      <c r="C831" s="4"/>
      <c r="D831" s="4"/>
      <c r="E831" s="4"/>
      <c r="F831" s="4"/>
      <c r="G831" s="4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</row>
    <row r="832" spans="1:31" s="37" customFormat="1" x14ac:dyDescent="0.3">
      <c r="A832" s="5"/>
      <c r="B832" s="5"/>
      <c r="C832" s="4"/>
      <c r="D832" s="4"/>
      <c r="E832" s="4"/>
      <c r="F832" s="4"/>
      <c r="G832" s="4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</row>
    <row r="833" spans="1:31" s="37" customFormat="1" x14ac:dyDescent="0.3">
      <c r="A833" s="5"/>
      <c r="B833" s="5"/>
      <c r="C833" s="4"/>
      <c r="D833" s="4"/>
      <c r="E833" s="4"/>
      <c r="F833" s="4"/>
      <c r="G833" s="4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</row>
    <row r="834" spans="1:31" s="37" customFormat="1" x14ac:dyDescent="0.3">
      <c r="A834" s="5"/>
      <c r="B834" s="5"/>
      <c r="C834" s="4"/>
      <c r="D834" s="4"/>
      <c r="E834" s="4"/>
      <c r="F834" s="4"/>
      <c r="G834" s="4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</row>
    <row r="835" spans="1:31" s="37" customFormat="1" x14ac:dyDescent="0.3">
      <c r="A835" s="5"/>
      <c r="B835" s="5"/>
      <c r="C835" s="4"/>
      <c r="D835" s="4"/>
      <c r="E835" s="4"/>
      <c r="F835" s="4"/>
      <c r="G835" s="4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</row>
    <row r="836" spans="1:31" s="37" customFormat="1" x14ac:dyDescent="0.3">
      <c r="A836" s="5"/>
      <c r="B836" s="5"/>
      <c r="C836" s="4"/>
      <c r="D836" s="4"/>
      <c r="E836" s="4"/>
      <c r="F836" s="4"/>
      <c r="G836" s="4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</row>
    <row r="837" spans="1:31" s="37" customFormat="1" x14ac:dyDescent="0.3">
      <c r="A837" s="5"/>
      <c r="B837" s="5"/>
      <c r="C837" s="4"/>
      <c r="D837" s="4"/>
      <c r="E837" s="4"/>
      <c r="F837" s="4"/>
      <c r="G837" s="4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</row>
    <row r="838" spans="1:31" s="37" customFormat="1" x14ac:dyDescent="0.3">
      <c r="A838" s="5"/>
      <c r="B838" s="5"/>
      <c r="C838" s="4"/>
      <c r="D838" s="4"/>
      <c r="E838" s="4"/>
      <c r="F838" s="4"/>
      <c r="G838" s="4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</row>
    <row r="839" spans="1:31" s="37" customFormat="1" x14ac:dyDescent="0.3">
      <c r="A839" s="5"/>
      <c r="B839" s="5"/>
      <c r="C839" s="4"/>
      <c r="D839" s="4"/>
      <c r="E839" s="4"/>
      <c r="F839" s="4"/>
      <c r="G839" s="4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</row>
    <row r="840" spans="1:31" s="37" customFormat="1" x14ac:dyDescent="0.3">
      <c r="A840" s="5"/>
      <c r="B840" s="5"/>
      <c r="C840" s="4"/>
      <c r="D840" s="4"/>
      <c r="E840" s="4"/>
      <c r="F840" s="4"/>
      <c r="G840" s="4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</row>
    <row r="841" spans="1:31" s="37" customFormat="1" x14ac:dyDescent="0.3">
      <c r="A841" s="5"/>
      <c r="B841" s="5"/>
      <c r="C841" s="4"/>
      <c r="D841" s="4"/>
      <c r="E841" s="4"/>
      <c r="F841" s="4"/>
      <c r="G841" s="4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</row>
    <row r="842" spans="1:31" s="37" customFormat="1" x14ac:dyDescent="0.3">
      <c r="A842" s="5"/>
      <c r="B842" s="5"/>
      <c r="C842" s="4"/>
      <c r="D842" s="4"/>
      <c r="E842" s="4"/>
      <c r="F842" s="4"/>
      <c r="G842" s="4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</row>
    <row r="843" spans="1:31" s="37" customFormat="1" x14ac:dyDescent="0.3">
      <c r="A843" s="5"/>
      <c r="B843" s="5"/>
      <c r="C843" s="4"/>
      <c r="D843" s="4"/>
      <c r="E843" s="4"/>
      <c r="F843" s="4"/>
      <c r="G843" s="4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</row>
    <row r="844" spans="1:31" s="37" customFormat="1" x14ac:dyDescent="0.3">
      <c r="A844" s="5"/>
      <c r="B844" s="5"/>
      <c r="C844" s="4"/>
      <c r="D844" s="4"/>
      <c r="E844" s="4"/>
      <c r="F844" s="4"/>
      <c r="G844" s="4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</row>
    <row r="845" spans="1:31" s="37" customFormat="1" x14ac:dyDescent="0.3">
      <c r="A845" s="5"/>
      <c r="B845" s="5"/>
      <c r="C845" s="4"/>
      <c r="D845" s="4"/>
      <c r="E845" s="4"/>
      <c r="F845" s="4"/>
      <c r="G845" s="4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</row>
    <row r="846" spans="1:31" s="37" customFormat="1" x14ac:dyDescent="0.3">
      <c r="A846" s="5"/>
      <c r="B846" s="5"/>
      <c r="C846" s="4"/>
      <c r="D846" s="4"/>
      <c r="E846" s="4"/>
      <c r="F846" s="4"/>
      <c r="G846" s="4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</row>
    <row r="847" spans="1:31" s="37" customFormat="1" x14ac:dyDescent="0.3">
      <c r="A847" s="5"/>
      <c r="B847" s="5"/>
      <c r="C847" s="4"/>
      <c r="D847" s="4"/>
      <c r="E847" s="4"/>
      <c r="F847" s="4"/>
      <c r="G847" s="4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</row>
    <row r="848" spans="1:31" s="37" customFormat="1" x14ac:dyDescent="0.3">
      <c r="A848" s="5"/>
      <c r="B848" s="5"/>
      <c r="C848" s="4"/>
      <c r="D848" s="4"/>
      <c r="E848" s="4"/>
      <c r="F848" s="4"/>
      <c r="G848" s="4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</row>
    <row r="849" spans="1:33" s="37" customFormat="1" x14ac:dyDescent="0.3">
      <c r="A849" s="5"/>
      <c r="B849" s="5"/>
      <c r="C849" s="4"/>
      <c r="D849" s="4"/>
      <c r="E849" s="4"/>
      <c r="F849" s="4"/>
      <c r="G849" s="4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</row>
    <row r="850" spans="1:33" s="37" customFormat="1" x14ac:dyDescent="0.3">
      <c r="A850" s="5"/>
      <c r="B850" s="5"/>
      <c r="C850" s="4"/>
      <c r="D850" s="4"/>
      <c r="E850" s="4"/>
      <c r="F850" s="4"/>
      <c r="G850" s="4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</row>
    <row r="851" spans="1:33" s="37" customFormat="1" x14ac:dyDescent="0.3">
      <c r="A851" s="5"/>
      <c r="B851" s="5"/>
      <c r="C851" s="4"/>
      <c r="D851" s="4"/>
      <c r="E851" s="4"/>
      <c r="F851" s="4"/>
      <c r="G851" s="4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</row>
    <row r="852" spans="1:33" s="37" customFormat="1" x14ac:dyDescent="0.3">
      <c r="A852" s="5"/>
      <c r="B852" s="5"/>
      <c r="C852" s="4"/>
      <c r="D852" s="4"/>
      <c r="E852" s="4"/>
      <c r="F852" s="4"/>
      <c r="G852" s="4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</row>
    <row r="853" spans="1:33" s="37" customFormat="1" x14ac:dyDescent="0.3">
      <c r="A853" s="5"/>
      <c r="B853" s="5"/>
      <c r="C853" s="4"/>
      <c r="D853" s="4"/>
      <c r="E853" s="4"/>
      <c r="F853" s="4"/>
      <c r="G853" s="4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</row>
    <row r="854" spans="1:33" s="37" customFormat="1" x14ac:dyDescent="0.3">
      <c r="A854" s="5"/>
      <c r="B854" s="5"/>
      <c r="C854" s="4"/>
      <c r="D854" s="4"/>
      <c r="E854" s="4"/>
      <c r="F854" s="4"/>
      <c r="G854" s="4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</row>
    <row r="855" spans="1:33" s="37" customFormat="1" x14ac:dyDescent="0.3">
      <c r="A855" s="5"/>
      <c r="B855" s="5"/>
      <c r="C855" s="4"/>
      <c r="D855" s="4"/>
      <c r="E855" s="4"/>
      <c r="F855" s="4"/>
      <c r="G855" s="4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</row>
    <row r="856" spans="1:33" s="37" customFormat="1" x14ac:dyDescent="0.3">
      <c r="A856" s="5"/>
      <c r="B856" s="5"/>
      <c r="C856" s="4"/>
      <c r="D856" s="4"/>
      <c r="E856" s="4"/>
      <c r="F856" s="4"/>
      <c r="G856" s="4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</row>
    <row r="857" spans="1:33" s="37" customFormat="1" x14ac:dyDescent="0.3">
      <c r="A857" s="5"/>
      <c r="B857" s="5"/>
      <c r="C857" s="4"/>
      <c r="D857" s="4"/>
      <c r="E857" s="4"/>
      <c r="F857" s="4"/>
      <c r="G857" s="4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</row>
    <row r="858" spans="1:33" s="37" customFormat="1" x14ac:dyDescent="0.3">
      <c r="A858" s="5"/>
      <c r="B858" s="5"/>
      <c r="C858" s="4"/>
      <c r="D858" s="4"/>
      <c r="E858" s="4"/>
      <c r="F858" s="4"/>
      <c r="G858" s="4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</row>
    <row r="859" spans="1:33" s="37" customFormat="1" x14ac:dyDescent="0.3">
      <c r="A859" s="5"/>
      <c r="B859" s="5"/>
      <c r="C859" s="4"/>
      <c r="D859" s="4"/>
      <c r="E859" s="4"/>
      <c r="F859" s="4"/>
      <c r="G859" s="4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</row>
    <row r="860" spans="1:33" s="37" customFormat="1" x14ac:dyDescent="0.3">
      <c r="A860" s="5"/>
      <c r="B860" s="5"/>
      <c r="C860" s="4"/>
      <c r="D860" s="4"/>
      <c r="E860" s="4"/>
      <c r="F860" s="4"/>
      <c r="G860" s="4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</row>
    <row r="861" spans="1:33" s="37" customFormat="1" x14ac:dyDescent="0.3">
      <c r="A861" s="5"/>
      <c r="B861" s="5"/>
      <c r="C861" s="4"/>
      <c r="D861" s="4"/>
      <c r="E861" s="4"/>
      <c r="F861" s="4"/>
      <c r="G861" s="4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 spans="1:33" s="37" customFormat="1" x14ac:dyDescent="0.3">
      <c r="A862" s="5"/>
      <c r="B862" s="5"/>
      <c r="C862" s="4"/>
      <c r="D862" s="4"/>
      <c r="E862" s="4"/>
      <c r="F862" s="4"/>
      <c r="G862" s="4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 spans="1:33" s="37" customFormat="1" x14ac:dyDescent="0.3">
      <c r="A863" s="5"/>
      <c r="B863" s="5"/>
      <c r="C863" s="4"/>
      <c r="D863" s="4"/>
      <c r="E863" s="4"/>
      <c r="F863" s="4"/>
      <c r="G863" s="4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 spans="1:33" s="37" customFormat="1" x14ac:dyDescent="0.3">
      <c r="A864" s="5"/>
      <c r="B864" s="5"/>
      <c r="C864" s="4"/>
      <c r="D864" s="4"/>
      <c r="E864" s="4"/>
      <c r="F864" s="4"/>
      <c r="G864" s="4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 spans="1:33" s="37" customFormat="1" x14ac:dyDescent="0.3">
      <c r="A865" s="5"/>
      <c r="B865" s="5"/>
      <c r="C865" s="4"/>
      <c r="D865" s="4"/>
      <c r="E865" s="4"/>
      <c r="F865" s="4"/>
      <c r="G865" s="4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 spans="1:33" s="37" customFormat="1" x14ac:dyDescent="0.3">
      <c r="A866" s="5"/>
      <c r="B866" s="5"/>
      <c r="C866" s="4"/>
      <c r="D866" s="4"/>
      <c r="E866" s="4"/>
      <c r="F866" s="4"/>
      <c r="G866" s="4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 spans="1:33" s="37" customFormat="1" x14ac:dyDescent="0.3">
      <c r="A867" s="5"/>
      <c r="B867" s="5"/>
      <c r="C867" s="4"/>
      <c r="D867" s="4"/>
      <c r="E867" s="4"/>
      <c r="F867" s="4"/>
      <c r="G867" s="4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 spans="1:33" s="37" customFormat="1" x14ac:dyDescent="0.3">
      <c r="A868" s="5"/>
      <c r="B868" s="5"/>
      <c r="C868" s="4"/>
      <c r="D868" s="4"/>
      <c r="E868" s="4"/>
      <c r="F868" s="4"/>
      <c r="G868" s="4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 spans="1:33" s="37" customFormat="1" x14ac:dyDescent="0.3">
      <c r="A869" s="5"/>
      <c r="B869" s="5"/>
      <c r="C869" s="4"/>
      <c r="D869" s="4"/>
      <c r="E869" s="4"/>
      <c r="F869" s="4"/>
      <c r="G869" s="4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 spans="1:33" s="37" customFormat="1" x14ac:dyDescent="0.3">
      <c r="A870" s="5"/>
      <c r="B870" s="5"/>
      <c r="C870" s="4"/>
      <c r="D870" s="4"/>
      <c r="E870" s="4"/>
      <c r="F870" s="4"/>
      <c r="G870" s="4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 spans="1:33" s="37" customFormat="1" x14ac:dyDescent="0.3">
      <c r="A871" s="5"/>
      <c r="B871" s="5"/>
      <c r="C871" s="4"/>
      <c r="D871" s="4"/>
      <c r="E871" s="4"/>
      <c r="F871" s="4"/>
      <c r="G871" s="4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 spans="1:33" s="37" customFormat="1" x14ac:dyDescent="0.3">
      <c r="A872" s="5"/>
      <c r="B872" s="5"/>
      <c r="C872" s="4"/>
      <c r="D872" s="4"/>
      <c r="E872" s="4"/>
      <c r="F872" s="4"/>
      <c r="G872" s="4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 spans="1:33" s="37" customFormat="1" x14ac:dyDescent="0.3">
      <c r="A873" s="5"/>
      <c r="B873" s="5"/>
      <c r="C873" s="4"/>
      <c r="D873" s="4"/>
      <c r="E873" s="4"/>
      <c r="F873" s="4"/>
      <c r="G873" s="4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 spans="1:33" s="37" customFormat="1" x14ac:dyDescent="0.3">
      <c r="A874" s="5"/>
      <c r="B874" s="5"/>
      <c r="C874" s="4"/>
      <c r="D874" s="4"/>
      <c r="E874" s="4"/>
      <c r="F874" s="4"/>
      <c r="G874" s="4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 spans="1:33" s="37" customFormat="1" x14ac:dyDescent="0.3">
      <c r="A875" s="5"/>
      <c r="B875" s="5"/>
      <c r="C875" s="4"/>
      <c r="D875" s="4"/>
      <c r="E875" s="4"/>
      <c r="F875" s="4"/>
      <c r="G875" s="4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 spans="1:33" s="37" customFormat="1" x14ac:dyDescent="0.3">
      <c r="A876" s="5"/>
      <c r="B876" s="5"/>
      <c r="C876" s="4"/>
      <c r="D876" s="4"/>
      <c r="E876" s="4"/>
      <c r="F876" s="4"/>
      <c r="G876" s="4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 spans="1:33" s="37" customFormat="1" x14ac:dyDescent="0.3">
      <c r="A877" s="5"/>
      <c r="B877" s="5"/>
      <c r="C877" s="4"/>
      <c r="D877" s="4"/>
      <c r="E877" s="4"/>
      <c r="F877" s="4"/>
      <c r="G877" s="4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 spans="1:33" s="37" customFormat="1" x14ac:dyDescent="0.3">
      <c r="A878" s="5"/>
      <c r="B878" s="5"/>
      <c r="C878" s="4"/>
      <c r="D878" s="4"/>
      <c r="E878" s="4"/>
      <c r="F878" s="4"/>
      <c r="G878" s="4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 spans="1:33" s="37" customFormat="1" x14ac:dyDescent="0.3">
      <c r="A879" s="5"/>
      <c r="B879" s="5"/>
      <c r="C879" s="4"/>
      <c r="D879" s="4"/>
      <c r="E879" s="4"/>
      <c r="F879" s="4"/>
      <c r="G879" s="4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 spans="1:33" s="37" customFormat="1" x14ac:dyDescent="0.3">
      <c r="A880" s="5"/>
      <c r="B880" s="5"/>
      <c r="C880" s="4"/>
      <c r="D880" s="4"/>
      <c r="E880" s="4"/>
      <c r="F880" s="4"/>
      <c r="G880" s="4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 spans="1:33" s="37" customFormat="1" x14ac:dyDescent="0.3">
      <c r="A881" s="5"/>
      <c r="B881" s="5"/>
      <c r="C881" s="4"/>
      <c r="D881" s="4"/>
      <c r="E881" s="4"/>
      <c r="F881" s="4"/>
      <c r="G881" s="4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 spans="1:33" s="37" customFormat="1" x14ac:dyDescent="0.3">
      <c r="A882" s="5"/>
      <c r="B882" s="5"/>
      <c r="C882" s="4"/>
      <c r="D882" s="4"/>
      <c r="E882" s="4"/>
      <c r="F882" s="4"/>
      <c r="G882" s="4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 spans="1:33" s="37" customFormat="1" x14ac:dyDescent="0.3">
      <c r="A883" s="5"/>
      <c r="B883" s="5"/>
      <c r="C883" s="4"/>
      <c r="D883" s="4"/>
      <c r="E883" s="4"/>
      <c r="F883" s="4"/>
      <c r="G883" s="4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 spans="1:33" s="37" customFormat="1" x14ac:dyDescent="0.3">
      <c r="A884" s="5"/>
      <c r="B884" s="5"/>
      <c r="C884" s="4"/>
      <c r="D884" s="4"/>
      <c r="E884" s="4"/>
      <c r="F884" s="4"/>
      <c r="G884" s="4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 spans="1:33" s="37" customFormat="1" x14ac:dyDescent="0.3">
      <c r="A885" s="5"/>
      <c r="B885" s="5"/>
      <c r="C885" s="4"/>
      <c r="D885" s="4"/>
      <c r="E885" s="4"/>
      <c r="F885" s="4"/>
      <c r="G885" s="4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 spans="1:33" s="37" customFormat="1" x14ac:dyDescent="0.3">
      <c r="A886" s="5"/>
      <c r="B886" s="5"/>
      <c r="C886" s="4"/>
      <c r="D886" s="4"/>
      <c r="E886" s="4"/>
      <c r="F886" s="4"/>
      <c r="G886" s="4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 spans="1:33" s="37" customFormat="1" x14ac:dyDescent="0.3">
      <c r="A887" s="5"/>
      <c r="B887" s="5"/>
      <c r="C887" s="4"/>
      <c r="D887" s="4"/>
      <c r="E887" s="4"/>
      <c r="F887" s="4"/>
      <c r="G887" s="4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 spans="1:33" s="37" customFormat="1" x14ac:dyDescent="0.3">
      <c r="A888" s="5"/>
      <c r="B888" s="5"/>
      <c r="C888" s="4"/>
      <c r="D888" s="4"/>
      <c r="E888" s="4"/>
      <c r="F888" s="4"/>
      <c r="G888" s="4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 spans="1:33" s="37" customFormat="1" x14ac:dyDescent="0.3">
      <c r="A889" s="5"/>
      <c r="B889" s="5"/>
      <c r="C889" s="4"/>
      <c r="D889" s="4"/>
      <c r="E889" s="4"/>
      <c r="F889" s="4"/>
      <c r="G889" s="4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 spans="1:33" s="37" customFormat="1" x14ac:dyDescent="0.3">
      <c r="A890" s="5"/>
      <c r="B890" s="5"/>
      <c r="C890" s="4"/>
      <c r="D890" s="4"/>
      <c r="E890" s="4"/>
      <c r="F890" s="4"/>
      <c r="G890" s="4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 spans="1:33" s="37" customFormat="1" x14ac:dyDescent="0.3">
      <c r="A891" s="5"/>
      <c r="B891" s="5"/>
      <c r="C891" s="4"/>
      <c r="D891" s="4"/>
      <c r="E891" s="4"/>
      <c r="F891" s="4"/>
      <c r="G891" s="4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 spans="1:33" s="37" customFormat="1" x14ac:dyDescent="0.3">
      <c r="A892" s="5"/>
      <c r="B892" s="5"/>
      <c r="C892" s="4"/>
      <c r="D892" s="4"/>
      <c r="E892" s="4"/>
      <c r="F892" s="4"/>
      <c r="G892" s="4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 spans="1:33" s="37" customFormat="1" x14ac:dyDescent="0.3">
      <c r="A893" s="5"/>
      <c r="B893" s="5"/>
      <c r="C893" s="4"/>
      <c r="D893" s="4"/>
      <c r="E893" s="4"/>
      <c r="F893" s="4"/>
      <c r="G893" s="4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 spans="1:33" s="37" customFormat="1" x14ac:dyDescent="0.3">
      <c r="A894" s="5"/>
      <c r="B894" s="5"/>
      <c r="C894" s="4"/>
      <c r="D894" s="4"/>
      <c r="E894" s="4"/>
      <c r="F894" s="4"/>
      <c r="G894" s="4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 spans="1:33" s="37" customFormat="1" x14ac:dyDescent="0.3">
      <c r="A895" s="5"/>
      <c r="B895" s="5"/>
      <c r="C895" s="4"/>
      <c r="D895" s="4"/>
      <c r="E895" s="4"/>
      <c r="F895" s="4"/>
      <c r="G895" s="4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 spans="1:33" s="37" customFormat="1" x14ac:dyDescent="0.3">
      <c r="A896" s="5"/>
      <c r="B896" s="5"/>
      <c r="C896" s="4"/>
      <c r="D896" s="4"/>
      <c r="E896" s="4"/>
      <c r="F896" s="4"/>
      <c r="G896" s="4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 spans="1:35" s="37" customFormat="1" x14ac:dyDescent="0.3">
      <c r="A897" s="5"/>
      <c r="B897" s="5"/>
      <c r="C897" s="4"/>
      <c r="D897" s="4"/>
      <c r="E897" s="4"/>
      <c r="F897" s="4"/>
      <c r="G897" s="4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 spans="1:35" s="37" customFormat="1" x14ac:dyDescent="0.3">
      <c r="A898" s="5"/>
      <c r="B898" s="5"/>
      <c r="C898" s="4"/>
      <c r="D898" s="4"/>
      <c r="E898" s="4"/>
      <c r="F898" s="4"/>
      <c r="G898" s="4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</row>
    <row r="899" spans="1:35" s="37" customFormat="1" x14ac:dyDescent="0.3">
      <c r="A899" s="5"/>
      <c r="B899" s="5"/>
      <c r="C899" s="4"/>
      <c r="D899" s="4"/>
      <c r="E899" s="4"/>
      <c r="F899" s="4"/>
      <c r="G899" s="4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</row>
    <row r="900" spans="1:35" s="37" customFormat="1" x14ac:dyDescent="0.3">
      <c r="A900" s="5"/>
      <c r="B900" s="5"/>
      <c r="C900" s="4"/>
      <c r="D900" s="4"/>
      <c r="E900" s="4"/>
      <c r="F900" s="4"/>
      <c r="G900" s="4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</row>
    <row r="901" spans="1:35" s="37" customFormat="1" x14ac:dyDescent="0.3">
      <c r="A901" s="5"/>
      <c r="B901" s="5"/>
      <c r="C901" s="4"/>
      <c r="D901" s="4"/>
      <c r="E901" s="4"/>
      <c r="F901" s="4"/>
      <c r="G901" s="4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</row>
    <row r="902" spans="1:35" s="37" customFormat="1" x14ac:dyDescent="0.3">
      <c r="A902" s="5"/>
      <c r="B902" s="5"/>
      <c r="C902" s="4"/>
      <c r="D902" s="4"/>
      <c r="E902" s="4"/>
      <c r="F902" s="4"/>
      <c r="G902" s="4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</row>
    <row r="903" spans="1:35" s="37" customFormat="1" x14ac:dyDescent="0.3">
      <c r="A903" s="5"/>
      <c r="B903" s="5"/>
      <c r="C903" s="4"/>
      <c r="D903" s="4"/>
      <c r="E903" s="4"/>
      <c r="F903" s="4"/>
      <c r="G903" s="4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</row>
    <row r="904" spans="1:35" s="37" customFormat="1" x14ac:dyDescent="0.3">
      <c r="A904" s="5"/>
      <c r="B904" s="5"/>
      <c r="C904" s="4"/>
      <c r="D904" s="4"/>
      <c r="E904" s="4"/>
      <c r="F904" s="4"/>
      <c r="G904" s="4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</row>
    <row r="905" spans="1:35" s="37" customFormat="1" x14ac:dyDescent="0.3">
      <c r="A905" s="5"/>
      <c r="B905" s="5"/>
      <c r="C905" s="4"/>
      <c r="D905" s="4"/>
      <c r="E905" s="4"/>
      <c r="F905" s="4"/>
      <c r="G905" s="4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</row>
    <row r="906" spans="1:35" s="37" customFormat="1" x14ac:dyDescent="0.3">
      <c r="A906" s="5"/>
      <c r="B906" s="5"/>
      <c r="C906" s="4"/>
      <c r="D906" s="4"/>
      <c r="E906" s="4"/>
      <c r="F906" s="4"/>
      <c r="G906" s="4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</row>
    <row r="907" spans="1:35" s="37" customFormat="1" x14ac:dyDescent="0.3">
      <c r="A907" s="5"/>
      <c r="B907" s="5"/>
      <c r="C907" s="4"/>
      <c r="D907" s="4"/>
      <c r="E907" s="4"/>
      <c r="F907" s="4"/>
      <c r="G907" s="4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</row>
    <row r="908" spans="1:35" s="37" customFormat="1" x14ac:dyDescent="0.3">
      <c r="A908" s="5"/>
      <c r="B908" s="5"/>
      <c r="C908" s="4"/>
      <c r="D908" s="4"/>
      <c r="E908" s="4"/>
      <c r="F908" s="4"/>
      <c r="G908" s="4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</row>
    <row r="909" spans="1:35" s="37" customFormat="1" x14ac:dyDescent="0.3">
      <c r="A909" s="5"/>
      <c r="B909" s="5"/>
      <c r="C909" s="4"/>
      <c r="D909" s="4"/>
      <c r="E909" s="4"/>
      <c r="F909" s="4"/>
      <c r="G909" s="4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</row>
    <row r="910" spans="1:35" s="37" customFormat="1" x14ac:dyDescent="0.3">
      <c r="A910" s="5"/>
      <c r="B910" s="5"/>
      <c r="C910" s="4"/>
      <c r="D910" s="4"/>
      <c r="E910" s="4"/>
      <c r="F910" s="4"/>
      <c r="G910" s="4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</row>
    <row r="911" spans="1:35" s="37" customFormat="1" x14ac:dyDescent="0.3">
      <c r="A911" s="5"/>
      <c r="B911" s="5"/>
      <c r="C911" s="4"/>
      <c r="D911" s="4"/>
      <c r="E911" s="4"/>
      <c r="F911" s="4"/>
      <c r="G911" s="4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</row>
    <row r="912" spans="1:35" s="37" customFormat="1" x14ac:dyDescent="0.3">
      <c r="A912" s="5"/>
      <c r="B912" s="5"/>
      <c r="C912" s="4"/>
      <c r="D912" s="4"/>
      <c r="E912" s="4"/>
      <c r="F912" s="4"/>
      <c r="G912" s="4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</row>
    <row r="913" spans="1:37" s="37" customFormat="1" x14ac:dyDescent="0.3">
      <c r="A913" s="5"/>
      <c r="B913" s="5"/>
      <c r="C913" s="4"/>
      <c r="D913" s="4"/>
      <c r="E913" s="4"/>
      <c r="F913" s="4"/>
      <c r="G913" s="4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</row>
    <row r="914" spans="1:37" s="37" customFormat="1" x14ac:dyDescent="0.3">
      <c r="A914" s="5"/>
      <c r="B914" s="5"/>
      <c r="C914" s="4"/>
      <c r="D914" s="4"/>
      <c r="E914" s="4"/>
      <c r="F914" s="4"/>
      <c r="G914" s="4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</row>
    <row r="915" spans="1:37" s="37" customFormat="1" x14ac:dyDescent="0.3">
      <c r="A915" s="5"/>
      <c r="B915" s="5"/>
      <c r="C915" s="4"/>
      <c r="D915" s="4"/>
      <c r="E915" s="4"/>
      <c r="F915" s="4"/>
      <c r="G915" s="4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</row>
    <row r="916" spans="1:37" s="37" customFormat="1" x14ac:dyDescent="0.3">
      <c r="A916" s="5"/>
      <c r="B916" s="5"/>
      <c r="C916" s="4"/>
      <c r="D916" s="4"/>
      <c r="E916" s="4"/>
      <c r="F916" s="4"/>
      <c r="G916" s="4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</row>
    <row r="917" spans="1:37" s="37" customFormat="1" x14ac:dyDescent="0.3">
      <c r="A917" s="5"/>
      <c r="B917" s="5"/>
      <c r="C917" s="4"/>
      <c r="D917" s="4"/>
      <c r="E917" s="4"/>
      <c r="F917" s="4"/>
      <c r="G917" s="4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</row>
    <row r="918" spans="1:37" s="37" customFormat="1" x14ac:dyDescent="0.3">
      <c r="A918" s="5"/>
      <c r="B918" s="5"/>
      <c r="C918" s="4"/>
      <c r="D918" s="4"/>
      <c r="E918" s="4"/>
      <c r="F918" s="4"/>
      <c r="G918" s="4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</row>
    <row r="919" spans="1:37" s="37" customFormat="1" x14ac:dyDescent="0.3">
      <c r="A919" s="5"/>
      <c r="B919" s="5"/>
      <c r="C919" s="4"/>
      <c r="D919" s="4"/>
      <c r="E919" s="4"/>
      <c r="F919" s="4"/>
      <c r="G919" s="4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</row>
    <row r="920" spans="1:37" s="37" customFormat="1" x14ac:dyDescent="0.3">
      <c r="A920" s="5"/>
      <c r="B920" s="5"/>
      <c r="C920" s="4"/>
      <c r="D920" s="4"/>
      <c r="E920" s="4"/>
      <c r="F920" s="4"/>
      <c r="G920" s="4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</row>
    <row r="921" spans="1:37" s="37" customFormat="1" x14ac:dyDescent="0.3">
      <c r="A921" s="5"/>
      <c r="B921" s="5"/>
      <c r="C921" s="4"/>
      <c r="D921" s="4"/>
      <c r="E921" s="4"/>
      <c r="F921" s="4"/>
      <c r="G921" s="4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</row>
    <row r="922" spans="1:37" s="37" customFormat="1" x14ac:dyDescent="0.3">
      <c r="A922" s="5"/>
      <c r="B922" s="5"/>
      <c r="C922" s="4"/>
      <c r="D922" s="4"/>
      <c r="E922" s="4"/>
      <c r="F922" s="4"/>
      <c r="G922" s="4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</row>
    <row r="923" spans="1:37" s="37" customFormat="1" x14ac:dyDescent="0.3">
      <c r="A923" s="5"/>
      <c r="B923" s="5"/>
      <c r="C923" s="4"/>
      <c r="D923" s="4"/>
      <c r="E923" s="4"/>
      <c r="F923" s="4"/>
      <c r="G923" s="4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</row>
    <row r="924" spans="1:37" s="37" customFormat="1" x14ac:dyDescent="0.3">
      <c r="A924" s="5"/>
      <c r="B924" s="5"/>
      <c r="C924" s="4"/>
      <c r="D924" s="4"/>
      <c r="E924" s="4"/>
      <c r="F924" s="4"/>
      <c r="G924" s="4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</row>
    <row r="925" spans="1:37" s="37" customFormat="1" x14ac:dyDescent="0.3">
      <c r="A925" s="5"/>
      <c r="B925" s="5"/>
      <c r="C925" s="4"/>
      <c r="D925" s="4"/>
      <c r="E925" s="4"/>
      <c r="F925" s="4"/>
      <c r="G925" s="4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</row>
    <row r="926" spans="1:37" s="37" customFormat="1" x14ac:dyDescent="0.3">
      <c r="A926" s="5"/>
      <c r="B926" s="5"/>
      <c r="C926" s="4"/>
      <c r="D926" s="4"/>
      <c r="E926" s="4"/>
      <c r="F926" s="4"/>
      <c r="G926" s="4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</row>
    <row r="927" spans="1:37" s="37" customFormat="1" x14ac:dyDescent="0.3">
      <c r="A927" s="5"/>
      <c r="B927" s="5"/>
      <c r="C927" s="4"/>
      <c r="D927" s="4"/>
      <c r="E927" s="4"/>
      <c r="F927" s="4"/>
      <c r="G927" s="4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</row>
    <row r="928" spans="1:37" s="37" customFormat="1" x14ac:dyDescent="0.3">
      <c r="A928" s="5"/>
      <c r="B928" s="5"/>
      <c r="C928" s="4"/>
      <c r="D928" s="4"/>
      <c r="E928" s="4"/>
      <c r="F928" s="4"/>
      <c r="G928" s="4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</row>
    <row r="929" spans="1:37" s="37" customFormat="1" x14ac:dyDescent="0.3">
      <c r="A929" s="5"/>
      <c r="B929" s="5"/>
      <c r="C929" s="4"/>
      <c r="D929" s="4"/>
      <c r="E929" s="4"/>
      <c r="F929" s="4"/>
      <c r="G929" s="4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</row>
    <row r="930" spans="1:37" s="37" customFormat="1" x14ac:dyDescent="0.3">
      <c r="A930" s="5"/>
      <c r="B930" s="5"/>
      <c r="C930" s="4"/>
      <c r="D930" s="4"/>
      <c r="E930" s="4"/>
      <c r="F930" s="4"/>
      <c r="G930" s="4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</row>
    <row r="931" spans="1:37" s="37" customFormat="1" x14ac:dyDescent="0.3">
      <c r="A931" s="5"/>
      <c r="B931" s="5"/>
      <c r="C931" s="4"/>
      <c r="D931" s="4"/>
      <c r="E931" s="4"/>
      <c r="F931" s="4"/>
      <c r="G931" s="4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</row>
    <row r="932" spans="1:37" s="37" customFormat="1" x14ac:dyDescent="0.3">
      <c r="A932" s="5"/>
      <c r="B932" s="5"/>
      <c r="C932" s="4"/>
      <c r="D932" s="4"/>
      <c r="E932" s="4"/>
      <c r="F932" s="4"/>
      <c r="G932" s="4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</row>
    <row r="933" spans="1:37" s="37" customFormat="1" x14ac:dyDescent="0.3">
      <c r="A933" s="5"/>
      <c r="B933" s="5"/>
      <c r="C933" s="4"/>
      <c r="D933" s="4"/>
      <c r="E933" s="4"/>
      <c r="F933" s="4"/>
      <c r="G933" s="4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</row>
    <row r="934" spans="1:37" s="37" customFormat="1" x14ac:dyDescent="0.3">
      <c r="A934" s="5"/>
      <c r="B934" s="5"/>
      <c r="C934" s="4"/>
      <c r="D934" s="4"/>
      <c r="E934" s="4"/>
      <c r="F934" s="4"/>
      <c r="G934" s="4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</row>
    <row r="935" spans="1:37" s="37" customFormat="1" x14ac:dyDescent="0.3">
      <c r="A935" s="5"/>
      <c r="B935" s="5"/>
      <c r="C935" s="4"/>
      <c r="D935" s="4"/>
      <c r="E935" s="4"/>
      <c r="F935" s="4"/>
      <c r="G935" s="4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</row>
    <row r="936" spans="1:37" s="37" customFormat="1" x14ac:dyDescent="0.3">
      <c r="A936" s="5"/>
      <c r="B936" s="5"/>
      <c r="C936" s="4"/>
      <c r="D936" s="4"/>
      <c r="E936" s="4"/>
      <c r="F936" s="4"/>
      <c r="G936" s="4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</row>
    <row r="937" spans="1:37" s="37" customFormat="1" x14ac:dyDescent="0.3">
      <c r="A937" s="5"/>
      <c r="B937" s="5"/>
      <c r="C937" s="4"/>
      <c r="D937" s="4"/>
      <c r="E937" s="4"/>
      <c r="F937" s="4"/>
      <c r="G937" s="4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</row>
    <row r="938" spans="1:37" s="37" customFormat="1" x14ac:dyDescent="0.3">
      <c r="A938" s="5"/>
      <c r="B938" s="5"/>
      <c r="C938" s="4"/>
      <c r="D938" s="4"/>
      <c r="E938" s="4"/>
      <c r="F938" s="4"/>
      <c r="G938" s="4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</row>
    <row r="939" spans="1:37" s="37" customFormat="1" x14ac:dyDescent="0.3">
      <c r="A939" s="5"/>
      <c r="B939" s="5"/>
      <c r="C939" s="4"/>
      <c r="D939" s="4"/>
      <c r="E939" s="4"/>
      <c r="F939" s="4"/>
      <c r="G939" s="4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</row>
    <row r="940" spans="1:37" s="37" customFormat="1" x14ac:dyDescent="0.3">
      <c r="A940" s="5"/>
      <c r="B940" s="5"/>
      <c r="C940" s="4"/>
      <c r="D940" s="4"/>
      <c r="E940" s="4"/>
      <c r="F940" s="4"/>
      <c r="G940" s="4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</row>
    <row r="941" spans="1:37" s="37" customFormat="1" x14ac:dyDescent="0.3">
      <c r="A941" s="5"/>
      <c r="B941" s="5"/>
      <c r="C941" s="4"/>
      <c r="D941" s="4"/>
      <c r="E941" s="4"/>
      <c r="F941" s="4"/>
      <c r="G941" s="4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</row>
    <row r="942" spans="1:37" s="37" customFormat="1" x14ac:dyDescent="0.3">
      <c r="A942" s="5"/>
      <c r="B942" s="5"/>
      <c r="C942" s="4"/>
      <c r="D942" s="4"/>
      <c r="E942" s="4"/>
      <c r="F942" s="4"/>
      <c r="G942" s="4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</row>
    <row r="943" spans="1:37" s="37" customFormat="1" x14ac:dyDescent="0.3">
      <c r="A943" s="5"/>
      <c r="B943" s="5"/>
      <c r="C943" s="4"/>
      <c r="D943" s="4"/>
      <c r="E943" s="4"/>
      <c r="F943" s="4"/>
      <c r="G943" s="4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</row>
    <row r="944" spans="1:37" s="37" customFormat="1" x14ac:dyDescent="0.3">
      <c r="A944" s="5"/>
      <c r="B944" s="5"/>
      <c r="C944" s="4"/>
      <c r="D944" s="4"/>
      <c r="E944" s="4"/>
      <c r="F944" s="4"/>
      <c r="G944" s="4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</row>
    <row r="945" spans="1:37" s="37" customFormat="1" x14ac:dyDescent="0.3">
      <c r="A945" s="5"/>
      <c r="B945" s="5"/>
      <c r="C945" s="4"/>
      <c r="D945" s="4"/>
      <c r="E945" s="4"/>
      <c r="F945" s="4"/>
      <c r="G945" s="4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</row>
    <row r="946" spans="1:37" s="37" customFormat="1" x14ac:dyDescent="0.3">
      <c r="A946" s="5"/>
      <c r="B946" s="5"/>
      <c r="C946" s="4"/>
      <c r="D946" s="4"/>
      <c r="E946" s="4"/>
      <c r="F946" s="4"/>
      <c r="G946" s="4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</row>
    <row r="947" spans="1:37" s="37" customFormat="1" x14ac:dyDescent="0.3">
      <c r="A947" s="5"/>
      <c r="B947" s="5"/>
      <c r="C947" s="4"/>
      <c r="D947" s="4"/>
      <c r="E947" s="4"/>
      <c r="F947" s="4"/>
      <c r="G947" s="4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</row>
    <row r="948" spans="1:37" s="37" customFormat="1" x14ac:dyDescent="0.3">
      <c r="A948" s="5"/>
      <c r="B948" s="5"/>
      <c r="C948" s="4"/>
      <c r="D948" s="4"/>
      <c r="E948" s="4"/>
      <c r="F948" s="4"/>
      <c r="G948" s="4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</row>
    <row r="949" spans="1:37" s="37" customFormat="1" x14ac:dyDescent="0.3">
      <c r="A949" s="5"/>
      <c r="B949" s="5"/>
      <c r="C949" s="4"/>
      <c r="D949" s="4"/>
      <c r="E949" s="4"/>
      <c r="F949" s="4"/>
      <c r="G949" s="4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</row>
    <row r="950" spans="1:37" s="37" customFormat="1" x14ac:dyDescent="0.3">
      <c r="A950" s="5"/>
      <c r="B950" s="5"/>
      <c r="C950" s="4"/>
      <c r="D950" s="4"/>
      <c r="E950" s="4"/>
      <c r="F950" s="4"/>
      <c r="G950" s="4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</row>
    <row r="951" spans="1:37" s="37" customFormat="1" x14ac:dyDescent="0.3">
      <c r="A951" s="5"/>
      <c r="B951" s="5"/>
      <c r="C951" s="4"/>
      <c r="D951" s="4"/>
      <c r="E951" s="4"/>
      <c r="F951" s="4"/>
      <c r="G951" s="4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</row>
    <row r="952" spans="1:37" s="37" customFormat="1" x14ac:dyDescent="0.3">
      <c r="A952" s="5"/>
      <c r="B952" s="5"/>
      <c r="C952" s="4"/>
      <c r="D952" s="4"/>
      <c r="E952" s="4"/>
      <c r="F952" s="4"/>
      <c r="G952" s="4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</row>
    <row r="953" spans="1:37" s="37" customFormat="1" x14ac:dyDescent="0.3">
      <c r="A953" s="5"/>
      <c r="B953" s="5"/>
      <c r="C953" s="4"/>
      <c r="D953" s="4"/>
      <c r="E953" s="4"/>
      <c r="F953" s="4"/>
      <c r="G953" s="4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</row>
    <row r="954" spans="1:37" s="37" customFormat="1" x14ac:dyDescent="0.3">
      <c r="A954" s="5"/>
      <c r="B954" s="5"/>
      <c r="C954" s="4"/>
      <c r="D954" s="4"/>
      <c r="E954" s="4"/>
      <c r="F954" s="4"/>
      <c r="G954" s="4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</row>
    <row r="955" spans="1:37" s="37" customFormat="1" x14ac:dyDescent="0.3">
      <c r="A955" s="5"/>
      <c r="B955" s="5"/>
      <c r="C955" s="4"/>
      <c r="D955" s="4"/>
      <c r="E955" s="4"/>
      <c r="F955" s="4"/>
      <c r="G955" s="4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</row>
    <row r="956" spans="1:37" s="37" customFormat="1" x14ac:dyDescent="0.3">
      <c r="A956" s="5"/>
      <c r="B956" s="5"/>
      <c r="C956" s="4"/>
      <c r="D956" s="4"/>
      <c r="E956" s="4"/>
      <c r="F956" s="4"/>
      <c r="G956" s="4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</row>
    <row r="957" spans="1:37" s="37" customFormat="1" x14ac:dyDescent="0.3">
      <c r="A957" s="5"/>
      <c r="B957" s="5"/>
      <c r="C957" s="4"/>
      <c r="D957" s="4"/>
      <c r="E957" s="4"/>
      <c r="F957" s="4"/>
      <c r="G957" s="4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</row>
    <row r="958" spans="1:37" s="37" customFormat="1" x14ac:dyDescent="0.3">
      <c r="A958" s="5"/>
      <c r="B958" s="5"/>
      <c r="C958" s="4"/>
      <c r="D958" s="4"/>
      <c r="E958" s="4"/>
      <c r="F958" s="4"/>
      <c r="G958" s="4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</row>
    <row r="959" spans="1:37" s="37" customFormat="1" x14ac:dyDescent="0.3">
      <c r="A959" s="5"/>
      <c r="B959" s="5"/>
      <c r="C959" s="4"/>
      <c r="D959" s="4"/>
      <c r="E959" s="4"/>
      <c r="F959" s="4"/>
      <c r="G959" s="4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</row>
    <row r="960" spans="1:37" s="37" customFormat="1" x14ac:dyDescent="0.3">
      <c r="A960" s="5"/>
      <c r="B960" s="5"/>
      <c r="C960" s="4"/>
      <c r="D960" s="4"/>
      <c r="E960" s="4"/>
      <c r="F960" s="4"/>
      <c r="G960" s="4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</row>
    <row r="961" spans="1:37" s="37" customFormat="1" x14ac:dyDescent="0.3">
      <c r="A961" s="5"/>
      <c r="B961" s="5"/>
      <c r="C961" s="4"/>
      <c r="D961" s="4"/>
      <c r="E961" s="4"/>
      <c r="F961" s="4"/>
      <c r="G961" s="4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</row>
    <row r="962" spans="1:37" s="37" customFormat="1" x14ac:dyDescent="0.3">
      <c r="A962" s="5"/>
      <c r="B962" s="5"/>
      <c r="C962" s="4"/>
      <c r="D962" s="4"/>
      <c r="E962" s="4"/>
      <c r="F962" s="4"/>
      <c r="G962" s="4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</row>
    <row r="963" spans="1:37" s="37" customFormat="1" x14ac:dyDescent="0.3">
      <c r="A963" s="5"/>
      <c r="B963" s="5"/>
      <c r="C963" s="4"/>
      <c r="D963" s="4"/>
      <c r="E963" s="4"/>
      <c r="F963" s="4"/>
      <c r="G963" s="4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</row>
    <row r="964" spans="1:37" s="37" customFormat="1" x14ac:dyDescent="0.3">
      <c r="A964" s="5"/>
      <c r="B964" s="5"/>
      <c r="C964" s="4"/>
      <c r="D964" s="4"/>
      <c r="E964" s="4"/>
      <c r="F964" s="4"/>
      <c r="G964" s="4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</row>
    <row r="965" spans="1:37" s="37" customFormat="1" x14ac:dyDescent="0.3">
      <c r="A965" s="5"/>
      <c r="B965" s="5"/>
      <c r="C965" s="4"/>
      <c r="D965" s="4"/>
      <c r="E965" s="4"/>
      <c r="F965" s="4"/>
      <c r="G965" s="4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</row>
    <row r="966" spans="1:37" s="37" customFormat="1" x14ac:dyDescent="0.3">
      <c r="A966" s="5"/>
      <c r="B966" s="5"/>
      <c r="C966" s="4"/>
      <c r="D966" s="4"/>
      <c r="E966" s="4"/>
      <c r="F966" s="4"/>
      <c r="G966" s="4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</row>
    <row r="967" spans="1:37" s="37" customFormat="1" x14ac:dyDescent="0.3">
      <c r="A967" s="5"/>
      <c r="B967" s="5"/>
      <c r="C967" s="4"/>
      <c r="D967" s="4"/>
      <c r="E967" s="4"/>
      <c r="F967" s="4"/>
      <c r="G967" s="4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</row>
    <row r="968" spans="1:37" s="37" customFormat="1" x14ac:dyDescent="0.3">
      <c r="A968" s="5"/>
      <c r="B968" s="5"/>
      <c r="C968" s="4"/>
      <c r="D968" s="4"/>
      <c r="E968" s="4"/>
      <c r="F968" s="4"/>
      <c r="G968" s="4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</row>
    <row r="969" spans="1:37" s="37" customFormat="1" x14ac:dyDescent="0.3">
      <c r="A969" s="5"/>
      <c r="B969" s="5"/>
      <c r="C969" s="4"/>
      <c r="D969" s="4"/>
      <c r="E969" s="4"/>
      <c r="F969" s="4"/>
      <c r="G969" s="4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</row>
    <row r="970" spans="1:37" s="37" customFormat="1" x14ac:dyDescent="0.3">
      <c r="A970" s="5"/>
      <c r="B970" s="5"/>
      <c r="C970" s="4"/>
      <c r="D970" s="4"/>
      <c r="E970" s="4"/>
      <c r="F970" s="4"/>
      <c r="G970" s="4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</row>
    <row r="971" spans="1:37" s="37" customFormat="1" x14ac:dyDescent="0.3">
      <c r="A971" s="5"/>
      <c r="B971" s="5"/>
      <c r="C971" s="4"/>
      <c r="D971" s="4"/>
      <c r="E971" s="4"/>
      <c r="F971" s="4"/>
      <c r="G971" s="4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</row>
    <row r="972" spans="1:37" s="37" customFormat="1" x14ac:dyDescent="0.3">
      <c r="A972" s="5"/>
      <c r="B972" s="5"/>
      <c r="C972" s="4"/>
      <c r="D972" s="4"/>
      <c r="E972" s="4"/>
      <c r="F972" s="4"/>
      <c r="G972" s="4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38"/>
      <c r="AF972" s="5"/>
      <c r="AG972" s="5"/>
      <c r="AH972" s="5"/>
      <c r="AI972" s="5"/>
      <c r="AJ972" s="5"/>
      <c r="AK972" s="5"/>
    </row>
    <row r="973" spans="1:37" s="37" customFormat="1" x14ac:dyDescent="0.3">
      <c r="A973" s="5"/>
      <c r="B973" s="5"/>
      <c r="C973" s="4"/>
      <c r="D973" s="4"/>
      <c r="E973" s="4"/>
      <c r="F973" s="4"/>
      <c r="G973" s="4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</row>
    <row r="974" spans="1:37" s="37" customFormat="1" x14ac:dyDescent="0.3">
      <c r="A974" s="5"/>
      <c r="B974" s="5"/>
      <c r="C974" s="4"/>
      <c r="D974" s="4"/>
      <c r="E974" s="4"/>
      <c r="F974" s="4"/>
      <c r="G974" s="4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</row>
    <row r="975" spans="1:37" s="37" customFormat="1" x14ac:dyDescent="0.3">
      <c r="A975" s="5"/>
      <c r="B975" s="5"/>
      <c r="C975" s="4"/>
      <c r="D975" s="4"/>
      <c r="E975" s="4"/>
      <c r="F975" s="4"/>
      <c r="G975" s="4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</row>
    <row r="976" spans="1:37" s="37" customFormat="1" x14ac:dyDescent="0.3">
      <c r="A976" s="5"/>
      <c r="B976" s="5"/>
      <c r="C976" s="4"/>
      <c r="D976" s="4"/>
      <c r="E976" s="4"/>
      <c r="F976" s="4"/>
      <c r="G976" s="4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</row>
    <row r="977" spans="1:37" s="37" customFormat="1" x14ac:dyDescent="0.3">
      <c r="A977" s="5"/>
      <c r="B977" s="5"/>
      <c r="C977" s="4"/>
      <c r="D977" s="4"/>
      <c r="E977" s="4"/>
      <c r="F977" s="4"/>
      <c r="G977" s="4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</row>
    <row r="978" spans="1:37" s="37" customFormat="1" x14ac:dyDescent="0.3">
      <c r="A978" s="5"/>
      <c r="B978" s="5"/>
      <c r="C978" s="4"/>
      <c r="D978" s="4"/>
      <c r="E978" s="4"/>
      <c r="F978" s="4"/>
      <c r="G978" s="4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</row>
    <row r="979" spans="1:37" s="37" customFormat="1" x14ac:dyDescent="0.3">
      <c r="A979" s="5"/>
      <c r="B979" s="5"/>
      <c r="C979" s="4"/>
      <c r="D979" s="4"/>
      <c r="E979" s="4"/>
      <c r="F979" s="4"/>
      <c r="G979" s="4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</row>
    <row r="980" spans="1:37" s="37" customFormat="1" x14ac:dyDescent="0.3">
      <c r="A980" s="5"/>
      <c r="B980" s="5"/>
      <c r="C980" s="4"/>
      <c r="D980" s="4"/>
      <c r="E980" s="4"/>
      <c r="F980" s="4"/>
      <c r="G980" s="4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</row>
    <row r="981" spans="1:37" s="37" customFormat="1" x14ac:dyDescent="0.3">
      <c r="A981" s="5"/>
      <c r="B981" s="5"/>
      <c r="C981" s="4"/>
      <c r="D981" s="4"/>
      <c r="E981" s="4"/>
      <c r="F981" s="4"/>
      <c r="G981" s="4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</row>
    <row r="982" spans="1:37" s="37" customFormat="1" x14ac:dyDescent="0.3">
      <c r="A982" s="5"/>
      <c r="B982" s="5"/>
      <c r="C982" s="4"/>
      <c r="D982" s="4"/>
      <c r="E982" s="4"/>
      <c r="F982" s="4"/>
      <c r="G982" s="4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</row>
    <row r="983" spans="1:37" s="37" customFormat="1" x14ac:dyDescent="0.3">
      <c r="A983" s="5"/>
      <c r="B983" s="5"/>
      <c r="C983" s="4"/>
      <c r="D983" s="4"/>
      <c r="E983" s="4"/>
      <c r="F983" s="4"/>
      <c r="G983" s="4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</row>
    <row r="984" spans="1:37" s="37" customFormat="1" x14ac:dyDescent="0.3">
      <c r="A984" s="5"/>
      <c r="B984" s="5"/>
      <c r="C984" s="4"/>
      <c r="D984" s="4"/>
      <c r="E984" s="4"/>
      <c r="F984" s="4"/>
      <c r="G984" s="4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</row>
    <row r="985" spans="1:37" s="37" customFormat="1" x14ac:dyDescent="0.3">
      <c r="A985" s="5"/>
      <c r="B985" s="5"/>
      <c r="C985" s="4"/>
      <c r="D985" s="4"/>
      <c r="E985" s="4"/>
      <c r="F985" s="4"/>
      <c r="G985" s="4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</row>
    <row r="986" spans="1:37" s="37" customFormat="1" x14ac:dyDescent="0.3">
      <c r="A986" s="5"/>
      <c r="B986" s="5"/>
      <c r="C986" s="4"/>
      <c r="D986" s="4"/>
      <c r="E986" s="4"/>
      <c r="F986" s="4"/>
      <c r="G986" s="4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</row>
    <row r="987" spans="1:37" s="37" customFormat="1" x14ac:dyDescent="0.3">
      <c r="A987" s="5"/>
      <c r="B987" s="5"/>
      <c r="C987" s="4"/>
      <c r="D987" s="4"/>
      <c r="E987" s="4"/>
      <c r="F987" s="4"/>
      <c r="G987" s="4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</row>
    <row r="988" spans="1:37" s="37" customFormat="1" x14ac:dyDescent="0.3">
      <c r="A988" s="5"/>
      <c r="B988" s="5"/>
      <c r="C988" s="4"/>
      <c r="D988" s="4"/>
      <c r="E988" s="4"/>
      <c r="F988" s="4"/>
      <c r="G988" s="4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</row>
    <row r="989" spans="1:37" s="37" customFormat="1" x14ac:dyDescent="0.3">
      <c r="A989" s="5"/>
      <c r="B989" s="5"/>
      <c r="C989" s="4"/>
      <c r="D989" s="4"/>
      <c r="E989" s="4"/>
      <c r="F989" s="4"/>
      <c r="G989" s="4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</row>
    <row r="990" spans="1:37" s="37" customFormat="1" x14ac:dyDescent="0.3">
      <c r="A990" s="5"/>
      <c r="B990" s="5"/>
      <c r="C990" s="4"/>
      <c r="D990" s="4"/>
      <c r="E990" s="4"/>
      <c r="F990" s="4"/>
      <c r="G990" s="4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</row>
    <row r="991" spans="1:37" s="37" customFormat="1" x14ac:dyDescent="0.3">
      <c r="A991" s="5"/>
      <c r="B991" s="5"/>
      <c r="C991" s="4"/>
      <c r="D991" s="4"/>
      <c r="E991" s="4"/>
      <c r="F991" s="4"/>
      <c r="G991" s="4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</row>
    <row r="992" spans="1:37" s="37" customFormat="1" x14ac:dyDescent="0.3">
      <c r="A992" s="5"/>
      <c r="B992" s="5"/>
      <c r="C992" s="4"/>
      <c r="D992" s="4"/>
      <c r="E992" s="4"/>
      <c r="F992" s="4"/>
      <c r="G992" s="4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</row>
    <row r="993" spans="1:37" s="37" customFormat="1" x14ac:dyDescent="0.3">
      <c r="A993" s="5"/>
      <c r="B993" s="5"/>
      <c r="C993" s="4"/>
      <c r="D993" s="4"/>
      <c r="E993" s="4"/>
      <c r="F993" s="4"/>
      <c r="G993" s="4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</row>
    <row r="994" spans="1:37" s="37" customFormat="1" x14ac:dyDescent="0.3">
      <c r="A994" s="5"/>
      <c r="B994" s="5"/>
      <c r="C994" s="4"/>
      <c r="D994" s="4"/>
      <c r="E994" s="4"/>
      <c r="F994" s="4"/>
      <c r="G994" s="4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</row>
    <row r="995" spans="1:37" s="37" customFormat="1" x14ac:dyDescent="0.3">
      <c r="A995" s="5"/>
      <c r="B995" s="5"/>
      <c r="C995" s="4"/>
      <c r="D995" s="4"/>
      <c r="E995" s="4"/>
      <c r="F995" s="4"/>
      <c r="G995" s="4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</row>
    <row r="996" spans="1:37" s="37" customFormat="1" x14ac:dyDescent="0.3">
      <c r="A996" s="5"/>
      <c r="B996" s="5"/>
      <c r="C996" s="4"/>
      <c r="D996" s="4"/>
      <c r="E996" s="4"/>
      <c r="F996" s="4"/>
      <c r="G996" s="4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</row>
    <row r="997" spans="1:37" s="37" customFormat="1" x14ac:dyDescent="0.3">
      <c r="A997" s="5"/>
      <c r="B997" s="5"/>
      <c r="C997" s="4"/>
      <c r="D997" s="4"/>
      <c r="E997" s="4"/>
      <c r="F997" s="4"/>
      <c r="G997" s="4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</row>
    <row r="998" spans="1:37" s="37" customFormat="1" x14ac:dyDescent="0.3">
      <c r="A998" s="5"/>
      <c r="B998" s="5"/>
      <c r="C998" s="4"/>
      <c r="D998" s="4"/>
      <c r="E998" s="4"/>
      <c r="F998" s="4"/>
      <c r="G998" s="4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</row>
    <row r="1233" spans="32:33" x14ac:dyDescent="0.3">
      <c r="AF1233" s="38"/>
      <c r="AG1233" s="38"/>
    </row>
    <row r="1234" spans="32:33" ht="13.15" customHeight="1" x14ac:dyDescent="0.3"/>
    <row r="1270" spans="34:35" x14ac:dyDescent="0.3">
      <c r="AH1270" s="38"/>
      <c r="AI1270" s="38"/>
    </row>
    <row r="1297" spans="36:37" x14ac:dyDescent="0.3">
      <c r="AJ1297" s="38"/>
      <c r="AK1297" s="38"/>
    </row>
    <row r="1371" spans="1:37" s="38" customFormat="1" x14ac:dyDescent="0.3">
      <c r="A1371" s="5"/>
      <c r="B1371" s="5"/>
      <c r="C1371" s="4"/>
      <c r="D1371" s="4"/>
      <c r="E1371" s="4"/>
      <c r="F1371" s="4"/>
      <c r="G1371" s="4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</row>
  </sheetData>
  <mergeCells count="295">
    <mergeCell ref="F43:T43"/>
    <mergeCell ref="U43:AB43"/>
    <mergeCell ref="F44:T44"/>
    <mergeCell ref="U44:AB44"/>
    <mergeCell ref="F45:T45"/>
    <mergeCell ref="U45:AB45"/>
    <mergeCell ref="B51:B53"/>
    <mergeCell ref="B45:B50"/>
    <mergeCell ref="B43:B44"/>
    <mergeCell ref="F41:T41"/>
    <mergeCell ref="U41:AB41"/>
    <mergeCell ref="F42:T42"/>
    <mergeCell ref="U42:AB42"/>
    <mergeCell ref="F50:T50"/>
    <mergeCell ref="U50:AB50"/>
    <mergeCell ref="F51:T51"/>
    <mergeCell ref="U51:AB51"/>
    <mergeCell ref="F46:T46"/>
    <mergeCell ref="U46:AB46"/>
    <mergeCell ref="F47:T47"/>
    <mergeCell ref="U47:AB47"/>
    <mergeCell ref="F48:T48"/>
    <mergeCell ref="U48:AB48"/>
    <mergeCell ref="F49:T49"/>
    <mergeCell ref="U49:AB49"/>
    <mergeCell ref="F56:T56"/>
    <mergeCell ref="U56:AB56"/>
    <mergeCell ref="F57:T57"/>
    <mergeCell ref="U57:AB57"/>
    <mergeCell ref="F58:T58"/>
    <mergeCell ref="U58:AB58"/>
    <mergeCell ref="F59:T59"/>
    <mergeCell ref="U59:AB59"/>
    <mergeCell ref="F52:T52"/>
    <mergeCell ref="U52:AB52"/>
    <mergeCell ref="F53:T53"/>
    <mergeCell ref="U53:AB53"/>
    <mergeCell ref="F54:T54"/>
    <mergeCell ref="U54:AB54"/>
    <mergeCell ref="F55:T55"/>
    <mergeCell ref="U55:AB55"/>
    <mergeCell ref="F67:T67"/>
    <mergeCell ref="F60:T60"/>
    <mergeCell ref="U60:AB60"/>
    <mergeCell ref="F61:T61"/>
    <mergeCell ref="U61:AB61"/>
    <mergeCell ref="F62:T62"/>
    <mergeCell ref="U62:AB62"/>
    <mergeCell ref="F63:T63"/>
    <mergeCell ref="U63:AB63"/>
    <mergeCell ref="U66:AB67"/>
    <mergeCell ref="A21:B21"/>
    <mergeCell ref="AH21:AH24"/>
    <mergeCell ref="AI21:AI22"/>
    <mergeCell ref="AJ21:AJ24"/>
    <mergeCell ref="A22:B22"/>
    <mergeCell ref="A23:B23"/>
    <mergeCell ref="A24:B24"/>
    <mergeCell ref="F72:T72"/>
    <mergeCell ref="U72:AB72"/>
    <mergeCell ref="AI36:AJ36"/>
    <mergeCell ref="C39:C40"/>
    <mergeCell ref="D39:E40"/>
    <mergeCell ref="F39:T40"/>
    <mergeCell ref="U39:AB40"/>
    <mergeCell ref="AC39:AH40"/>
    <mergeCell ref="F68:T68"/>
    <mergeCell ref="U68:AB68"/>
    <mergeCell ref="F69:T69"/>
    <mergeCell ref="U69:AB69"/>
    <mergeCell ref="F70:T70"/>
    <mergeCell ref="U70:AB70"/>
    <mergeCell ref="F71:T71"/>
    <mergeCell ref="U71:AB71"/>
    <mergeCell ref="F64:T64"/>
    <mergeCell ref="A25:B25"/>
    <mergeCell ref="A26:B26"/>
    <mergeCell ref="A27:B27"/>
    <mergeCell ref="A28:B28"/>
    <mergeCell ref="A29:B29"/>
    <mergeCell ref="A30:B30"/>
    <mergeCell ref="A39:A40"/>
    <mergeCell ref="B39:B40"/>
    <mergeCell ref="B117:B118"/>
    <mergeCell ref="B112:B116"/>
    <mergeCell ref="B84:B85"/>
    <mergeCell ref="B81:B83"/>
    <mergeCell ref="B106:B111"/>
    <mergeCell ref="B101:B104"/>
    <mergeCell ref="B98:B100"/>
    <mergeCell ref="B76:B80"/>
    <mergeCell ref="B71:B75"/>
    <mergeCell ref="B64:B70"/>
    <mergeCell ref="B60:B63"/>
    <mergeCell ref="B57:B58"/>
    <mergeCell ref="B54:B56"/>
    <mergeCell ref="B41:B42"/>
    <mergeCell ref="F75:T75"/>
    <mergeCell ref="U75:AB75"/>
    <mergeCell ref="F76:T76"/>
    <mergeCell ref="U76:AB76"/>
    <mergeCell ref="F77:T77"/>
    <mergeCell ref="U77:AB77"/>
    <mergeCell ref="B153:B156"/>
    <mergeCell ref="A31:B31"/>
    <mergeCell ref="A32:B32"/>
    <mergeCell ref="A33:B33"/>
    <mergeCell ref="A34:B34"/>
    <mergeCell ref="A35:B35"/>
    <mergeCell ref="A36:B36"/>
    <mergeCell ref="F73:T73"/>
    <mergeCell ref="U73:AB73"/>
    <mergeCell ref="F74:T74"/>
    <mergeCell ref="U74:AB74"/>
    <mergeCell ref="F78:T78"/>
    <mergeCell ref="U78:AB78"/>
    <mergeCell ref="U64:AB64"/>
    <mergeCell ref="F65:T65"/>
    <mergeCell ref="U65:AB65"/>
    <mergeCell ref="F66:T66"/>
    <mergeCell ref="F81:T81"/>
    <mergeCell ref="U81:AB81"/>
    <mergeCell ref="F82:T82"/>
    <mergeCell ref="U82:AB82"/>
    <mergeCell ref="F83:T83"/>
    <mergeCell ref="U83:AB83"/>
    <mergeCell ref="F79:T79"/>
    <mergeCell ref="F80:T80"/>
    <mergeCell ref="U79:AB80"/>
    <mergeCell ref="F88:T88"/>
    <mergeCell ref="U88:AB88"/>
    <mergeCell ref="F89:T89"/>
    <mergeCell ref="U89:AB89"/>
    <mergeCell ref="F90:T90"/>
    <mergeCell ref="U90:AB90"/>
    <mergeCell ref="F91:T91"/>
    <mergeCell ref="U91:AB91"/>
    <mergeCell ref="F84:T84"/>
    <mergeCell ref="U84:AB84"/>
    <mergeCell ref="F85:T85"/>
    <mergeCell ref="U85:AB85"/>
    <mergeCell ref="U86:AB86"/>
    <mergeCell ref="F87:T87"/>
    <mergeCell ref="U87:AB87"/>
    <mergeCell ref="F96:T96"/>
    <mergeCell ref="U96:AB96"/>
    <mergeCell ref="U97:AB97"/>
    <mergeCell ref="U98:AB98"/>
    <mergeCell ref="F92:T92"/>
    <mergeCell ref="U92:AB92"/>
    <mergeCell ref="F93:T93"/>
    <mergeCell ref="U93:AB93"/>
    <mergeCell ref="F94:T94"/>
    <mergeCell ref="U94:AB94"/>
    <mergeCell ref="F95:T95"/>
    <mergeCell ref="U95:AB95"/>
    <mergeCell ref="F103:T103"/>
    <mergeCell ref="U103:AB103"/>
    <mergeCell ref="F104:T104"/>
    <mergeCell ref="U104:AB104"/>
    <mergeCell ref="F105:T105"/>
    <mergeCell ref="U105:AB105"/>
    <mergeCell ref="F106:T106"/>
    <mergeCell ref="U106:AB106"/>
    <mergeCell ref="U99:AB99"/>
    <mergeCell ref="F100:T100"/>
    <mergeCell ref="U100:AB100"/>
    <mergeCell ref="U101:AB101"/>
    <mergeCell ref="U102:AB102"/>
    <mergeCell ref="F117:T117"/>
    <mergeCell ref="U117:AB117"/>
    <mergeCell ref="F118:T118"/>
    <mergeCell ref="F107:T107"/>
    <mergeCell ref="U107:AB107"/>
    <mergeCell ref="F108:T108"/>
    <mergeCell ref="U108:AB108"/>
    <mergeCell ref="F109:T109"/>
    <mergeCell ref="U109:AB109"/>
    <mergeCell ref="F115:T115"/>
    <mergeCell ref="U115:AB115"/>
    <mergeCell ref="F116:T116"/>
    <mergeCell ref="U116:AB116"/>
    <mergeCell ref="F110:T110"/>
    <mergeCell ref="U110:AB110"/>
    <mergeCell ref="F111:T111"/>
    <mergeCell ref="U111:AB111"/>
    <mergeCell ref="F112:T112"/>
    <mergeCell ref="U112:AB112"/>
    <mergeCell ref="F113:T113"/>
    <mergeCell ref="U113:AB113"/>
    <mergeCell ref="F114:T114"/>
    <mergeCell ref="U114:AB114"/>
    <mergeCell ref="U119:AB119"/>
    <mergeCell ref="AC126:AH126"/>
    <mergeCell ref="F127:T127"/>
    <mergeCell ref="U127:AB127"/>
    <mergeCell ref="AC127:AH127"/>
    <mergeCell ref="F128:T128"/>
    <mergeCell ref="U128:AB128"/>
    <mergeCell ref="AC128:AH128"/>
    <mergeCell ref="F124:T124"/>
    <mergeCell ref="U124:AB124"/>
    <mergeCell ref="F125:T125"/>
    <mergeCell ref="U125:AB125"/>
    <mergeCell ref="F126:T126"/>
    <mergeCell ref="U126:AB126"/>
    <mergeCell ref="F123:T123"/>
    <mergeCell ref="F122:T122"/>
    <mergeCell ref="U122:AB122"/>
    <mergeCell ref="F120:T120"/>
    <mergeCell ref="U120:AB120"/>
    <mergeCell ref="F121:T121"/>
    <mergeCell ref="U121:AB121"/>
    <mergeCell ref="AC130:AH130"/>
    <mergeCell ref="F131:T131"/>
    <mergeCell ref="U131:AB131"/>
    <mergeCell ref="AC131:AH131"/>
    <mergeCell ref="F129:T129"/>
    <mergeCell ref="U129:AB129"/>
    <mergeCell ref="AC129:AH129"/>
    <mergeCell ref="F130:T130"/>
    <mergeCell ref="U130:AB130"/>
    <mergeCell ref="AC149:AH149"/>
    <mergeCell ref="F146:T146"/>
    <mergeCell ref="U146:AB146"/>
    <mergeCell ref="AC146:AH146"/>
    <mergeCell ref="F147:T147"/>
    <mergeCell ref="U147:AB147"/>
    <mergeCell ref="AC147:AH147"/>
    <mergeCell ref="F148:T148"/>
    <mergeCell ref="U148:AB148"/>
    <mergeCell ref="AC148:AH148"/>
    <mergeCell ref="AC158:AH158"/>
    <mergeCell ref="F156:T156"/>
    <mergeCell ref="U156:AB156"/>
    <mergeCell ref="AC156:AH156"/>
    <mergeCell ref="F157:T157"/>
    <mergeCell ref="U157:AB157"/>
    <mergeCell ref="AC157:AH157"/>
    <mergeCell ref="F153:T153"/>
    <mergeCell ref="U153:AB153"/>
    <mergeCell ref="F154:T154"/>
    <mergeCell ref="U154:AB154"/>
    <mergeCell ref="F155:T155"/>
    <mergeCell ref="U155:AB155"/>
    <mergeCell ref="F158:T158"/>
    <mergeCell ref="U158:AB158"/>
    <mergeCell ref="F151:T151"/>
    <mergeCell ref="U151:AB151"/>
    <mergeCell ref="F152:T152"/>
    <mergeCell ref="U152:AB152"/>
    <mergeCell ref="F149:T149"/>
    <mergeCell ref="U149:AB149"/>
    <mergeCell ref="B119:B123"/>
    <mergeCell ref="U123:AB123"/>
    <mergeCell ref="B146:B152"/>
    <mergeCell ref="B142:B145"/>
    <mergeCell ref="B138:B141"/>
    <mergeCell ref="B131:B137"/>
    <mergeCell ref="B129:B130"/>
    <mergeCell ref="B124:B128"/>
    <mergeCell ref="F142:T142"/>
    <mergeCell ref="U142:AB142"/>
    <mergeCell ref="F143:T143"/>
    <mergeCell ref="U143:AB143"/>
    <mergeCell ref="F144:T144"/>
    <mergeCell ref="U144:AB144"/>
    <mergeCell ref="F145:T145"/>
    <mergeCell ref="U145:AB145"/>
    <mergeCell ref="F137:T137"/>
    <mergeCell ref="U137:AB137"/>
    <mergeCell ref="F141:T141"/>
    <mergeCell ref="U141:AB141"/>
    <mergeCell ref="F138:T138"/>
    <mergeCell ref="U138:AB138"/>
    <mergeCell ref="F139:T139"/>
    <mergeCell ref="U139:AB139"/>
    <mergeCell ref="B93:B97"/>
    <mergeCell ref="B86:B92"/>
    <mergeCell ref="F150:T150"/>
    <mergeCell ref="U150:AB150"/>
    <mergeCell ref="F140:T140"/>
    <mergeCell ref="U140:AB140"/>
    <mergeCell ref="F132:T132"/>
    <mergeCell ref="U132:AB132"/>
    <mergeCell ref="F133:T133"/>
    <mergeCell ref="U133:AB133"/>
    <mergeCell ref="F134:T134"/>
    <mergeCell ref="U134:AB134"/>
    <mergeCell ref="F135:T135"/>
    <mergeCell ref="U135:AB135"/>
    <mergeCell ref="F136:T136"/>
    <mergeCell ref="U136:AB136"/>
    <mergeCell ref="U118:AB118"/>
    <mergeCell ref="F119:T119"/>
  </mergeCells>
  <phoneticPr fontId="1" type="noConversion"/>
  <pageMargins left="0.7" right="0.7" top="0.75" bottom="0.75" header="0.3" footer="0.3"/>
  <pageSetup orientation="portrait" horizontalDpi="360" verticalDpi="360" copies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#SLH1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건희 조</dc:creator>
  <cp:lastModifiedBy>건희 조</cp:lastModifiedBy>
  <dcterms:created xsi:type="dcterms:W3CDTF">2025-10-10T00:24:13Z</dcterms:created>
  <dcterms:modified xsi:type="dcterms:W3CDTF">2025-11-03T10:37:55Z</dcterms:modified>
</cp:coreProperties>
</file>
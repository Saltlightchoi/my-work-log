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0.100\500 생산\550 국내CS\우익장비가동데이터\SLH1 #1(W402)\"/>
    </mc:Choice>
  </mc:AlternateContent>
  <xr:revisionPtr revIDLastSave="0" documentId="13_ncr:1_{91CDA313-5763-4A5A-AA19-64FED8D8B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" i="2" l="1"/>
  <c r="X59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2" i="2"/>
  <c r="F43" i="2"/>
  <c r="F44" i="2"/>
  <c r="X83" i="2"/>
  <c r="X82" i="2"/>
  <c r="X81" i="2"/>
  <c r="X80" i="2"/>
  <c r="X84" i="2"/>
  <c r="X79" i="2"/>
  <c r="X78" i="2"/>
  <c r="X77" i="2"/>
  <c r="X76" i="2"/>
  <c r="X75" i="2"/>
  <c r="F84" i="2"/>
  <c r="F83" i="2"/>
  <c r="F82" i="2"/>
  <c r="F81" i="2"/>
  <c r="F80" i="2"/>
  <c r="F79" i="2"/>
  <c r="F78" i="2"/>
  <c r="F77" i="2"/>
  <c r="F76" i="2"/>
  <c r="F75" i="2"/>
  <c r="X85" i="2"/>
  <c r="X86" i="2"/>
  <c r="X87" i="2"/>
  <c r="X88" i="2"/>
  <c r="F85" i="2"/>
  <c r="F86" i="2"/>
  <c r="F87" i="2"/>
  <c r="F88" i="2"/>
  <c r="X89" i="2" l="1"/>
  <c r="X90" i="2"/>
  <c r="X91" i="2"/>
  <c r="X92" i="2"/>
  <c r="X93" i="2"/>
  <c r="X94" i="2"/>
  <c r="X95" i="2"/>
  <c r="X96" i="2"/>
  <c r="F95" i="2"/>
  <c r="F89" i="2"/>
  <c r="F90" i="2"/>
  <c r="F91" i="2"/>
  <c r="F92" i="2"/>
  <c r="F93" i="2"/>
  <c r="F94" i="2"/>
  <c r="F96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C25" i="2" s="1"/>
  <c r="AD23" i="2"/>
  <c r="AD25" i="2" s="1"/>
  <c r="AE23" i="2"/>
  <c r="AE25" i="2" s="1"/>
  <c r="AF23" i="2"/>
  <c r="AF25" i="2" s="1"/>
  <c r="I23" i="2"/>
  <c r="J23" i="2"/>
  <c r="K23" i="2"/>
  <c r="L23" i="2"/>
  <c r="M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X99" i="2"/>
  <c r="F99" i="2"/>
  <c r="X98" i="2"/>
  <c r="F98" i="2"/>
  <c r="X97" i="2"/>
  <c r="F97" i="2"/>
  <c r="P25" i="2" l="1"/>
  <c r="X25" i="2"/>
  <c r="S25" i="2"/>
  <c r="Y25" i="2"/>
  <c r="R25" i="2"/>
  <c r="K25" i="2"/>
  <c r="AB25" i="2"/>
  <c r="T25" i="2"/>
  <c r="O25" i="2"/>
  <c r="W25" i="2"/>
  <c r="Z25" i="2"/>
  <c r="I25" i="2"/>
  <c r="U25" i="2"/>
  <c r="V25" i="2"/>
  <c r="L25" i="2"/>
  <c r="Q25" i="2"/>
  <c r="J25" i="2"/>
  <c r="AA25" i="2"/>
  <c r="N25" i="2"/>
  <c r="M25" i="2"/>
  <c r="C37" i="2"/>
  <c r="AG23" i="2" l="1"/>
  <c r="AG25" i="2" s="1"/>
  <c r="R37" i="2" l="1"/>
  <c r="H24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G24" i="2"/>
  <c r="F24" i="2"/>
  <c r="E24" i="2"/>
  <c r="D24" i="2"/>
  <c r="C24" i="2"/>
  <c r="C23" i="2"/>
  <c r="D23" i="2"/>
  <c r="E23" i="2"/>
  <c r="F23" i="2"/>
  <c r="G23" i="2"/>
  <c r="H23" i="2"/>
  <c r="F25" i="2" l="1"/>
  <c r="C25" i="2"/>
  <c r="D25" i="2"/>
  <c r="E25" i="2"/>
  <c r="G25" i="2"/>
  <c r="H25" i="2"/>
  <c r="AH24" i="2"/>
  <c r="AI32" i="2" s="1"/>
  <c r="AH37" i="2"/>
  <c r="AH36" i="2"/>
  <c r="X47" i="2"/>
  <c r="X46" i="2"/>
  <c r="X45" i="2"/>
  <c r="X44" i="2"/>
  <c r="X43" i="2"/>
  <c r="X42" i="2"/>
  <c r="AI36" i="2" l="1"/>
  <c r="AI30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<sst xmlns="http://schemas.openxmlformats.org/spreadsheetml/2006/main" count="4706" uniqueCount="2338">
  <si>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</si>
  <si>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</si>
  <si>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</si>
  <si>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</si>
  <si>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</si>
  <si>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</si>
  <si>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</si>
  <si>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</si>
  <si>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</si>
  <si>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</si>
  <si>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</si>
  <si>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</si>
  <si>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</si>
  <si>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</si>
  <si>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</si>
  <si>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</si>
  <si>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</si>
  <si>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</si>
  <si>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</si>
  <si>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</si>
  <si>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</si>
  <si>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</si>
  <si>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</si>
  <si>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</si>
  <si>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</si>
  <si>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</si>
  <si>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</si>
  <si>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</si>
  <si>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</si>
  <si>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</si>
  <si>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</si>
  <si>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</si>
  <si>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</si>
  <si>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</si>
  <si>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</si>
  <si>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</si>
  <si>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</si>
  <si>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</si>
  <si>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</si>
  <si>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</si>
  <si>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</si>
  <si>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</si>
  <si>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</si>
  <si>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</si>
  <si>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</si>
  <si>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</si>
  <si>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</si>
  <si>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</si>
  <si>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</si>
  <si>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</si>
  <si>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</si>
  <si>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</si>
  <si>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</si>
  <si>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</si>
  <si>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</si>
  <si>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</si>
  <si>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</si>
  <si>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</si>
  <si>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</si>
  <si>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</si>
  <si>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</si>
  <si>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</si>
  <si>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</si>
  <si>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</si>
  <si>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</si>
  <si>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</si>
  <si>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</si>
  <si>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</si>
  <si>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</si>
  <si>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</si>
  <si>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</si>
  <si>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</si>
  <si>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</si>
  <si>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</si>
  <si>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</si>
  <si>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</si>
  <si>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</si>
  <si>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</si>
  <si>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</si>
  <si>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</si>
  <si>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</si>
  <si>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</si>
  <si>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</si>
  <si>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</si>
  <si>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</si>
  <si>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</si>
  <si>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</si>
  <si>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</si>
  <si>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</si>
  <si>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</si>
  <si>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</si>
  <si>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</si>
  <si>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</si>
  <si>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</si>
  <si>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</si>
  <si>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</si>
  <si>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</si>
  <si>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</si>
  <si>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</si>
  <si>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</si>
  <si>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</si>
  <si>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</si>
  <si>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</si>
  <si>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</si>
  <si>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</si>
  <si>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</si>
  <si>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</si>
  <si>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</si>
  <si>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</si>
  <si>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</si>
  <si>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</si>
  <si>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</si>
  <si>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</si>
  <si>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</si>
  <si>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</si>
  <si>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</si>
  <si>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</si>
  <si>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</si>
  <si>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</si>
  <si>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</si>
  <si>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</si>
  <si>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</si>
  <si>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</si>
  <si>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</si>
  <si>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</si>
  <si>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</si>
  <si>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</si>
  <si>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</si>
  <si>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</si>
  <si>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</si>
  <si>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</si>
  <si>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</si>
  <si>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</si>
  <si>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</si>
  <si>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</si>
  <si>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</si>
  <si>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</si>
  <si>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</si>
  <si>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</si>
  <si>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</si>
  <si>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</si>
  <si>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</si>
  <si>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</si>
  <si>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</si>
  <si>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</si>
  <si>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</si>
  <si>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</si>
  <si>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</si>
  <si>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</si>
  <si>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</si>
  <si>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</si>
  <si>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</si>
  <si>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</si>
  <si>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</si>
  <si>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</si>
  <si>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</si>
  <si>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</si>
  <si>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</si>
  <si>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</si>
  <si>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</si>
  <si>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</si>
  <si>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</si>
  <si>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</si>
  <si>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</si>
  <si>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</si>
  <si>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</si>
  <si>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</si>
  <si>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</si>
  <si>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</si>
  <si>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</si>
  <si>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</si>
  <si>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</si>
  <si>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</si>
  <si>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</si>
  <si>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</si>
  <si>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</si>
  <si>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</si>
  <si>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</si>
  <si>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</si>
  <si>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</si>
  <si>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</si>
  <si>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</si>
  <si>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</si>
  <si>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</si>
  <si>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</si>
  <si>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</si>
  <si>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</si>
  <si>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</si>
  <si>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</si>
  <si>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</si>
  <si>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</si>
  <si>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</si>
  <si>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</si>
  <si>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</si>
  <si>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</si>
  <si>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</si>
  <si>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</si>
  <si>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</si>
  <si>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</si>
  <si>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</si>
  <si>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</si>
  <si>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</si>
  <si>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</si>
  <si>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</si>
  <si>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</si>
  <si>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</si>
  <si>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</si>
  <si>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</si>
  <si>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</si>
  <si>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</si>
  <si>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</si>
  <si>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</si>
  <si>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</si>
  <si>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</si>
  <si>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</si>
  <si>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</si>
  <si>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</si>
  <si>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</si>
  <si>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</si>
  <si>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</si>
  <si>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</si>
  <si>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</si>
  <si>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</si>
  <si>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</si>
  <si>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</si>
  <si>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</si>
  <si>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</si>
  <si>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</si>
  <si>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</si>
  <si>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</si>
  <si>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</si>
  <si>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</si>
  <si>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</si>
  <si>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</si>
  <si>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</si>
  <si>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</si>
  <si>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</si>
  <si>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</si>
  <si>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</si>
  <si>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</si>
  <si>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</si>
  <si>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</si>
  <si>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</si>
  <si>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</si>
  <si>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</si>
  <si>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</si>
  <si>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</si>
  <si>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</si>
  <si>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</si>
  <si>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</si>
  <si>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</si>
  <si>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</si>
  <si>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</si>
  <si>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</si>
  <si>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</si>
  <si>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</si>
  <si>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</si>
  <si>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</si>
  <si>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</si>
  <si>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</si>
  <si>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</si>
  <si>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</si>
  <si>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</si>
  <si>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</si>
  <si>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</si>
  <si>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</si>
  <si>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</si>
  <si>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</si>
  <si>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</si>
  <si>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</si>
  <si>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</si>
  <si>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</si>
  <si>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</si>
  <si>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</si>
  <si>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</si>
  <si>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</si>
  <si>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</si>
  <si>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</si>
  <si>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</si>
  <si>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</si>
  <si>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</si>
  <si>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</si>
  <si>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</si>
  <si>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</si>
  <si>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</si>
  <si>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</si>
  <si>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</si>
  <si>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</si>
  <si>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</si>
  <si>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</si>
  <si>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</si>
  <si>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</si>
  <si>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</si>
  <si>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</si>
  <si>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</si>
  <si>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</si>
  <si>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</si>
  <si>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</si>
  <si>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</si>
  <si>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</si>
  <si>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</si>
  <si>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</si>
  <si>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</si>
  <si>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</si>
  <si>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</si>
  <si>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</si>
  <si>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</si>
  <si>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</si>
  <si>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</si>
  <si>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</si>
  <si>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</si>
  <si>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</si>
  <si>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</si>
  <si>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</si>
  <si>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</si>
  <si>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</si>
  <si>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</si>
  <si>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</si>
  <si>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</si>
  <si>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</si>
  <si>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</si>
  <si>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</si>
  <si>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</si>
  <si>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</si>
  <si>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</si>
  <si>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</si>
  <si>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</si>
  <si>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</si>
  <si>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</si>
  <si>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</si>
  <si>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</si>
  <si>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</si>
  <si>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</si>
  <si>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</si>
  <si>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</si>
  <si>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</si>
  <si>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</si>
  <si>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</si>
  <si>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</si>
  <si>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</si>
  <si>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</si>
  <si>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</si>
  <si>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</si>
  <si>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</si>
  <si>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</si>
  <si>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</si>
  <si>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</si>
  <si>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</si>
  <si>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</si>
  <si>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</si>
  <si>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</si>
  <si>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</si>
  <si>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</si>
  <si>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</si>
  <si>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</si>
  <si>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</si>
  <si>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</si>
  <si>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</si>
  <si>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</si>
  <si>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</si>
  <si>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</si>
  <si>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</si>
  <si>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</si>
  <si>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</si>
  <si>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</si>
  <si>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</si>
  <si>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</si>
  <si>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</si>
  <si>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</si>
  <si>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</si>
  <si>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</si>
  <si>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</si>
  <si>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</si>
  <si>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</si>
  <si>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</si>
  <si>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</si>
  <si>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</si>
  <si>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</si>
  <si>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</si>
  <si>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</si>
  <si>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</si>
  <si>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</si>
  <si>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</si>
  <si>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</si>
  <si>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</si>
  <si>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</si>
  <si>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</si>
  <si>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</si>
  <si>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</si>
  <si>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</si>
  <si>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</si>
  <si>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</si>
  <si>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</si>
  <si>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</si>
  <si>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</si>
  <si>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</si>
  <si>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</si>
  <si>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</si>
  <si>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</si>
  <si>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</si>
  <si>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</si>
  <si>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</si>
  <si>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</si>
  <si>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</si>
  <si>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</si>
  <si>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</si>
  <si>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</si>
  <si>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</si>
  <si>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</si>
  <si>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</si>
  <si>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</si>
  <si>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</si>
  <si>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</si>
  <si>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</si>
  <si>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</si>
  <si>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</si>
  <si>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</si>
  <si>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</si>
  <si>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</si>
  <si>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</si>
  <si>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</si>
  <si>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</si>
  <si>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</si>
  <si>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</si>
  <si>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</si>
  <si>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</si>
  <si>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</si>
  <si>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</si>
  <si>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</si>
  <si>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</si>
  <si>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</si>
  <si>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</si>
  <si>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</si>
  <si>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</si>
  <si>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</si>
  <si>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</si>
  <si>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</si>
  <si>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</si>
  <si>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</si>
  <si>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</si>
  <si>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</si>
  <si>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</si>
  <si>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</si>
  <si>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</si>
  <si>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</si>
  <si>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</si>
  <si>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</si>
  <si>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</si>
  <si>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</si>
  <si>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</si>
  <si>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</si>
  <si>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</si>
  <si>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</si>
  <si>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</si>
  <si>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</si>
  <si>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</si>
  <si>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</si>
  <si>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</si>
  <si>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</si>
  <si>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</si>
  <si>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</si>
  <si>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</si>
  <si>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</si>
  <si>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</si>
  <si>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</si>
  <si>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</si>
  <si>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</si>
  <si>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</si>
  <si>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</si>
  <si>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</si>
  <si>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</si>
  <si>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</si>
  <si>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</si>
  <si>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</si>
  <si>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</si>
  <si>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</si>
  <si>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</si>
  <si>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</si>
  <si>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</si>
  <si>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</si>
  <si>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</si>
  <si>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</si>
  <si>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</si>
  <si>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</si>
  <si>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</si>
  <si>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</si>
  <si>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</si>
  <si>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</si>
  <si>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</si>
  <si>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</si>
  <si>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</si>
  <si>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</si>
  <si>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</si>
  <si>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</si>
  <si>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</si>
  <si>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</si>
  <si>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</si>
  <si>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</si>
  <si>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</si>
  <si>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</si>
  <si>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</si>
  <si>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</si>
  <si>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</si>
  <si>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</si>
  <si>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</si>
  <si>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</si>
  <si>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</si>
  <si>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</si>
  <si>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</si>
  <si>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</si>
  <si>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</si>
  <si>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</si>
  <si>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</si>
  <si>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</si>
  <si>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</si>
  <si>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</si>
  <si>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</si>
  <si>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</si>
  <si>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</si>
  <si>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</si>
  <si>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</si>
  <si>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</si>
  <si>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</si>
  <si>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</si>
  <si>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</si>
  <si>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</si>
  <si>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</si>
  <si>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</si>
  <si>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</si>
  <si>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</si>
  <si>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</si>
  <si>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</si>
  <si>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</si>
  <si>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</si>
  <si>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</si>
  <si>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</si>
  <si>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</si>
  <si>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</si>
  <si>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</si>
  <si>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</si>
  <si>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</si>
  <si>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</si>
  <si>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</si>
  <si>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</si>
  <si>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</si>
  <si>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</si>
  <si>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</si>
  <si>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</si>
  <si>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</si>
  <si>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</si>
  <si>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</si>
  <si>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</si>
  <si>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</si>
  <si>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</si>
  <si>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</si>
  <si>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</si>
  <si>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</si>
  <si>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</si>
  <si>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</si>
  <si>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</si>
  <si>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</si>
  <si>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</si>
  <si>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</si>
  <si>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</si>
  <si>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</si>
  <si>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</si>
  <si>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</si>
  <si>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</si>
  <si>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</si>
  <si>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</si>
  <si>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</si>
  <si>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</si>
  <si>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</si>
  <si>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</si>
  <si>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</si>
  <si>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</si>
  <si>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</si>
  <si>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</si>
  <si>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</si>
  <si>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</si>
  <si>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</si>
  <si>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</si>
  <si>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</si>
  <si>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</si>
  <si>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</si>
  <si>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</si>
  <si>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</si>
  <si>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</si>
  <si>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</si>
  <si>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</si>
  <si>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</si>
  <si>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</si>
  <si>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</si>
  <si>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</si>
  <si>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</si>
  <si>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</si>
  <si>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</si>
  <si>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</si>
  <si>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</si>
  <si>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</si>
  <si>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</si>
  <si>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</si>
  <si>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</si>
  <si>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</si>
  <si>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</si>
  <si>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</si>
  <si>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</si>
  <si>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</si>
  <si>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</si>
  <si>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</si>
  <si>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</si>
  <si>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</si>
  <si>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</si>
  <si>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</si>
  <si>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</si>
  <si>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</si>
  <si>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</si>
  <si>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</si>
  <si>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</si>
  <si>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</si>
  <si>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</si>
  <si>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</si>
  <si>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</si>
  <si>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</si>
  <si>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</si>
  <si>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</si>
  <si>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</si>
  <si>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</si>
  <si>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</si>
  <si>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</si>
  <si>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</si>
  <si>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</si>
  <si>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</si>
  <si>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</si>
  <si>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</si>
  <si>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</si>
  <si>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</si>
  <si>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</si>
  <si>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</si>
  <si>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</si>
  <si>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</si>
  <si>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</si>
  <si>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</si>
  <si>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</si>
  <si>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</si>
  <si>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</si>
  <si>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</si>
  <si>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</si>
  <si>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</si>
  <si>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</si>
  <si>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</si>
  <si>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</si>
  <si>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</si>
  <si>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</si>
  <si>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</si>
  <si>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</si>
  <si>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</si>
  <si>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</si>
  <si>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</si>
  <si>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</si>
  <si>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</si>
  <si>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</si>
  <si>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</si>
  <si>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</si>
  <si>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</si>
  <si>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</si>
  <si>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</si>
  <si>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</si>
  <si>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</si>
  <si>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</si>
  <si>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</si>
  <si>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</si>
  <si>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</si>
  <si>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</si>
  <si>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</si>
  <si>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</si>
  <si>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</si>
  <si>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</si>
  <si>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</si>
  <si>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</si>
  <si>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</si>
  <si>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</si>
  <si>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</si>
  <si>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</si>
  <si>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</si>
  <si>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</si>
  <si>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</si>
  <si>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</si>
  <si>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</si>
  <si>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</si>
  <si>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</si>
  <si>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</si>
  <si>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</si>
  <si>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</si>
  <si>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</si>
  <si>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</si>
  <si>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</si>
  <si>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</si>
  <si>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</si>
  <si>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</si>
  <si>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</si>
  <si>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</si>
  <si>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</si>
  <si>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</si>
  <si>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</si>
  <si>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</si>
  <si>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</si>
  <si>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</si>
  <si>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</si>
  <si>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</si>
  <si>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</si>
  <si>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</si>
  <si>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</si>
  <si>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</si>
  <si>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</si>
  <si>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</si>
  <si>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</si>
  <si>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</si>
  <si>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</si>
  <si>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</si>
  <si>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</si>
  <si>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</si>
  <si>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</si>
  <si>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</si>
  <si>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</si>
  <si>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</si>
  <si>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</si>
  <si>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</si>
  <si>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</si>
  <si>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</si>
  <si>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</si>
  <si>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</si>
  <si>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</si>
  <si>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</si>
  <si>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</si>
  <si>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</si>
  <si>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</si>
  <si>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</si>
  <si>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</si>
  <si>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</si>
  <si>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</si>
  <si>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</si>
  <si>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</si>
  <si>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</si>
  <si>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</si>
  <si>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</si>
  <si>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</si>
  <si>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</si>
  <si>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</si>
  <si>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</si>
  <si>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</si>
  <si>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</si>
  <si>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</si>
  <si>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</si>
  <si>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</si>
  <si>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</si>
  <si>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</si>
  <si>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</si>
  <si>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</si>
  <si>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</si>
  <si>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</si>
  <si>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</si>
  <si>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</si>
  <si>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</si>
  <si>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</si>
  <si>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</si>
  <si>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</si>
  <si>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</si>
  <si>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</si>
  <si>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</si>
  <si>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</si>
  <si>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</si>
  <si>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</si>
  <si>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</si>
  <si>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</si>
  <si>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</si>
  <si>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</si>
  <si>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</si>
  <si>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</si>
  <si>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</si>
  <si>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</si>
  <si>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</si>
  <si>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</si>
  <si>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</si>
  <si>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</si>
  <si>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</si>
  <si>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</si>
  <si>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</si>
  <si>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</si>
  <si>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</si>
  <si>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</si>
  <si>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</si>
  <si>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</si>
  <si>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</si>
  <si>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</si>
  <si>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</si>
  <si>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</si>
  <si>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</si>
  <si>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</si>
  <si>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</si>
  <si>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</si>
  <si>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</si>
  <si>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</si>
  <si>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</si>
  <si>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</si>
  <si>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</si>
  <si>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</si>
  <si>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</si>
  <si>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</si>
  <si>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</si>
  <si>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</si>
  <si>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</si>
  <si>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</si>
  <si>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</si>
  <si>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</si>
  <si>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</si>
  <si>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</si>
  <si>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</si>
  <si>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</si>
  <si>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</si>
  <si>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</si>
  <si>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</si>
  <si>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</si>
  <si>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</si>
  <si>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</si>
  <si>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</si>
  <si>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</si>
  <si>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</si>
  <si>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</si>
  <si>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</si>
  <si>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</si>
  <si>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</si>
  <si>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</si>
  <si>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</si>
  <si>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</si>
  <si>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</si>
  <si>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</si>
  <si>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</si>
  <si>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</si>
  <si>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</si>
  <si>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</si>
  <si>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</si>
  <si>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</si>
  <si>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</si>
  <si>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</si>
  <si>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</si>
  <si>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</si>
  <si>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</si>
  <si>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</si>
  <si>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</si>
  <si>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</si>
  <si>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</si>
  <si>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</si>
  <si>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</si>
  <si>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</si>
  <si>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</si>
  <si>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</si>
  <si>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</si>
  <si>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</si>
  <si>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</si>
  <si>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</si>
  <si>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</si>
  <si>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</si>
  <si>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</si>
  <si>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</si>
  <si>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</si>
  <si>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</si>
  <si>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</si>
  <si>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</si>
  <si>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</si>
  <si>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</si>
  <si>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</si>
  <si>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</si>
  <si>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</si>
  <si>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</si>
  <si>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</si>
  <si>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</si>
  <si>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</si>
  <si>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</si>
  <si>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</si>
  <si>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</si>
  <si>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</si>
  <si>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</si>
  <si>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</si>
  <si>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</si>
  <si>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</si>
  <si>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</si>
  <si>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</si>
  <si>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</si>
  <si>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</si>
  <si>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</si>
  <si>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</si>
  <si>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</si>
  <si>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</si>
  <si>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</si>
  <si>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</si>
  <si>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</si>
  <si>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</si>
  <si>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</si>
  <si>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</si>
  <si>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</si>
  <si>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</si>
  <si>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</si>
  <si>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</si>
  <si>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</si>
  <si>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</si>
  <si>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</si>
  <si>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</si>
  <si>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</si>
  <si>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</si>
  <si>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</si>
  <si>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</si>
  <si>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</si>
  <si>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</si>
  <si>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</si>
  <si>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</si>
  <si>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</si>
  <si>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</si>
  <si>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</si>
  <si>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</si>
  <si>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</si>
  <si>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</si>
  <si>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</si>
  <si>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</si>
  <si>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</si>
  <si>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</si>
  <si>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</si>
  <si>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</si>
  <si>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</si>
  <si>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</si>
  <si>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</si>
  <si>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</si>
  <si>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</si>
  <si>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</si>
  <si>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</si>
  <si>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</si>
  <si>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</si>
  <si>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</si>
  <si>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</si>
  <si>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</si>
  <si>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</si>
  <si>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</si>
  <si>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</si>
  <si>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</si>
  <si>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</si>
  <si>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</si>
  <si>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</si>
  <si>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</si>
  <si>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</si>
  <si>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</si>
  <si>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</si>
  <si>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</si>
  <si>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</si>
  <si>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</si>
  <si>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</si>
  <si>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</si>
  <si>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</si>
  <si>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</si>
  <si>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</si>
  <si>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</si>
  <si>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</si>
  <si>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</si>
  <si>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</si>
  <si>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</si>
  <si>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</si>
  <si>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</si>
  <si>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</si>
  <si>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</si>
  <si>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</si>
  <si>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</si>
  <si>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</si>
  <si>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</si>
  <si>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</si>
  <si>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</si>
  <si>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</si>
  <si>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</si>
  <si>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</si>
  <si>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</si>
  <si>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</si>
  <si>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</si>
  <si>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</si>
  <si>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</si>
  <si>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</si>
  <si>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</si>
  <si>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</si>
  <si>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</si>
  <si>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</si>
  <si>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</si>
  <si>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</si>
  <si>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</si>
  <si>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</si>
  <si>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</si>
  <si>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</si>
  <si>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</si>
  <si>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</si>
  <si>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</si>
  <si>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</si>
  <si>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</si>
  <si>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</si>
  <si>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</si>
  <si>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</si>
  <si>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</si>
  <si>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</si>
  <si>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</si>
  <si>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</si>
  <si>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</si>
  <si>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</si>
  <si>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</si>
  <si>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</si>
  <si>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</si>
  <si>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</si>
  <si>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</si>
  <si>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</si>
  <si>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</si>
  <si>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</si>
  <si>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</si>
  <si>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</si>
  <si>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</si>
  <si>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</si>
  <si>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</si>
  <si>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</si>
  <si>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</si>
  <si>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</si>
  <si>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</si>
  <si>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</si>
  <si>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</si>
  <si>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</si>
  <si>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</si>
  <si>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</si>
  <si>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</si>
  <si>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</si>
  <si>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</si>
  <si>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</si>
  <si>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</si>
  <si>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</si>
  <si>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</si>
  <si>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</si>
  <si>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</si>
  <si>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</si>
  <si>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</si>
  <si>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</si>
  <si>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</si>
  <si>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</si>
  <si>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</si>
  <si>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</si>
  <si>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</si>
  <si>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</si>
  <si>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</si>
  <si>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</si>
  <si>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</si>
  <si>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</si>
  <si>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</si>
  <si>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</si>
  <si>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</si>
  <si>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</si>
  <si>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</si>
  <si>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</si>
  <si>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</si>
  <si>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</si>
  <si>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</si>
  <si>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</si>
  <si>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</si>
  <si>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</si>
  <si>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</si>
  <si>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</si>
  <si>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</si>
  <si>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</si>
  <si>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</si>
  <si>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</si>
  <si>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</si>
  <si>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</si>
  <si>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</si>
  <si>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</si>
  <si>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</si>
  <si>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</si>
  <si>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</si>
  <si>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</si>
  <si>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</si>
  <si>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</si>
  <si>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</si>
  <si>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</si>
  <si>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</si>
  <si>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</si>
  <si>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</si>
  <si>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</si>
  <si>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</si>
  <si>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</si>
  <si>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</si>
  <si>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</si>
  <si>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</si>
  <si>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</si>
  <si>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</si>
  <si>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</si>
  <si>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</si>
  <si>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</si>
  <si>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</si>
  <si>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</si>
  <si>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</si>
  <si>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</si>
  <si>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</si>
  <si>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</si>
  <si>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</si>
  <si>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</si>
  <si>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</si>
  <si>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</si>
  <si>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</si>
  <si>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</si>
  <si>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</si>
  <si>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</si>
  <si>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</si>
  <si>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</si>
  <si>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</si>
  <si>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</si>
  <si>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</si>
  <si>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</si>
  <si>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</si>
  <si>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</si>
  <si>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</si>
  <si>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</si>
  <si>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</si>
  <si>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</si>
  <si>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</si>
  <si>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</si>
  <si>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</si>
  <si>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</si>
  <si>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</si>
  <si>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</si>
  <si>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</si>
  <si>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</si>
  <si>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</si>
  <si>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</si>
  <si>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</si>
  <si>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</si>
  <si>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</si>
  <si>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</si>
  <si>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</si>
  <si>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</si>
  <si>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</si>
  <si>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</si>
  <si>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</si>
  <si>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</si>
  <si>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</si>
  <si>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</si>
  <si>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</si>
  <si>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</si>
  <si>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</si>
  <si>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</si>
  <si>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</si>
  <si>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</si>
  <si>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</si>
  <si>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</si>
  <si>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</si>
  <si>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</si>
  <si>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</si>
  <si>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</si>
  <si>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</si>
  <si>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</si>
  <si>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</si>
  <si>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</si>
  <si>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</si>
  <si>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</si>
  <si>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</si>
  <si>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</si>
  <si>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</si>
  <si>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</si>
  <si>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</si>
  <si>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</si>
  <si>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</si>
  <si>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</si>
  <si>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</si>
  <si>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</si>
  <si>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</si>
  <si>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</si>
  <si>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</si>
  <si>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</si>
  <si>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</si>
  <si>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</si>
  <si>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</si>
  <si>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</si>
  <si>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</si>
  <si>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</si>
  <si>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</si>
  <si>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</si>
  <si>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</si>
  <si>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</si>
  <si>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</si>
  <si>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</si>
  <si>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</si>
  <si>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</si>
  <si>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</si>
  <si>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</si>
  <si>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</si>
  <si>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</si>
  <si>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</si>
  <si>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</si>
  <si>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</si>
  <si>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</si>
  <si>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</si>
  <si>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</si>
  <si>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</si>
  <si>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</si>
  <si>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</si>
  <si>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</si>
  <si>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</si>
  <si>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</si>
  <si>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</si>
  <si>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</si>
  <si>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</si>
  <si>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</si>
  <si>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</si>
  <si>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</si>
  <si>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</si>
  <si>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</si>
  <si>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</si>
  <si>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</si>
  <si>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</si>
  <si>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</si>
  <si>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</si>
  <si>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</si>
  <si>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</si>
  <si>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</si>
  <si>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</si>
  <si>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</si>
  <si>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</si>
  <si>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</si>
  <si>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</si>
  <si>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</si>
  <si>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</si>
  <si>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</si>
  <si>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</si>
  <si>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</si>
  <si>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</si>
  <si>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</si>
  <si>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</si>
  <si>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</si>
  <si>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</si>
  <si>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</si>
  <si>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</si>
  <si>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</si>
  <si>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</si>
  <si>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</si>
  <si>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</si>
  <si>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</si>
  <si>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</si>
  <si>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</si>
  <si>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</si>
  <si>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</si>
  <si>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</si>
  <si>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</si>
  <si>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</si>
  <si>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</si>
  <si>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</si>
  <si>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</si>
  <si>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</si>
  <si>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</si>
  <si>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</si>
  <si>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</si>
  <si>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</si>
  <si>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</si>
  <si>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</si>
  <si>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</si>
  <si>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</si>
  <si>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</si>
  <si>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</si>
  <si>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</si>
  <si>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</si>
  <si>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</si>
  <si>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</si>
  <si>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</si>
  <si>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</si>
  <si>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</si>
  <si>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</si>
  <si>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</si>
  <si>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</si>
  <si>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</si>
  <si>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</si>
  <si>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</si>
  <si>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</si>
  <si>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</si>
  <si>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</si>
  <si>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</si>
  <si>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</si>
  <si>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</si>
  <si>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</si>
  <si>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</si>
  <si>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</si>
  <si>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</si>
  <si>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</si>
  <si>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</si>
  <si>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</si>
  <si>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</si>
  <si>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</si>
  <si>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</si>
  <si>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</si>
  <si>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</si>
  <si>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</si>
  <si>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</si>
  <si>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</si>
  <si>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</si>
  <si>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</si>
  <si>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</si>
  <si>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</si>
  <si>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</si>
  <si>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</si>
  <si>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</si>
  <si>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</si>
  <si>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</si>
  <si>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</si>
  <si>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</si>
  <si>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</si>
  <si>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</si>
  <si>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</si>
  <si>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</si>
  <si>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</si>
  <si>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</si>
  <si>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</si>
  <si>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</si>
  <si>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</si>
  <si>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</si>
  <si>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</si>
  <si>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</si>
  <si>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</si>
  <si>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</si>
  <si>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</si>
  <si>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</si>
  <si>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</si>
  <si>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</si>
  <si>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</si>
  <si>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</si>
  <si>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</si>
  <si>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</si>
  <si>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</si>
  <si>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</si>
  <si>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</si>
  <si>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</si>
  <si>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</si>
  <si>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</si>
  <si>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</si>
  <si>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</si>
  <si>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</si>
  <si>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</si>
  <si>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</si>
  <si>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</si>
  <si>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</si>
  <si>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</si>
  <si>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</si>
  <si>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</si>
  <si>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</si>
  <si>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</si>
  <si>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</si>
  <si>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</si>
  <si>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</si>
  <si>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</si>
  <si>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</si>
  <si>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</si>
  <si>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</si>
  <si>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</si>
  <si>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</si>
  <si>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</si>
  <si>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</si>
  <si>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</si>
  <si>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</si>
  <si>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</si>
  <si>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</si>
  <si>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</si>
  <si>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</si>
  <si>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</si>
  <si>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</si>
  <si>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</si>
  <si>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</si>
  <si>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</si>
  <si>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</si>
  <si>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</si>
  <si>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</si>
  <si>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</si>
  <si>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</si>
  <si>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</si>
  <si>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</si>
  <si>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</si>
  <si>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</si>
  <si>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</si>
  <si>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</si>
  <si>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</si>
  <si>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</si>
  <si>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</si>
  <si>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</si>
  <si>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</si>
  <si>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</si>
  <si>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</si>
  <si>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</si>
  <si>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</si>
  <si>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</si>
  <si>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</si>
  <si>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</si>
  <si>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</si>
  <si>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</si>
  <si>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</si>
  <si>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</si>
  <si>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</si>
  <si>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</si>
  <si>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</si>
  <si>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</si>
  <si>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</si>
  <si>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</si>
  <si>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</si>
  <si>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</si>
  <si>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</si>
  <si>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</si>
  <si>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</si>
  <si>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</si>
  <si>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</si>
  <si>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</si>
  <si>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</si>
  <si>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</si>
  <si>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</si>
  <si>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</si>
  <si>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</si>
  <si>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</si>
  <si>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</si>
  <si>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</si>
  <si>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</si>
  <si>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</si>
  <si>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</si>
  <si>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</si>
  <si>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</si>
  <si>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</si>
  <si>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</si>
  <si>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</si>
  <si>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</si>
  <si>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</si>
  <si>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</si>
  <si>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</si>
  <si>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</si>
  <si>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</si>
  <si>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</si>
  <si>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</si>
  <si>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</si>
  <si>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</si>
  <si>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</si>
  <si>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</si>
  <si>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</si>
  <si>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</si>
  <si>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</si>
  <si>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</si>
  <si>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</si>
  <si>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</si>
  <si>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</si>
  <si>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</si>
  <si>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</si>
  <si>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</si>
  <si>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</si>
  <si>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</si>
  <si>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</si>
  <si>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</si>
  <si>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</si>
  <si>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</si>
  <si>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</si>
  <si>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</si>
  <si>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</si>
  <si>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</si>
  <si>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</si>
  <si>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</si>
  <si>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</si>
  <si>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</si>
  <si>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</si>
  <si>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</si>
  <si>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</si>
  <si>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</si>
  <si>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</si>
  <si>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</si>
  <si>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</si>
  <si>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</si>
  <si>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</si>
  <si>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</si>
  <si>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</si>
  <si>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</si>
  <si>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</si>
  <si>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</si>
  <si>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</si>
  <si>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</si>
  <si>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</si>
  <si>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</si>
  <si>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</si>
  <si>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</si>
  <si>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</si>
  <si>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</si>
  <si>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</si>
  <si>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</si>
  <si>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</si>
  <si>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</si>
  <si>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</si>
  <si>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</si>
  <si>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</si>
  <si>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</si>
  <si>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</si>
  <si>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</si>
  <si>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</si>
  <si>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</si>
  <si>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</si>
  <si>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</si>
  <si>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</si>
  <si>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</si>
  <si>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</si>
  <si>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</si>
  <si>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</si>
  <si>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</si>
  <si>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</si>
  <si>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</si>
  <si>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</si>
  <si>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</si>
  <si>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</si>
  <si>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</si>
  <si>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</si>
  <si>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</si>
  <si>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</si>
  <si>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</si>
  <si>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</si>
  <si>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</si>
  <si>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</si>
  <si>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</si>
  <si>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</si>
  <si>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</si>
  <si>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</si>
  <si>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</si>
  <si>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</si>
  <si>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</si>
  <si>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</si>
  <si>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</si>
  <si>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</si>
  <si>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</si>
  <si>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</si>
  <si>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</si>
  <si>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</si>
  <si>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</si>
  <si>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</si>
  <si>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</si>
  <si>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</si>
  <si>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</si>
  <si>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</si>
  <si>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</si>
  <si>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</si>
  <si>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</si>
  <si>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</si>
  <si>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</si>
  <si>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</si>
  <si>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</si>
  <si>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</si>
  <si>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</si>
  <si>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</si>
  <si>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</si>
  <si>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</si>
  <si>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</si>
  <si>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</si>
  <si>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</si>
  <si>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</si>
  <si>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</si>
  <si>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</si>
  <si>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</si>
  <si>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</si>
  <si>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</si>
  <si>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</si>
  <si>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</si>
  <si>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</si>
  <si>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</si>
  <si>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</si>
  <si>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</si>
  <si>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</si>
  <si>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</si>
  <si>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</si>
  <si>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</si>
  <si>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</si>
  <si>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</si>
  <si>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</si>
  <si>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</si>
  <si>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</si>
  <si>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</si>
  <si>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</si>
  <si>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</si>
  <si>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</si>
  <si>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</si>
  <si>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</si>
  <si>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</si>
  <si>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</si>
  <si>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</si>
  <si>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</si>
  <si>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</si>
  <si>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</si>
  <si>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</si>
  <si>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</si>
  <si>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</si>
  <si>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</si>
  <si>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</si>
  <si>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</si>
  <si>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</si>
  <si>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</si>
  <si>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</si>
  <si>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</si>
  <si>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</si>
  <si>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</si>
  <si>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</si>
  <si>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</si>
  <si>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</si>
  <si>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</si>
  <si>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</si>
  <si>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</si>
  <si>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</si>
  <si>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</si>
  <si>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</si>
  <si>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</si>
  <si>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</si>
  <si>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</si>
  <si>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</si>
  <si>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</si>
  <si>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</si>
  <si>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</si>
  <si>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</si>
  <si>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</si>
  <si>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</si>
  <si>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</si>
  <si>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</si>
  <si>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</si>
  <si>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</si>
  <si>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</si>
  <si>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</si>
  <si>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</si>
  <si>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</si>
  <si>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</si>
  <si>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</si>
  <si>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</si>
  <si>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</si>
  <si>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</si>
  <si>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</si>
  <si>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</si>
  <si>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</si>
  <si>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</si>
  <si>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</si>
  <si>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</si>
  <si>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</si>
  <si>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</si>
  <si>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</si>
  <si>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</si>
  <si>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</si>
  <si>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</si>
  <si>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</si>
  <si>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</si>
  <si>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</si>
  <si>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</si>
  <si>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</si>
  <si>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</si>
  <si>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</si>
  <si>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</si>
  <si>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</si>
  <si>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</si>
  <si>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</si>
  <si>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</si>
  <si>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</si>
  <si>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</si>
  <si>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</si>
  <si>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</si>
  <si>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</si>
  <si>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</si>
  <si>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</si>
  <si>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</si>
  <si>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</si>
  <si>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</si>
  <si>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</si>
  <si>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</si>
  <si>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</si>
  <si>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</si>
  <si>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</si>
  <si>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</si>
  <si>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</si>
  <si>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</si>
  <si>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</si>
  <si>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</si>
  <si>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</si>
  <si>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</si>
  <si>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</si>
  <si>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</si>
  <si>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</si>
  <si>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</si>
  <si>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</si>
  <si>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</si>
  <si>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</si>
  <si>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</si>
  <si>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</si>
  <si>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</si>
  <si>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</si>
  <si>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</si>
  <si>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</si>
  <si>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</si>
  <si>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</si>
  <si>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</si>
  <si>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</si>
  <si>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</si>
  <si>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</si>
  <si>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</si>
  <si>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</si>
  <si>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</si>
  <si>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</si>
  <si>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</si>
  <si>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</si>
  <si>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</si>
  <si>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</si>
  <si>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</si>
  <si>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</si>
  <si>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</si>
  <si>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</si>
  <si>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</si>
  <si>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</si>
  <si>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</si>
  <si>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</si>
  <si>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</si>
  <si>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</si>
  <si>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</si>
  <si>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</si>
  <si>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</si>
  <si>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</si>
  <si>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</si>
  <si>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</si>
  <si>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</si>
  <si>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</si>
  <si>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</si>
  <si>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</si>
  <si>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</si>
  <si>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</si>
  <si>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</si>
  <si>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</si>
  <si>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</si>
  <si>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</si>
  <si>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</si>
  <si>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</si>
  <si>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</si>
  <si>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</si>
  <si>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</si>
  <si>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</si>
  <si>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</si>
  <si>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</si>
  <si>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</si>
  <si>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</si>
  <si>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</si>
  <si>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</si>
  <si>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</si>
  <si>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</si>
  <si>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</si>
  <si>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</si>
  <si>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</si>
  <si>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</si>
  <si>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</si>
  <si>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</si>
  <si>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</si>
  <si>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</si>
  <si>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</si>
  <si>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</si>
  <si>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</si>
  <si>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</si>
  <si>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</si>
  <si>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</si>
  <si>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</si>
  <si>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</si>
  <si>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</si>
  <si>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</si>
  <si>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</si>
  <si>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</si>
  <si>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</si>
  <si>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</si>
  <si>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</si>
  <si>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</si>
  <si>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</si>
  <si>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</si>
  <si>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</si>
  <si>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</si>
  <si>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</si>
  <si>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</si>
  <si>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</si>
  <si>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</si>
  <si>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</si>
  <si>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</si>
  <si>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</si>
  <si>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</si>
  <si>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</si>
  <si>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</si>
  <si>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</si>
  <si>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</si>
  <si>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</si>
  <si>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</si>
  <si>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</si>
  <si>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</si>
  <si>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</si>
  <si>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</si>
  <si>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</si>
  <si>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</si>
  <si>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</si>
  <si>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</si>
  <si>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</si>
  <si>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</si>
  <si>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</si>
  <si>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</si>
  <si>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</si>
  <si>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</si>
  <si>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</si>
  <si>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</si>
  <si>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</si>
  <si>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</si>
  <si>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</si>
  <si>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</si>
  <si>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</si>
  <si>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</si>
  <si>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</si>
  <si>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</si>
  <si>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</si>
  <si>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</si>
  <si>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</si>
  <si>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</si>
  <si>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</si>
  <si>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</si>
  <si>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</si>
  <si>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</si>
  <si>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</si>
  <si>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</si>
  <si>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</si>
  <si>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</si>
  <si>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</si>
  <si>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</si>
  <si>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</si>
  <si>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</si>
  <si>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</si>
  <si>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</si>
  <si>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</si>
  <si>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</si>
  <si>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</si>
  <si>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</si>
  <si>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</si>
  <si>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</si>
  <si>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</si>
  <si>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</si>
  <si>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</si>
  <si>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</si>
  <si>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</si>
  <si>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</si>
  <si>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</si>
  <si>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</si>
  <si>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</si>
  <si>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</si>
  <si>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</si>
  <si>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</si>
  <si>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</si>
  <si>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</si>
  <si>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</si>
  <si>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</si>
  <si>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</si>
  <si>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</si>
  <si>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</si>
  <si>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</si>
  <si>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</si>
  <si>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</si>
  <si>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</si>
  <si>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</si>
  <si>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</si>
  <si>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</si>
  <si>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</si>
  <si>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</si>
  <si>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</si>
  <si>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</si>
  <si>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</si>
  <si>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</si>
  <si>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</si>
  <si>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</si>
  <si>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</si>
  <si>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</si>
  <si>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</si>
  <si>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</si>
  <si>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</si>
  <si>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</si>
  <si>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</si>
  <si>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</si>
  <si>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</si>
  <si>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</si>
  <si>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</si>
  <si>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</si>
  <si>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</si>
  <si>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</si>
  <si>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</si>
  <si>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</si>
  <si>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</si>
  <si>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</si>
  <si>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</si>
  <si>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</si>
  <si>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</si>
  <si>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</si>
  <si>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</si>
  <si>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</si>
  <si>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</si>
  <si>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</si>
  <si>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</si>
  <si>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</si>
  <si>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</si>
  <si>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</si>
  <si>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</si>
  <si>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</si>
  <si>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</si>
  <si>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</si>
  <si>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</si>
  <si>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</si>
  <si>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</si>
  <si>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</si>
  <si>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</si>
  <si>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</si>
  <si>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</si>
  <si>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</si>
  <si>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</si>
  <si>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</si>
  <si>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</si>
  <si>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</si>
  <si>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</si>
  <si>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</si>
  <si>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</si>
  <si>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</si>
  <si>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</si>
  <si>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</si>
  <si>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</si>
  <si>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</si>
  <si>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</si>
  <si>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</si>
  <si>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</si>
  <si>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</si>
  <si>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</si>
  <si>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</si>
  <si>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</si>
  <si>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</si>
  <si>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</si>
  <si>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</si>
  <si>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</si>
  <si>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</si>
  <si>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</si>
  <si>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</si>
  <si>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</si>
  <si>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</si>
  <si>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</si>
  <si>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</si>
  <si>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</si>
  <si>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</si>
  <si>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</si>
  <si>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</si>
  <si>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</si>
  <si>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</si>
  <si>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</si>
  <si>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</si>
  <si>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</si>
  <si>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</si>
  <si>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</si>
  <si>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</si>
  <si>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</si>
  <si>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</si>
  <si>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</si>
  <si>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</si>
  <si>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</si>
  <si>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</si>
  <si>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</si>
  <si>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</si>
  <si>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</si>
  <si>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</si>
  <si>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</si>
  <si>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</si>
  <si>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</si>
  <si>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</si>
  <si>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</si>
  <si>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</si>
  <si>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</si>
  <si>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</si>
  <si>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</si>
  <si>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</si>
  <si>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</si>
  <si>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</si>
  <si>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</si>
  <si>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</si>
  <si>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</si>
  <si>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</si>
  <si>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</si>
  <si>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</si>
  <si>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</si>
  <si>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</si>
  <si>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</si>
  <si>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</si>
  <si>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</si>
  <si>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</si>
  <si>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</si>
  <si>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</si>
  <si>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</si>
  <si>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</si>
  <si>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</si>
  <si>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</si>
  <si>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</si>
  <si>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</si>
  <si>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</si>
  <si>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</si>
  <si>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</si>
  <si>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</si>
  <si>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</si>
  <si>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</si>
  <si>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</si>
  <si>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</si>
  <si>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</si>
  <si>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</si>
  <si>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</si>
  <si>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</si>
  <si>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</si>
  <si>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</si>
  <si>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</si>
  <si>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</si>
  <si>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</si>
  <si>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</si>
  <si>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</si>
  <si>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</si>
  <si>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</si>
  <si>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</si>
  <si>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</si>
  <si>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</si>
  <si>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</si>
  <si>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</si>
  <si>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</si>
  <si>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</si>
  <si>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</si>
  <si>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</si>
  <si>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</si>
  <si>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</si>
  <si>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</si>
  <si>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</si>
  <si>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</si>
  <si>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</si>
  <si>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</si>
  <si>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</si>
  <si>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</si>
  <si>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</si>
  <si>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</si>
  <si>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</si>
  <si>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</si>
  <si>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</si>
  <si>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</si>
  <si>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</si>
  <si>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</si>
  <si>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</si>
  <si>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</si>
  <si>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</si>
  <si>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</si>
  <si>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</si>
  <si>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</si>
  <si>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</si>
  <si>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</si>
  <si>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</si>
  <si>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</si>
  <si>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</si>
  <si>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</si>
  <si>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</si>
  <si>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</si>
  <si>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</si>
  <si>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</si>
  <si>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</si>
  <si>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</si>
  <si>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</si>
  <si>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</si>
  <si>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</si>
  <si>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</si>
  <si>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</si>
  <si>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</si>
  <si>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</si>
  <si>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</si>
  <si>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</si>
  <si>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</si>
  <si>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</si>
  <si>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</si>
  <si>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</si>
  <si>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</si>
  <si>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</si>
  <si>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</si>
  <si>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</si>
  <si>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</si>
  <si>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</si>
  <si>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</si>
  <si>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</si>
  <si>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</si>
  <si>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</si>
  <si>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</si>
  <si>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</si>
  <si>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</si>
  <si>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</si>
  <si>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</si>
  <si>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</si>
  <si>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</si>
  <si>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</si>
  <si>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</si>
  <si>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</si>
  <si>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</si>
  <si>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</si>
  <si>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</si>
  <si>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</si>
  <si>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</si>
  <si>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</si>
  <si>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</si>
  <si>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</si>
  <si>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</si>
  <si>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</si>
  <si>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</si>
  <si>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</si>
  <si>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</si>
  <si>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</si>
  <si>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</si>
  <si>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</si>
  <si>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</si>
  <si>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</si>
  <si>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</si>
  <si>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</si>
  <si>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</si>
  <si>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</si>
  <si>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</si>
  <si>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</si>
  <si>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</si>
  <si>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</si>
  <si>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</si>
  <si>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</si>
  <si>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</si>
  <si>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</si>
  <si>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</si>
  <si>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</si>
  <si>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</si>
  <si>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</si>
  <si>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</si>
  <si>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</si>
  <si>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</si>
  <si>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</si>
  <si>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</si>
  <si>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</si>
  <si>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</si>
  <si>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</si>
  <si>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</si>
  <si>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</si>
  <si>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</si>
  <si>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</si>
  <si>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</si>
  <si>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</si>
  <si>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</si>
  <si>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</si>
  <si>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</si>
  <si>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</si>
  <si>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</si>
  <si>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</si>
  <si>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</si>
  <si>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</si>
  <si>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</si>
  <si>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</si>
  <si>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</si>
  <si>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</si>
  <si>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</si>
  <si>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</si>
  <si>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</si>
  <si>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</si>
  <si>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</si>
  <si>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</si>
  <si>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</si>
  <si>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</si>
  <si>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</si>
  <si>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</si>
  <si>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</si>
  <si>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</si>
  <si>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</si>
  <si>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</si>
  <si>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</si>
  <si>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</si>
  <si>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</si>
  <si>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</si>
  <si>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</si>
  <si>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</si>
  <si>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</si>
  <si>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</si>
  <si>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</si>
  <si>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</si>
  <si>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</si>
  <si>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</si>
  <si>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</si>
  <si>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</si>
  <si>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</si>
  <si>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</si>
  <si>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</si>
  <si>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</si>
  <si>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</si>
  <si>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</si>
  <si>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</si>
  <si>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</si>
  <si>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</si>
  <si>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</si>
  <si>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</si>
  <si>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</si>
  <si>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</si>
  <si>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</si>
  <si>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</si>
  <si>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</si>
  <si>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</si>
  <si>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</si>
  <si>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</si>
  <si>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</si>
  <si>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</si>
  <si>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</si>
  <si>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</si>
  <si>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</si>
  <si>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</si>
  <si>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</si>
  <si>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</si>
  <si>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</si>
  <si>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</si>
  <si>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</si>
  <si>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</si>
  <si>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</si>
  <si>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</si>
  <si>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</si>
  <si>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</si>
  <si>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</si>
  <si>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</si>
  <si>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</si>
  <si>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</si>
  <si>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</si>
  <si>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</si>
  <si>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</si>
  <si>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</si>
  <si>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</si>
  <si>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</si>
  <si>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</si>
  <si>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</si>
  <si>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</si>
  <si>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</si>
  <si>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</si>
  <si>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</si>
  <si>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</si>
  <si>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</si>
  <si>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</si>
  <si>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</si>
  <si>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</si>
  <si>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</si>
  <si>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</si>
  <si>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</si>
  <si>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</si>
  <si>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</si>
  <si>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</si>
  <si>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</si>
  <si>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</si>
  <si>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</si>
  <si>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</si>
  <si>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</si>
  <si>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</si>
  <si>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</si>
  <si>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</si>
  <si>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</si>
  <si>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</si>
  <si>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</si>
  <si>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</si>
  <si>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</si>
  <si>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</si>
  <si>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</si>
  <si>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</si>
  <si>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</si>
  <si>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</si>
  <si>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</si>
  <si>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</si>
  <si>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</si>
  <si>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</si>
  <si>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</si>
  <si>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</si>
  <si>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</si>
  <si>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</si>
  <si>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</si>
  <si>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</si>
  <si>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</si>
  <si>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</si>
  <si>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</si>
  <si>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</si>
  <si>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</si>
  <si>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</si>
  <si>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</si>
  <si>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</si>
  <si>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</si>
  <si>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</si>
  <si>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</si>
  <si>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</si>
  <si>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</si>
  <si>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</si>
  <si>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</si>
  <si>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</si>
  <si>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</si>
  <si>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</si>
  <si>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</si>
  <si>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</si>
  <si>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</si>
  <si>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</si>
  <si>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</si>
  <si>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</si>
  <si>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</si>
  <si>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</si>
  <si>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</si>
  <si>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</si>
  <si>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</si>
  <si>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</si>
  <si>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</si>
  <si>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</si>
  <si>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</si>
  <si>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</si>
  <si>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</si>
  <si>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</si>
  <si>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</si>
  <si>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</si>
  <si>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</si>
  <si>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</si>
  <si>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</si>
  <si>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</si>
  <si>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</si>
  <si>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</si>
  <si>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</si>
  <si>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 xml:space="preserve"> Hand Module is not exist. Check the Exist Sensor.</t>
    <phoneticPr fontId="1" type="noConversion"/>
  </si>
  <si>
    <t xml:space="preserve"> Hand Modul is not exist. Check the Exist Sensor.</t>
    <phoneticPr fontId="1" type="noConversion"/>
  </si>
  <si>
    <t>단발성으로 보여지며, Retry 시 정상 pick 완료.
모니터링 진행하였으나, 재발생하지 않음.</t>
    <phoneticPr fontId="1" type="noConversion"/>
  </si>
  <si>
    <t>작업자 Human Err.로 인한 발생으로, C-tray 재투입 후 미발생.</t>
    <phoneticPr fontId="1" type="noConversion"/>
  </si>
  <si>
    <t>LD1 SET PLATE C-TRAY 안착 불량.
SLH1#5,6,7 호기 D.O.E 및 QUAL 이후 일정 수립하여 점검 예정.</t>
    <phoneticPr fontId="1" type="noConversion"/>
  </si>
  <si>
    <t>LD1 SET PLATE C-TRAY 안착 불량.
SLH1#5,6,6 호기 D.O.E 및 QUAL 이후 일정 수립하여 점검 예정.</t>
  </si>
  <si>
    <t>우익 측 ULD TRANSFER SIDE GUIDE 파손 된 상태에서 임시 조치하여 가동중. 해당 부분으로 인해 C-TRAY PICK UP 시 좌우 틀어짐으로 발생 추정.
해당 PART 관련 우익 측 문의 진행. 
PART 교체 후 점검 예정.</t>
    <phoneticPr fontId="1" type="noConversion"/>
  </si>
  <si>
    <t>ULD TRANSFER SIDE GUIDE 파손으로 C-TRAY 운반하여 SET PLATE 안착불량 발생하였고 C-TRAY 틀어짐으로 ULD HAND 자재 SORTING 시 발생. 
ULD SET PLATE 점검 시 확인 예정.</t>
    <phoneticPr fontId="1" type="noConversion"/>
  </si>
  <si>
    <t>ULD TRANSFER SIDE GUIDE 교체 시 점검 예정.</t>
    <phoneticPr fontId="1" type="noConversion"/>
  </si>
  <si>
    <t>생산 작업자 LOT 투입 시 C-TRAY 제대로 밀어넣지 않음. HUMAN ERR.</t>
    <phoneticPr fontId="1" type="noConversion"/>
  </si>
  <si>
    <t>LABEL 부착 상이함. HUMAN ERR.</t>
    <phoneticPr fontId="1" type="noConversion"/>
  </si>
  <si>
    <t>Cyl. 속도 조정</t>
    <phoneticPr fontId="1" type="noConversion"/>
  </si>
  <si>
    <t>log확인하여 해당 T-tray insert 확인 및 이상없음 확인 현상 재현 시에도 이상이 없어 재발생 시 점검예정</t>
    <phoneticPr fontId="1" type="noConversion"/>
  </si>
  <si>
    <t>tester 오류로 testrt PGM 재부팅 후 재가동</t>
    <phoneticPr fontId="1" type="noConversion"/>
  </si>
  <si>
    <t>Insert 확인 시 완전히 안닫힌 insert 발견하여 재조립 당일 전 T-tray 힌지 부 고정 Block Bolt +로 교체</t>
    <phoneticPr fontId="1" type="noConversion"/>
  </si>
  <si>
    <t>U/D transfer z축, x축 미세티칭, Align pin 7파이에서 6파이로 교체 후 모니터링 진행</t>
    <phoneticPr fontId="1" type="noConversion"/>
  </si>
  <si>
    <t>단발성으로 보여지며 이후 가동 시 문제없고 현장에서 재현해보려 매뉴얼로 움직였을 때 에도 특이사항 없었음</t>
    <phoneticPr fontId="1" type="noConversion"/>
  </si>
  <si>
    <t>04:34,04:44</t>
    <phoneticPr fontId="1" type="noConversion"/>
  </si>
  <si>
    <t>16:56, 17:27</t>
    <phoneticPr fontId="1" type="noConversion"/>
  </si>
  <si>
    <t>Reject stacker로 C-tray 투입 시 90도 돌려 투입하여 ULD1 set plate에 잘못올라옴 휴먼에러</t>
    <phoneticPr fontId="1" type="noConversion"/>
  </si>
  <si>
    <t>작업자 재투입 시 이상없음 현재까지 단발성으로 보여 재발생 시 인버터 조정하여 속도 조절 예정</t>
    <phoneticPr fontId="1" type="noConversion"/>
  </si>
  <si>
    <t>T-tray front1 내려놓을 때 발생 발생당시 근무자 인터뷰 결과 insert 안착 불량으로 x값 teaching 진행</t>
    <phoneticPr fontId="1" type="noConversion"/>
  </si>
  <si>
    <t>3번 tray 12번 insert 확인 결과 이상없음
재현시에도 특이사항 없어 단발성 error로 판단 되며 재발생 시 점검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</si>
</sst>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29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20" fontId="8" fillId="7" borderId="3" xfId="1" applyNumberForma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14" fontId="8" fillId="0" borderId="3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14" fontId="8" fillId="0" borderId="4" xfId="1" applyNumberFormat="1" applyBorder="1" applyAlignment="1">
      <alignment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0" fontId="5" fillId="0" borderId="0" xfId="1" applyFont="1" applyAlignment="1">
      <alignment horizontal="center" vertical="center"/>
    </xf>
    <xf numFmtId="20" fontId="5" fillId="0" borderId="18" xfId="1" applyNumberFormat="1" applyFont="1" applyBorder="1" applyAlignment="1">
      <alignment horizontal="center" vertical="center"/>
    </xf>
    <xf numFmtId="14" fontId="8" fillId="0" borderId="4" xfId="1" applyNumberFormat="1" applyBorder="1" applyAlignment="1">
      <alignment horizontal="center" vertical="center"/>
    </xf>
    <xf numFmtId="14" fontId="8" fillId="0" borderId="5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8" fillId="8" borderId="3" xfId="1" applyFill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15" fillId="7" borderId="1" xfId="1" applyFont="1" applyFill="1" applyBorder="1" applyAlignment="1">
      <alignment horizontal="left" vertical="center" wrapText="1"/>
    </xf>
    <xf numFmtId="0" fontId="15" fillId="7" borderId="17" xfId="1" applyFont="1" applyFill="1" applyBorder="1" applyAlignment="1">
      <alignment horizontal="left" vertical="center" wrapText="1"/>
    </xf>
    <xf numFmtId="0" fontId="15" fillId="7" borderId="2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1671</c:v>
                </c:pt>
                <c:pt idx="1">
                  <c:v>6329</c:v>
                </c:pt>
                <c:pt idx="2">
                  <c:v>4008</c:v>
                </c:pt>
                <c:pt idx="3">
                  <c:v>17417</c:v>
                </c:pt>
                <c:pt idx="4">
                  <c:v>687</c:v>
                </c:pt>
                <c:pt idx="5">
                  <c:v>0</c:v>
                </c:pt>
                <c:pt idx="6">
                  <c:v>0</c:v>
                </c:pt>
                <c:pt idx="7">
                  <c:v>15510</c:v>
                </c:pt>
                <c:pt idx="8">
                  <c:v>1490</c:v>
                </c:pt>
                <c:pt idx="9">
                  <c:v>19</c:v>
                </c:pt>
                <c:pt idx="10">
                  <c:v>8178</c:v>
                </c:pt>
                <c:pt idx="11">
                  <c:v>15401</c:v>
                </c:pt>
                <c:pt idx="12">
                  <c:v>4450</c:v>
                </c:pt>
                <c:pt idx="13">
                  <c:v>0</c:v>
                </c:pt>
                <c:pt idx="14">
                  <c:v>367</c:v>
                </c:pt>
                <c:pt idx="15">
                  <c:v>0</c:v>
                </c:pt>
                <c:pt idx="16">
                  <c:v>5341</c:v>
                </c:pt>
                <c:pt idx="17">
                  <c:v>14455</c:v>
                </c:pt>
                <c:pt idx="18">
                  <c:v>3431</c:v>
                </c:pt>
                <c:pt idx="19">
                  <c:v>1174</c:v>
                </c:pt>
                <c:pt idx="20">
                  <c:v>7836</c:v>
                </c:pt>
                <c:pt idx="21">
                  <c:v>2774</c:v>
                </c:pt>
                <c:pt idx="22">
                  <c:v>505</c:v>
                </c:pt>
                <c:pt idx="23">
                  <c:v>12156</c:v>
                </c:pt>
                <c:pt idx="24">
                  <c:v>9993</c:v>
                </c:pt>
                <c:pt idx="25">
                  <c:v>0</c:v>
                </c:pt>
                <c:pt idx="26">
                  <c:v>11999</c:v>
                </c:pt>
                <c:pt idx="27">
                  <c:v>180</c:v>
                </c:pt>
                <c:pt idx="28">
                  <c:v>2475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1671</c:v>
                </c:pt>
                <c:pt idx="1">
                  <c:v>6329</c:v>
                </c:pt>
                <c:pt idx="2">
                  <c:v>4008</c:v>
                </c:pt>
                <c:pt idx="3">
                  <c:v>4354.25</c:v>
                </c:pt>
                <c:pt idx="4">
                  <c:v>687</c:v>
                </c:pt>
                <c:pt idx="5">
                  <c:v>0</c:v>
                </c:pt>
                <c:pt idx="6">
                  <c:v>0</c:v>
                </c:pt>
                <c:pt idx="7">
                  <c:v>5170</c:v>
                </c:pt>
                <c:pt idx="8">
                  <c:v>1490</c:v>
                </c:pt>
                <c:pt idx="9">
                  <c:v>19</c:v>
                </c:pt>
                <c:pt idx="10">
                  <c:v>8178</c:v>
                </c:pt>
                <c:pt idx="11">
                  <c:v>5133.666666666667</c:v>
                </c:pt>
                <c:pt idx="12">
                  <c:v>4450</c:v>
                </c:pt>
                <c:pt idx="13">
                  <c:v>0</c:v>
                </c:pt>
                <c:pt idx="14">
                  <c:v>367</c:v>
                </c:pt>
                <c:pt idx="15">
                  <c:v>0</c:v>
                </c:pt>
                <c:pt idx="16">
                  <c:v>5341</c:v>
                </c:pt>
                <c:pt idx="17">
                  <c:v>3613.75</c:v>
                </c:pt>
                <c:pt idx="18">
                  <c:v>1715.5</c:v>
                </c:pt>
                <c:pt idx="19">
                  <c:v>1174</c:v>
                </c:pt>
                <c:pt idx="20">
                  <c:v>2612</c:v>
                </c:pt>
                <c:pt idx="21">
                  <c:v>2774</c:v>
                </c:pt>
                <c:pt idx="22">
                  <c:v>505</c:v>
                </c:pt>
                <c:pt idx="23">
                  <c:v>4052</c:v>
                </c:pt>
                <c:pt idx="24">
                  <c:v>9993</c:v>
                </c:pt>
                <c:pt idx="25">
                  <c:v>0</c:v>
                </c:pt>
                <c:pt idx="26">
                  <c:v>11999</c:v>
                </c:pt>
                <c:pt idx="27">
                  <c:v>180</c:v>
                </c:pt>
                <c:pt idx="28">
                  <c:v>2475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12"/>
  <sheetViews>
    <sheetView tabSelected="1" topLeftCell="L10" zoomScale="85" zoomScaleNormal="85" zoomScaleSheetLayoutView="80" workbookViewId="0">
      <selection activeCell="AJ35" sqref="AJ35"/>
    </sheetView>
  </sheetViews>
  <sheetFormatPr defaultColWidth="9" defaultRowHeight="17.399999999999999" x14ac:dyDescent="0.4"/>
  <cols>
    <col min="1" max="1" width="11.59765625" style="5" bestFit="1" customWidth="1"/>
    <col min="2" max="2" width="10.19921875" style="4" customWidth="1"/>
    <col min="3" max="4" width="7.69921875" style="4" customWidth="1"/>
    <col min="5" max="7" width="8.3984375" style="4" bestFit="1" customWidth="1"/>
    <col min="8" max="23" width="8.3984375" style="5" bestFit="1" customWidth="1"/>
    <col min="24" max="25" width="8.3984375" style="23" bestFit="1" customWidth="1"/>
    <col min="26" max="30" width="8.3984375" style="5" bestFit="1" customWidth="1"/>
    <col min="31" max="31" width="8.3984375" style="5" customWidth="1"/>
    <col min="32" max="33" width="8.3984375" style="5" bestFit="1" customWidth="1"/>
    <col min="34" max="34" width="6" style="5" customWidth="1"/>
    <col min="35" max="35" width="17.3984375" style="5" bestFit="1" customWidth="1"/>
    <col min="36" max="16384" width="9" style="5"/>
  </cols>
  <sheetData>
    <row r="1" spans="1:22" ht="14.4" customHeight="1" x14ac:dyDescent="0.55000000000000004">
      <c r="A1" s="3"/>
      <c r="B1" s="37"/>
      <c r="C1" s="3"/>
      <c r="D1" s="3"/>
      <c r="L1" s="3"/>
      <c r="M1" s="3"/>
      <c r="N1" s="3"/>
      <c r="S1" s="6"/>
      <c r="T1" s="6"/>
      <c r="U1" s="6"/>
      <c r="V1" s="6"/>
    </row>
    <row r="2" spans="1:22" ht="14.4" customHeight="1" x14ac:dyDescent="0.55000000000000004">
      <c r="A2" s="3"/>
      <c r="B2" s="37"/>
      <c r="C2" s="3"/>
      <c r="D2" s="3"/>
      <c r="L2" s="3"/>
      <c r="M2" s="3"/>
      <c r="N2" s="3"/>
      <c r="S2" s="6"/>
      <c r="T2" s="6"/>
      <c r="U2" s="6"/>
      <c r="V2" s="6"/>
    </row>
    <row r="3" spans="1:22" ht="14.4" customHeight="1" x14ac:dyDescent="0.55000000000000004">
      <c r="A3" s="3"/>
      <c r="B3" s="37"/>
      <c r="C3" s="3"/>
      <c r="D3" s="3"/>
      <c r="L3" s="3"/>
      <c r="M3" s="3"/>
      <c r="N3" s="3"/>
      <c r="S3" s="6"/>
      <c r="T3" s="6"/>
      <c r="U3" s="6"/>
      <c r="V3" s="6"/>
    </row>
    <row r="4" spans="1:22" ht="14.4" customHeight="1" x14ac:dyDescent="0.55000000000000004">
      <c r="A4" s="3"/>
      <c r="B4" s="37"/>
      <c r="C4" s="3"/>
      <c r="D4" s="3"/>
      <c r="L4" s="3"/>
      <c r="M4" s="3"/>
      <c r="N4" s="3"/>
      <c r="S4" s="6"/>
      <c r="T4" s="6"/>
      <c r="U4" s="6"/>
      <c r="V4" s="6"/>
    </row>
    <row r="5" spans="1:22" ht="14.4" customHeight="1" x14ac:dyDescent="0.55000000000000004">
      <c r="A5" s="3"/>
      <c r="B5" s="37"/>
      <c r="C5" s="3"/>
      <c r="D5" s="3"/>
      <c r="L5" s="3"/>
      <c r="M5" s="3"/>
      <c r="N5" s="3"/>
      <c r="S5" s="6"/>
      <c r="T5" s="6"/>
      <c r="U5" s="6"/>
      <c r="V5" s="6"/>
    </row>
    <row r="6" spans="1:22" ht="14.4" customHeight="1" x14ac:dyDescent="0.55000000000000004">
      <c r="A6" s="3"/>
      <c r="B6" s="37"/>
      <c r="C6" s="3"/>
      <c r="D6" s="3"/>
      <c r="L6" s="3"/>
      <c r="M6" s="3"/>
      <c r="N6" s="3"/>
      <c r="S6" s="6"/>
      <c r="T6" s="6"/>
      <c r="U6" s="6"/>
      <c r="V6" s="6"/>
    </row>
    <row r="7" spans="1:22" ht="14.4" customHeight="1" x14ac:dyDescent="0.55000000000000004">
      <c r="A7" s="3"/>
      <c r="B7" s="37"/>
      <c r="C7" s="3"/>
      <c r="D7" s="3"/>
      <c r="L7" s="3"/>
      <c r="M7" s="3"/>
      <c r="N7" s="3"/>
      <c r="S7" s="6"/>
      <c r="T7" s="6"/>
      <c r="U7" s="6"/>
      <c r="V7" s="6"/>
    </row>
    <row r="8" spans="1:22" ht="14.4" customHeight="1" x14ac:dyDescent="0.55000000000000004">
      <c r="A8" s="3"/>
      <c r="B8" s="37"/>
      <c r="C8" s="3"/>
      <c r="D8" s="3"/>
      <c r="L8" s="3"/>
      <c r="M8" s="3"/>
      <c r="N8" s="3"/>
      <c r="S8" s="6"/>
      <c r="T8" s="6"/>
      <c r="U8" s="6"/>
      <c r="V8" s="6"/>
    </row>
    <row r="9" spans="1:22" ht="14.4" customHeight="1" x14ac:dyDescent="0.55000000000000004">
      <c r="A9" s="3"/>
      <c r="B9" s="37"/>
      <c r="C9" s="3"/>
      <c r="D9" s="3"/>
      <c r="L9" s="3"/>
      <c r="M9" s="3"/>
      <c r="N9" s="3"/>
      <c r="S9" s="6"/>
      <c r="T9" s="6"/>
      <c r="U9" s="6"/>
      <c r="V9" s="6"/>
    </row>
    <row r="10" spans="1:22" ht="14.4" customHeight="1" x14ac:dyDescent="0.55000000000000004">
      <c r="A10" s="3"/>
      <c r="B10" s="37"/>
      <c r="C10" s="3"/>
      <c r="D10" s="3"/>
      <c r="L10" s="3"/>
      <c r="M10" s="3"/>
      <c r="N10" s="3"/>
      <c r="S10" s="6"/>
      <c r="T10" s="6"/>
      <c r="U10" s="6"/>
      <c r="V10" s="6"/>
    </row>
    <row r="11" spans="1:22" ht="14.4" customHeight="1" x14ac:dyDescent="0.55000000000000004">
      <c r="A11" s="3"/>
      <c r="B11" s="37"/>
      <c r="C11" s="3"/>
      <c r="D11" s="3"/>
      <c r="L11" s="3"/>
      <c r="M11" s="3"/>
      <c r="N11" s="3"/>
      <c r="S11" s="6"/>
      <c r="T11" s="6"/>
      <c r="U11" s="6"/>
      <c r="V11" s="6"/>
    </row>
    <row r="12" spans="1:22" ht="14.4" customHeight="1" x14ac:dyDescent="0.55000000000000004">
      <c r="A12" s="3"/>
      <c r="B12" s="37"/>
      <c r="C12" s="3"/>
      <c r="D12" s="3"/>
      <c r="L12" s="3"/>
      <c r="M12" s="3"/>
      <c r="N12" s="3"/>
      <c r="S12" s="6"/>
      <c r="T12" s="6"/>
      <c r="U12" s="6"/>
      <c r="V12" s="6"/>
    </row>
    <row r="13" spans="1:22" ht="14.4" customHeight="1" x14ac:dyDescent="0.55000000000000004">
      <c r="A13" s="3"/>
      <c r="B13" s="37"/>
      <c r="C13" s="3"/>
      <c r="D13" s="3"/>
      <c r="G13" s="7"/>
      <c r="H13" s="7"/>
      <c r="I13" s="7"/>
      <c r="K13" s="8"/>
      <c r="L13" s="8"/>
      <c r="M13" s="8"/>
    </row>
    <row r="14" spans="1:22" ht="14.4" customHeight="1" x14ac:dyDescent="0.55000000000000004">
      <c r="A14" s="3"/>
      <c r="B14" s="37"/>
      <c r="C14" s="3"/>
      <c r="D14" s="3"/>
      <c r="G14" s="7"/>
      <c r="H14" s="7"/>
      <c r="I14" s="7"/>
      <c r="K14" s="8"/>
      <c r="L14" s="8"/>
      <c r="M14" s="8"/>
    </row>
    <row r="15" spans="1:22" ht="14.4" customHeight="1" x14ac:dyDescent="0.55000000000000004">
      <c r="A15" s="3"/>
      <c r="B15" s="37"/>
      <c r="C15" s="3"/>
      <c r="D15" s="3"/>
      <c r="G15" s="7"/>
      <c r="H15" s="7"/>
      <c r="I15" s="7"/>
      <c r="K15" s="8"/>
      <c r="L15" s="8"/>
      <c r="M15" s="8"/>
    </row>
    <row r="16" spans="1:22" ht="14.4" customHeight="1" x14ac:dyDescent="0.55000000000000004">
      <c r="A16" s="3"/>
      <c r="B16" s="37"/>
      <c r="C16" s="3"/>
      <c r="D16" s="3"/>
      <c r="G16" s="7"/>
      <c r="H16" s="7"/>
      <c r="I16" s="7"/>
      <c r="K16" s="8"/>
      <c r="L16" s="8"/>
      <c r="M16" s="8"/>
    </row>
    <row r="17" spans="1:40" ht="14.4" customHeight="1" x14ac:dyDescent="0.55000000000000004">
      <c r="A17" s="3"/>
      <c r="B17" s="37"/>
      <c r="C17" s="3"/>
      <c r="D17" s="3"/>
      <c r="G17" s="7"/>
      <c r="H17" s="7"/>
      <c r="I17" s="7"/>
      <c r="K17" s="8"/>
      <c r="L17" s="8"/>
      <c r="M17" s="8"/>
    </row>
    <row r="18" spans="1:40" ht="14.4" customHeight="1" x14ac:dyDescent="0.55000000000000004">
      <c r="A18" s="3"/>
      <c r="B18" s="37"/>
      <c r="C18" s="3"/>
      <c r="D18" s="3"/>
      <c r="G18" s="7"/>
      <c r="H18" s="7"/>
      <c r="I18" s="7"/>
      <c r="K18" s="8"/>
      <c r="L18" s="8"/>
      <c r="M18" s="8"/>
    </row>
    <row r="19" spans="1:40" ht="14.4" customHeight="1" x14ac:dyDescent="0.55000000000000004">
      <c r="A19" s="3"/>
      <c r="B19" s="37"/>
      <c r="C19" s="3"/>
      <c r="D19" s="3"/>
      <c r="G19" s="7"/>
      <c r="H19" s="7"/>
      <c r="I19" s="7"/>
      <c r="K19" s="8"/>
      <c r="L19" s="8"/>
      <c r="M19" s="8"/>
    </row>
    <row r="20" spans="1:40" ht="14.4" customHeight="1" x14ac:dyDescent="0.55000000000000004">
      <c r="A20" s="3"/>
      <c r="B20" s="37"/>
      <c r="C20" s="3"/>
      <c r="D20" s="3"/>
      <c r="G20" s="7"/>
      <c r="H20" s="7"/>
      <c r="I20" s="7"/>
      <c r="K20" s="8"/>
      <c r="L20" s="8"/>
      <c r="M20" s="8"/>
    </row>
    <row r="21" spans="1:40" ht="14.4" customHeight="1" x14ac:dyDescent="0.4">
      <c r="A21" s="112" t="s">
        <v>0</v>
      </c>
      <c r="B21" s="113"/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1</v>
      </c>
      <c r="K21" s="1" t="s">
        <v>2</v>
      </c>
      <c r="L21" s="1" t="s">
        <v>3</v>
      </c>
      <c r="M21" s="1" t="s">
        <v>4</v>
      </c>
      <c r="N21" s="1" t="s">
        <v>5</v>
      </c>
      <c r="O21" s="1" t="s">
        <v>6</v>
      </c>
      <c r="P21" s="1" t="s">
        <v>7</v>
      </c>
      <c r="Q21" s="1" t="s">
        <v>1</v>
      </c>
      <c r="R21" s="1" t="s">
        <v>2</v>
      </c>
      <c r="S21" s="1" t="s">
        <v>3</v>
      </c>
      <c r="T21" s="1" t="s">
        <v>4</v>
      </c>
      <c r="U21" s="1" t="s">
        <v>5</v>
      </c>
      <c r="V21" s="1" t="s">
        <v>6</v>
      </c>
      <c r="W21" s="1" t="s">
        <v>7</v>
      </c>
      <c r="X21" s="1" t="s">
        <v>1</v>
      </c>
      <c r="Y21" s="1" t="s">
        <v>2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1</v>
      </c>
      <c r="AF21" s="1" t="s">
        <v>2</v>
      </c>
      <c r="AG21" s="1" t="s">
        <v>3</v>
      </c>
      <c r="AH21" s="119" t="s">
        <v>8</v>
      </c>
      <c r="AI21" s="76" t="s">
        <v>9</v>
      </c>
      <c r="AJ21" s="119" t="s">
        <v>10</v>
      </c>
    </row>
    <row r="22" spans="1:40" s="10" customFormat="1" ht="14.4" customHeight="1" x14ac:dyDescent="0.35">
      <c r="A22" s="78" t="s">
        <v>11</v>
      </c>
      <c r="B22" s="79"/>
      <c r="C22" s="2">
        <v>46143</v>
      </c>
      <c r="D22" s="2">
        <v>46144</v>
      </c>
      <c r="E22" s="2">
        <v>46145</v>
      </c>
      <c r="F22" s="2">
        <v>46146</v>
      </c>
      <c r="G22" s="2">
        <v>46147</v>
      </c>
      <c r="H22" s="2">
        <v>46148</v>
      </c>
      <c r="I22" s="2">
        <v>46149</v>
      </c>
      <c r="J22" s="2">
        <v>46150</v>
      </c>
      <c r="K22" s="2">
        <v>46151</v>
      </c>
      <c r="L22" s="2">
        <v>46152</v>
      </c>
      <c r="M22" s="2">
        <v>46153</v>
      </c>
      <c r="N22" s="2">
        <v>46154</v>
      </c>
      <c r="O22" s="2">
        <v>46155</v>
      </c>
      <c r="P22" s="2">
        <v>46156</v>
      </c>
      <c r="Q22" s="2">
        <v>46157</v>
      </c>
      <c r="R22" s="2">
        <v>46158</v>
      </c>
      <c r="S22" s="2">
        <v>46159</v>
      </c>
      <c r="T22" s="2">
        <v>46160</v>
      </c>
      <c r="U22" s="2">
        <v>46161</v>
      </c>
      <c r="V22" s="2">
        <v>46162</v>
      </c>
      <c r="W22" s="2">
        <v>46163</v>
      </c>
      <c r="X22" s="2">
        <v>46164</v>
      </c>
      <c r="Y22" s="2">
        <v>46165</v>
      </c>
      <c r="Z22" s="2">
        <v>46166</v>
      </c>
      <c r="AA22" s="2">
        <v>46167</v>
      </c>
      <c r="AB22" s="2">
        <v>46168</v>
      </c>
      <c r="AC22" s="2">
        <v>46169</v>
      </c>
      <c r="AD22" s="2">
        <v>46170</v>
      </c>
      <c r="AE22" s="2">
        <v>46171</v>
      </c>
      <c r="AF22" s="2">
        <v>46172</v>
      </c>
      <c r="AG22" s="2">
        <v>46173</v>
      </c>
      <c r="AH22" s="120"/>
      <c r="AI22" s="77"/>
      <c r="AJ22" s="120"/>
    </row>
    <row r="23" spans="1:40" ht="14.4" customHeight="1" x14ac:dyDescent="0.4">
      <c r="A23" s="80" t="s">
        <v>12</v>
      </c>
      <c r="B23" s="81"/>
      <c r="C23" s="27">
        <f t="shared" ref="C23:AG23" si="0">SUMIF($A40:$A336,C22,$B40:$B336)</f>
        <v>1671</v>
      </c>
      <c r="D23" s="27">
        <f t="shared" si="0"/>
        <v>6329</v>
      </c>
      <c r="E23" s="27">
        <f t="shared" si="0"/>
        <v>4008</v>
      </c>
      <c r="F23" s="27">
        <f t="shared" si="0"/>
        <v>17417</v>
      </c>
      <c r="G23" s="27">
        <f t="shared" si="0"/>
        <v>687</v>
      </c>
      <c r="H23" s="27">
        <f t="shared" si="0"/>
        <v>0</v>
      </c>
      <c r="I23" s="27">
        <f t="shared" si="0"/>
        <v>0</v>
      </c>
      <c r="J23" s="27">
        <f t="shared" si="0"/>
        <v>15510</v>
      </c>
      <c r="K23" s="27">
        <f t="shared" si="0"/>
        <v>1490</v>
      </c>
      <c r="L23" s="27">
        <f t="shared" si="0"/>
        <v>19</v>
      </c>
      <c r="M23" s="27">
        <f t="shared" si="0"/>
        <v>8178</v>
      </c>
      <c r="N23" s="27">
        <f t="shared" si="0"/>
        <v>15401</v>
      </c>
      <c r="O23" s="27">
        <f t="shared" si="0"/>
        <v>4450</v>
      </c>
      <c r="P23" s="27">
        <f t="shared" si="0"/>
        <v>0</v>
      </c>
      <c r="Q23" s="27">
        <f t="shared" si="0"/>
        <v>367</v>
      </c>
      <c r="R23" s="27">
        <f t="shared" si="0"/>
        <v>0</v>
      </c>
      <c r="S23" s="27">
        <f t="shared" si="0"/>
        <v>5341</v>
      </c>
      <c r="T23" s="27">
        <f t="shared" si="0"/>
        <v>14455</v>
      </c>
      <c r="U23" s="27">
        <f t="shared" si="0"/>
        <v>3431</v>
      </c>
      <c r="V23" s="27">
        <f t="shared" si="0"/>
        <v>1174</v>
      </c>
      <c r="W23" s="27">
        <f t="shared" si="0"/>
        <v>7836</v>
      </c>
      <c r="X23" s="27">
        <f t="shared" si="0"/>
        <v>2774</v>
      </c>
      <c r="Y23" s="27">
        <f t="shared" si="0"/>
        <v>505</v>
      </c>
      <c r="Z23" s="27">
        <f t="shared" si="0"/>
        <v>12156</v>
      </c>
      <c r="AA23" s="27">
        <f t="shared" si="0"/>
        <v>9993</v>
      </c>
      <c r="AB23" s="27">
        <f t="shared" si="0"/>
        <v>0</v>
      </c>
      <c r="AC23" s="27">
        <f t="shared" si="0"/>
        <v>11999</v>
      </c>
      <c r="AD23" s="27">
        <f t="shared" si="0"/>
        <v>180</v>
      </c>
      <c r="AE23" s="27">
        <f t="shared" si="0"/>
        <v>2475</v>
      </c>
      <c r="AF23" s="27">
        <f t="shared" si="0"/>
        <v>0</v>
      </c>
      <c r="AG23" s="27">
        <f t="shared" si="0"/>
        <v>0</v>
      </c>
      <c r="AH23" s="121"/>
      <c r="AI23" s="11">
        <f>SUM(C23:AG23)</f>
        <v>147846</v>
      </c>
      <c r="AJ23" s="121"/>
    </row>
    <row r="24" spans="1:40" x14ac:dyDescent="0.4">
      <c r="A24" s="122" t="s">
        <v>2314</v>
      </c>
      <c r="B24" s="122"/>
      <c r="C24" s="29">
        <f t="shared" ref="C24:AC24" si="1">SUM(C26:C36)</f>
        <v>0</v>
      </c>
      <c r="D24" s="29">
        <f t="shared" si="1"/>
        <v>1</v>
      </c>
      <c r="E24" s="29">
        <f t="shared" si="1"/>
        <v>1</v>
      </c>
      <c r="F24" s="29">
        <f t="shared" si="1"/>
        <v>4</v>
      </c>
      <c r="G24" s="29">
        <f t="shared" si="1"/>
        <v>1</v>
      </c>
      <c r="H24" s="29">
        <f t="shared" si="1"/>
        <v>0</v>
      </c>
      <c r="I24" s="29">
        <f t="shared" si="1"/>
        <v>0</v>
      </c>
      <c r="J24" s="29">
        <f t="shared" si="1"/>
        <v>3</v>
      </c>
      <c r="K24" s="29">
        <f t="shared" si="1"/>
        <v>0</v>
      </c>
      <c r="L24" s="29">
        <f t="shared" si="1"/>
        <v>0</v>
      </c>
      <c r="M24" s="29">
        <f t="shared" si="1"/>
        <v>1</v>
      </c>
      <c r="N24" s="29">
        <f t="shared" si="1"/>
        <v>3</v>
      </c>
      <c r="O24" s="29">
        <f t="shared" si="1"/>
        <v>1</v>
      </c>
      <c r="P24" s="29">
        <f t="shared" si="1"/>
        <v>0</v>
      </c>
      <c r="Q24" s="29">
        <f t="shared" si="1"/>
        <v>0</v>
      </c>
      <c r="R24" s="29">
        <f t="shared" si="1"/>
        <v>0</v>
      </c>
      <c r="S24" s="29">
        <f t="shared" si="1"/>
        <v>1</v>
      </c>
      <c r="T24" s="29">
        <f t="shared" si="1"/>
        <v>4</v>
      </c>
      <c r="U24" s="29">
        <f t="shared" si="1"/>
        <v>2</v>
      </c>
      <c r="V24" s="29">
        <f t="shared" si="1"/>
        <v>0</v>
      </c>
      <c r="W24" s="29">
        <f t="shared" si="1"/>
        <v>3</v>
      </c>
      <c r="X24" s="38">
        <f t="shared" si="1"/>
        <v>0</v>
      </c>
      <c r="Y24" s="38">
        <f t="shared" si="1"/>
        <v>0</v>
      </c>
      <c r="Z24" s="29">
        <f t="shared" si="1"/>
        <v>3</v>
      </c>
      <c r="AA24" s="29">
        <f t="shared" si="1"/>
        <v>1</v>
      </c>
      <c r="AB24" s="29">
        <f t="shared" si="1"/>
        <v>0</v>
      </c>
      <c r="AC24" s="29">
        <f t="shared" si="1"/>
        <v>1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30</v>
      </c>
      <c r="AI24" s="84" t="s">
        <v>25</v>
      </c>
      <c r="AJ24" s="85"/>
    </row>
    <row r="25" spans="1:40" ht="14.4" customHeight="1" x14ac:dyDescent="0.4">
      <c r="A25" s="82" t="s">
        <v>13</v>
      </c>
      <c r="B25" s="83"/>
      <c r="C25" s="28">
        <f t="shared" ref="C25:D25" si="2">IF(C24=0, C23, C23/C24)</f>
        <v>1671</v>
      </c>
      <c r="D25" s="28">
        <f t="shared" si="2"/>
        <v>6329</v>
      </c>
      <c r="E25" s="28">
        <f t="shared" ref="E25" si="3">IF(E24=0, E23, E23/E24)</f>
        <v>4008</v>
      </c>
      <c r="F25" s="28">
        <f t="shared" ref="F25:G25" si="4">IF(F24=0, F23, F23/F24)</f>
        <v>4354.25</v>
      </c>
      <c r="G25" s="28">
        <f t="shared" si="4"/>
        <v>687</v>
      </c>
      <c r="H25" s="28">
        <f t="shared" ref="H25" si="5">IF(H24=0, H23, H23/H24)</f>
        <v>0</v>
      </c>
      <c r="I25" s="28">
        <f t="shared" ref="I25:J25" si="6">IF(I24=0, I23, I23/I24)</f>
        <v>0</v>
      </c>
      <c r="J25" s="28">
        <f t="shared" si="6"/>
        <v>5170</v>
      </c>
      <c r="K25" s="28">
        <f t="shared" ref="K25" si="7">IF(K24=0, K23, K23/K24)</f>
        <v>1490</v>
      </c>
      <c r="L25" s="28">
        <f t="shared" ref="L25" si="8">IF(L24=0, L23, L23/L24)</f>
        <v>19</v>
      </c>
      <c r="M25" s="28">
        <f>IF(M24=0, M23, M23/M24)</f>
        <v>8178</v>
      </c>
      <c r="N25" s="28">
        <f t="shared" ref="N25:P25" si="9">IF(N24=0, N23, N23/N24)</f>
        <v>5133.666666666667</v>
      </c>
      <c r="O25" s="28">
        <f t="shared" si="9"/>
        <v>4450</v>
      </c>
      <c r="P25" s="28">
        <f t="shared" si="9"/>
        <v>0</v>
      </c>
      <c r="Q25" s="28">
        <f t="shared" ref="Q25" si="10">IF(Q24=0, Q23, Q23/Q24)</f>
        <v>367</v>
      </c>
      <c r="R25" s="28">
        <f t="shared" ref="R25:S25" si="11">IF(R24=0, R23, R23/R24)</f>
        <v>0</v>
      </c>
      <c r="S25" s="28">
        <f t="shared" si="11"/>
        <v>5341</v>
      </c>
      <c r="T25" s="28">
        <f t="shared" ref="T25" si="12">IF(T24=0, T23, T23/T24)</f>
        <v>3613.75</v>
      </c>
      <c r="U25" s="28">
        <f t="shared" ref="U25:V25" si="13">IF(U24=0, U23, U23/U24)</f>
        <v>1715.5</v>
      </c>
      <c r="V25" s="28">
        <f t="shared" si="13"/>
        <v>1174</v>
      </c>
      <c r="W25" s="28">
        <f t="shared" ref="W25" si="14">IF(W24=0, W23, W23/W24)</f>
        <v>2612</v>
      </c>
      <c r="X25" s="28">
        <f t="shared" ref="X25:Y25" si="15">IF(X24=0, X23, X23/X24)</f>
        <v>2774</v>
      </c>
      <c r="Y25" s="28">
        <f t="shared" si="15"/>
        <v>505</v>
      </c>
      <c r="Z25" s="28">
        <f t="shared" ref="Z25" si="16">IF(Z24=0, Z23, Z23/Z24)</f>
        <v>4052</v>
      </c>
      <c r="AA25" s="28">
        <f t="shared" ref="AA25:AB25" si="17">IF(AA24=0, AA23, AA23/AA24)</f>
        <v>9993</v>
      </c>
      <c r="AB25" s="28">
        <f t="shared" si="17"/>
        <v>0</v>
      </c>
      <c r="AC25" s="28">
        <f t="shared" ref="AC25" si="18">IF(AC24=0, AC23, AC23/AC24)</f>
        <v>11999</v>
      </c>
      <c r="AD25" s="28">
        <f t="shared" ref="AD25:AE25" si="19">IF(AD24=0, AD23, AD23/AD24)</f>
        <v>180</v>
      </c>
      <c r="AE25" s="28">
        <f t="shared" si="19"/>
        <v>2475</v>
      </c>
      <c r="AF25" s="28">
        <f t="shared" ref="AF25" si="20">IF(AF24=0, AF23, AF23/AF24)</f>
        <v>0</v>
      </c>
      <c r="AG25" s="28">
        <f t="shared" ref="AG25" si="21">IF(AG24=0, AG23, AG23/AG24)</f>
        <v>0</v>
      </c>
      <c r="AH25" s="36"/>
      <c r="AI25" s="12">
        <f>AI23/AH37</f>
        <v>4928.2</v>
      </c>
      <c r="AJ25" s="34"/>
    </row>
    <row r="26" spans="1:40" s="15" customFormat="1" ht="14.25" customHeight="1" x14ac:dyDescent="0.4">
      <c r="A26" s="67" t="s">
        <v>14</v>
      </c>
      <c r="B26" s="68"/>
      <c r="C26" s="40">
        <v>0</v>
      </c>
      <c r="D26" s="40">
        <v>0</v>
      </c>
      <c r="E26" s="40">
        <v>1</v>
      </c>
      <c r="F26" s="40">
        <v>0</v>
      </c>
      <c r="G26" s="40">
        <v>0</v>
      </c>
      <c r="H26" s="40">
        <v>0</v>
      </c>
      <c r="I26" s="40">
        <v>0</v>
      </c>
      <c r="J26" s="40">
        <v>1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1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35">
        <f>SUBTOTAL(9,C26:AG26)</f>
        <v>3</v>
      </c>
      <c r="AI26" s="41">
        <f>AH26/AH24</f>
        <v>0.1</v>
      </c>
      <c r="AJ26" s="35"/>
    </row>
    <row r="27" spans="1:40" s="15" customFormat="1" ht="14.4" customHeight="1" x14ac:dyDescent="0.4">
      <c r="A27" s="56" t="s">
        <v>15</v>
      </c>
      <c r="B27" s="57"/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1</v>
      </c>
      <c r="N27" s="40">
        <v>1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1</v>
      </c>
      <c r="U27" s="40">
        <v>2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1</v>
      </c>
      <c r="AD27" s="40">
        <v>0</v>
      </c>
      <c r="AE27" s="40">
        <v>0</v>
      </c>
      <c r="AF27" s="40">
        <v>0</v>
      </c>
      <c r="AG27" s="40">
        <v>0</v>
      </c>
      <c r="AH27" s="35">
        <f t="shared" ref="AH27:AH35" si="22">SUBTOTAL(9,C27:AG27)</f>
        <v>6</v>
      </c>
      <c r="AI27" s="41">
        <f>AH27/AH24</f>
        <v>0.2</v>
      </c>
      <c r="AJ27" s="35"/>
    </row>
    <row r="28" spans="1:40" s="15" customFormat="1" ht="14.4" customHeight="1" x14ac:dyDescent="0.4">
      <c r="A28" s="56" t="s">
        <v>16</v>
      </c>
      <c r="B28" s="57"/>
      <c r="C28" s="40">
        <v>0</v>
      </c>
      <c r="D28" s="40">
        <v>0</v>
      </c>
      <c r="E28" s="40">
        <v>0</v>
      </c>
      <c r="F28" s="40">
        <v>3</v>
      </c>
      <c r="G28" s="40">
        <v>1</v>
      </c>
      <c r="H28" s="40">
        <v>0</v>
      </c>
      <c r="I28" s="40">
        <v>0</v>
      </c>
      <c r="J28" s="40">
        <v>1</v>
      </c>
      <c r="K28" s="40">
        <v>0</v>
      </c>
      <c r="L28" s="40">
        <v>0</v>
      </c>
      <c r="M28" s="40">
        <v>0</v>
      </c>
      <c r="N28" s="40">
        <v>1</v>
      </c>
      <c r="O28" s="40">
        <v>1</v>
      </c>
      <c r="P28" s="40">
        <v>0</v>
      </c>
      <c r="Q28" s="40">
        <v>0</v>
      </c>
      <c r="R28" s="40">
        <v>0</v>
      </c>
      <c r="S28" s="40">
        <v>1</v>
      </c>
      <c r="T28" s="40">
        <v>1</v>
      </c>
      <c r="U28" s="40">
        <v>0</v>
      </c>
      <c r="V28" s="40">
        <v>0</v>
      </c>
      <c r="W28" s="40">
        <v>3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35">
        <f t="shared" si="22"/>
        <v>12</v>
      </c>
      <c r="AI28" s="41">
        <f>AH28/AH24</f>
        <v>0.4</v>
      </c>
      <c r="AJ28" s="35"/>
      <c r="AL28" s="40">
        <v>0</v>
      </c>
      <c r="AM28" s="40">
        <v>0</v>
      </c>
      <c r="AN28" s="40">
        <v>0</v>
      </c>
    </row>
    <row r="29" spans="1:40" ht="14.4" customHeight="1" x14ac:dyDescent="0.4">
      <c r="A29" s="56" t="s">
        <v>17</v>
      </c>
      <c r="B29" s="57"/>
      <c r="C29" s="1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35">
        <f>SUBTOTAL(9,C29:AF29)</f>
        <v>0</v>
      </c>
      <c r="AI29" s="13">
        <f>AH29/AH24</f>
        <v>0</v>
      </c>
      <c r="AJ29" s="9"/>
    </row>
    <row r="30" spans="1:40" ht="14.4" customHeight="1" x14ac:dyDescent="0.4">
      <c r="A30" s="56" t="s">
        <v>23</v>
      </c>
      <c r="B30" s="57"/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35">
        <f>SUBTOTAL(9,C30:AG30)</f>
        <v>0</v>
      </c>
      <c r="AI30" s="13">
        <f>AH30/AH24</f>
        <v>0</v>
      </c>
      <c r="AJ30" s="9"/>
    </row>
    <row r="31" spans="1:40" ht="14.4" customHeight="1" x14ac:dyDescent="0.4">
      <c r="A31" s="56" t="s">
        <v>20</v>
      </c>
      <c r="B31" s="57"/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35">
        <f>SUBTOTAL(9,C31:AG31)</f>
        <v>0</v>
      </c>
      <c r="AI31" s="13">
        <f>AH31/AH24</f>
        <v>0</v>
      </c>
      <c r="AJ31" s="9"/>
    </row>
    <row r="32" spans="1:40" ht="14.4" customHeight="1" x14ac:dyDescent="0.4">
      <c r="A32" s="56" t="s">
        <v>22</v>
      </c>
      <c r="B32" s="57"/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35">
        <f>SUBTOTAL(9,C32:AG32)</f>
        <v>0</v>
      </c>
      <c r="AI32" s="13">
        <f>AH32/AH24</f>
        <v>0</v>
      </c>
      <c r="AJ32" s="9"/>
    </row>
    <row r="33" spans="1:89" ht="14.4" customHeight="1" x14ac:dyDescent="0.4">
      <c r="A33" s="56" t="s">
        <v>18</v>
      </c>
      <c r="B33" s="57"/>
      <c r="C33" s="40">
        <v>0</v>
      </c>
      <c r="D33" s="40">
        <v>1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1</v>
      </c>
      <c r="K33" s="40">
        <v>0</v>
      </c>
      <c r="L33" s="40">
        <v>0</v>
      </c>
      <c r="M33" s="40">
        <v>0</v>
      </c>
      <c r="N33" s="40">
        <v>1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1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35">
        <f>SUBTOTAL(9,C33:AG33)</f>
        <v>4</v>
      </c>
      <c r="AI33" s="13">
        <f>AH33/AH24</f>
        <v>0.13333333333333333</v>
      </c>
      <c r="AJ33" s="9"/>
    </row>
    <row r="34" spans="1:89" ht="14.4" customHeight="1" x14ac:dyDescent="0.4">
      <c r="A34" s="56" t="s">
        <v>19</v>
      </c>
      <c r="B34" s="57"/>
      <c r="C34" s="40">
        <v>0</v>
      </c>
      <c r="D34" s="40">
        <v>0</v>
      </c>
      <c r="E34" s="40">
        <v>0</v>
      </c>
      <c r="F34" s="40">
        <v>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1</v>
      </c>
      <c r="AA34" s="40">
        <v>1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35">
        <f t="shared" si="22"/>
        <v>3</v>
      </c>
      <c r="AI34" s="13">
        <f>AH34/AH24</f>
        <v>0.1</v>
      </c>
      <c r="AJ34" s="9"/>
    </row>
    <row r="35" spans="1:89" ht="14.4" customHeight="1" x14ac:dyDescent="0.4">
      <c r="A35" s="56" t="s">
        <v>21</v>
      </c>
      <c r="B35" s="57"/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2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35">
        <f t="shared" si="22"/>
        <v>2</v>
      </c>
      <c r="AI35" s="13">
        <f>AH35/AH24</f>
        <v>6.6666666666666666E-2</v>
      </c>
      <c r="AJ35" s="9"/>
    </row>
    <row r="36" spans="1:89" ht="14.4" customHeight="1" x14ac:dyDescent="0.4">
      <c r="A36" s="56" t="s">
        <v>24</v>
      </c>
      <c r="B36" s="57"/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35">
        <f t="shared" ref="AH36" si="23">SUBTOTAL(9,C36:AG36)</f>
        <v>0</v>
      </c>
      <c r="AI36" s="13">
        <f>AH36/AH24</f>
        <v>0</v>
      </c>
      <c r="AJ36" s="9"/>
    </row>
    <row r="37" spans="1:89" x14ac:dyDescent="0.4">
      <c r="A37" s="84" t="s">
        <v>2313</v>
      </c>
      <c r="B37" s="85"/>
      <c r="C37" s="29">
        <f>SUM(C26:C36)</f>
        <v>0</v>
      </c>
      <c r="D37" s="29">
        <f t="shared" ref="D37:AG37" si="24">SUM(D26:D36)</f>
        <v>1</v>
      </c>
      <c r="E37" s="29">
        <f t="shared" si="24"/>
        <v>1</v>
      </c>
      <c r="F37" s="29">
        <f t="shared" si="24"/>
        <v>4</v>
      </c>
      <c r="G37" s="29">
        <f t="shared" si="24"/>
        <v>1</v>
      </c>
      <c r="H37" s="29">
        <f t="shared" si="24"/>
        <v>0</v>
      </c>
      <c r="I37" s="29">
        <f t="shared" si="24"/>
        <v>0</v>
      </c>
      <c r="J37" s="29">
        <f t="shared" si="24"/>
        <v>3</v>
      </c>
      <c r="K37" s="29">
        <f t="shared" si="24"/>
        <v>0</v>
      </c>
      <c r="L37" s="29">
        <f t="shared" si="24"/>
        <v>0</v>
      </c>
      <c r="M37" s="29">
        <f t="shared" si="24"/>
        <v>1</v>
      </c>
      <c r="N37" s="29">
        <f t="shared" si="24"/>
        <v>3</v>
      </c>
      <c r="O37" s="29">
        <f t="shared" si="24"/>
        <v>1</v>
      </c>
      <c r="P37" s="29">
        <f t="shared" si="24"/>
        <v>0</v>
      </c>
      <c r="Q37" s="29">
        <f t="shared" si="24"/>
        <v>0</v>
      </c>
      <c r="R37" s="29">
        <f t="shared" si="24"/>
        <v>0</v>
      </c>
      <c r="S37" s="29">
        <f t="shared" si="24"/>
        <v>1</v>
      </c>
      <c r="T37" s="29">
        <f t="shared" si="24"/>
        <v>4</v>
      </c>
      <c r="U37" s="29">
        <f t="shared" si="24"/>
        <v>2</v>
      </c>
      <c r="V37" s="29">
        <f t="shared" si="24"/>
        <v>0</v>
      </c>
      <c r="W37" s="29">
        <f t="shared" si="24"/>
        <v>3</v>
      </c>
      <c r="X37" s="38">
        <f t="shared" si="24"/>
        <v>0</v>
      </c>
      <c r="Y37" s="38">
        <f t="shared" si="24"/>
        <v>0</v>
      </c>
      <c r="Z37" s="29">
        <f t="shared" si="24"/>
        <v>3</v>
      </c>
      <c r="AA37" s="29">
        <f t="shared" si="24"/>
        <v>1</v>
      </c>
      <c r="AB37" s="29">
        <f t="shared" si="24"/>
        <v>0</v>
      </c>
      <c r="AC37" s="29">
        <f t="shared" si="24"/>
        <v>1</v>
      </c>
      <c r="AD37" s="29">
        <f t="shared" si="24"/>
        <v>0</v>
      </c>
      <c r="AE37" s="29">
        <f t="shared" si="24"/>
        <v>0</v>
      </c>
      <c r="AF37" s="29">
        <f t="shared" si="24"/>
        <v>0</v>
      </c>
      <c r="AG37" s="29">
        <f t="shared" si="24"/>
        <v>0</v>
      </c>
      <c r="AH37" s="14">
        <f>SUBTOTAL(9,C37:AG37)</f>
        <v>30</v>
      </c>
      <c r="AI37" s="84" t="s">
        <v>25</v>
      </c>
      <c r="AJ37" s="85"/>
    </row>
    <row r="38" spans="1:89" s="15" customFormat="1" x14ac:dyDescent="0.4">
      <c r="B38" s="22"/>
      <c r="X38" s="39"/>
      <c r="Y38" s="39"/>
    </row>
    <row r="39" spans="1:89" s="15" customFormat="1" x14ac:dyDescent="0.4">
      <c r="A39" s="16" t="s">
        <v>26</v>
      </c>
      <c r="B39" s="17">
        <f>SUM(B41:B425)</f>
        <v>147846</v>
      </c>
      <c r="C39" s="18" t="s">
        <v>27</v>
      </c>
      <c r="D39" s="14">
        <f>AH37</f>
        <v>30</v>
      </c>
      <c r="E39" s="19" t="s">
        <v>13</v>
      </c>
      <c r="F39" s="20">
        <f>AI25</f>
        <v>4928.2</v>
      </c>
      <c r="G39" s="21" t="s">
        <v>28</v>
      </c>
      <c r="H39" s="21" t="e">
        <f>#REF!</f>
        <v>#REF!</v>
      </c>
      <c r="X39" s="39"/>
      <c r="Y39" s="39"/>
    </row>
    <row r="40" spans="1:89" s="15" customFormat="1" x14ac:dyDescent="0.4">
      <c r="A40" s="72" t="s">
        <v>11</v>
      </c>
      <c r="B40" s="74" t="s">
        <v>12</v>
      </c>
      <c r="C40" s="86" t="s">
        <v>29</v>
      </c>
      <c r="D40" s="88" t="s">
        <v>30</v>
      </c>
      <c r="E40" s="89"/>
      <c r="F40" s="93" t="s">
        <v>31</v>
      </c>
      <c r="G40" s="94"/>
      <c r="H40" s="94"/>
      <c r="I40" s="94"/>
      <c r="J40" s="94"/>
      <c r="K40" s="94"/>
      <c r="L40" s="94"/>
      <c r="M40" s="94"/>
      <c r="N40" s="95"/>
      <c r="O40" s="99" t="s">
        <v>2312</v>
      </c>
      <c r="P40" s="100"/>
      <c r="Q40" s="100"/>
      <c r="R40" s="100"/>
      <c r="S40" s="100"/>
      <c r="T40" s="100"/>
      <c r="U40" s="100"/>
      <c r="V40" s="101"/>
      <c r="W40" s="105" t="s">
        <v>2310</v>
      </c>
      <c r="X40" s="106" t="s">
        <v>2311</v>
      </c>
      <c r="Y40" s="107"/>
      <c r="Z40" s="105"/>
      <c r="AA40" s="105"/>
      <c r="AB40" s="105"/>
      <c r="AC40" s="110"/>
      <c r="AD40" s="107"/>
      <c r="AE40" s="114"/>
      <c r="AF40" s="114"/>
      <c r="AG40" s="114"/>
      <c r="AH40" s="114"/>
      <c r="AI40" s="92"/>
      <c r="AJ40" s="22"/>
      <c r="AK40" s="22"/>
      <c r="AL40" s="22"/>
      <c r="AM40" s="22"/>
      <c r="AN40" s="22"/>
    </row>
    <row r="41" spans="1:89" s="15" customFormat="1" x14ac:dyDescent="0.4">
      <c r="A41" s="73"/>
      <c r="B41" s="75"/>
      <c r="C41" s="87"/>
      <c r="D41" s="90"/>
      <c r="E41" s="91"/>
      <c r="F41" s="96"/>
      <c r="G41" s="97"/>
      <c r="H41" s="97"/>
      <c r="I41" s="97"/>
      <c r="J41" s="97"/>
      <c r="K41" s="97"/>
      <c r="L41" s="97"/>
      <c r="M41" s="97"/>
      <c r="N41" s="98"/>
      <c r="O41" s="102"/>
      <c r="P41" s="103"/>
      <c r="Q41" s="103"/>
      <c r="R41" s="103"/>
      <c r="S41" s="103"/>
      <c r="T41" s="103"/>
      <c r="U41" s="103"/>
      <c r="V41" s="104"/>
      <c r="W41" s="105"/>
      <c r="X41" s="108"/>
      <c r="Y41" s="109"/>
      <c r="Z41" s="105"/>
      <c r="AA41" s="105"/>
      <c r="AB41" s="105"/>
      <c r="AC41" s="111"/>
      <c r="AD41" s="109"/>
      <c r="AE41" s="114"/>
      <c r="AF41" s="114"/>
      <c r="AG41" s="114"/>
      <c r="AH41" s="114"/>
      <c r="AI41" s="92"/>
      <c r="AJ41" s="22"/>
      <c r="AK41" s="22"/>
      <c r="AL41" s="22"/>
      <c r="AM41" s="22"/>
      <c r="AN41" s="22"/>
    </row>
    <row r="42" spans="1:89" s="30" customFormat="1" ht="16.5" hidden="1" customHeight="1" x14ac:dyDescent="0.4">
      <c r="A42" s="45"/>
      <c r="B42" s="26"/>
      <c r="C42" s="26"/>
      <c r="D42" s="26"/>
      <c r="E42" s="26"/>
      <c r="F42" s="59" t="str">
        <f>IFERROR(VLOOKUP(D42,ErrorList!$A$1:$C$2305,3,FALSE),"-")</f>
        <v>-</v>
      </c>
      <c r="G42" s="60"/>
      <c r="H42" s="60"/>
      <c r="I42" s="60"/>
      <c r="J42" s="60"/>
      <c r="K42" s="60"/>
      <c r="L42" s="60"/>
      <c r="M42" s="60"/>
      <c r="N42" s="61"/>
      <c r="O42" s="62"/>
      <c r="P42" s="63"/>
      <c r="Q42" s="63"/>
      <c r="R42" s="63"/>
      <c r="S42" s="63"/>
      <c r="T42" s="63"/>
      <c r="U42" s="63"/>
      <c r="V42" s="64"/>
      <c r="W42" s="32"/>
      <c r="X42" s="65" t="str">
        <f>IFERROR(VLOOKUP(D42,ErrorList!$A$1:$C$2305,2,FALSE),"-")</f>
        <v>-</v>
      </c>
      <c r="Y42" s="66"/>
      <c r="Z42" s="56"/>
      <c r="AA42" s="57"/>
      <c r="AB42" s="31"/>
      <c r="AC42" s="56"/>
      <c r="AD42" s="57"/>
      <c r="AE42" s="58"/>
      <c r="AF42" s="58"/>
      <c r="AG42" s="58"/>
      <c r="AH42" s="58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0" customFormat="1" ht="16.5" hidden="1" customHeight="1" x14ac:dyDescent="0.4">
      <c r="A43" s="45"/>
      <c r="B43" s="26"/>
      <c r="C43" s="26"/>
      <c r="D43" s="26"/>
      <c r="E43" s="26"/>
      <c r="F43" s="59" t="str">
        <f>IFERROR(VLOOKUP(D43,ErrorList!$A$1:$C$2305,3,FALSE),"-")</f>
        <v>-</v>
      </c>
      <c r="G43" s="60"/>
      <c r="H43" s="60"/>
      <c r="I43" s="60"/>
      <c r="J43" s="60"/>
      <c r="K43" s="60"/>
      <c r="L43" s="60"/>
      <c r="M43" s="60"/>
      <c r="N43" s="61"/>
      <c r="O43" s="62"/>
      <c r="P43" s="63"/>
      <c r="Q43" s="63"/>
      <c r="R43" s="63"/>
      <c r="S43" s="63"/>
      <c r="T43" s="63"/>
      <c r="U43" s="63"/>
      <c r="V43" s="64"/>
      <c r="W43" s="32"/>
      <c r="X43" s="65" t="str">
        <f>IFERROR(VLOOKUP(D43,ErrorList!$A$1:$C$2305,2,FALSE),"-")</f>
        <v>-</v>
      </c>
      <c r="Y43" s="66"/>
      <c r="Z43" s="56"/>
      <c r="AA43" s="57"/>
      <c r="AB43" s="31"/>
      <c r="AC43" s="56"/>
      <c r="AD43" s="57"/>
      <c r="AE43" s="58"/>
      <c r="AF43" s="58"/>
      <c r="AG43" s="58"/>
      <c r="AH43" s="58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0" customFormat="1" ht="16.5" hidden="1" customHeight="1" x14ac:dyDescent="0.4">
      <c r="A44" s="45"/>
      <c r="B44" s="26"/>
      <c r="C44" s="26"/>
      <c r="D44" s="26"/>
      <c r="E44" s="26"/>
      <c r="F44" s="51" t="str">
        <f>IFERROR(VLOOKUP(D44,ErrorList!$A$1:$C$2305,3,FALSE),"-")</f>
        <v>-</v>
      </c>
      <c r="G44" s="52"/>
      <c r="H44" s="52"/>
      <c r="I44" s="52"/>
      <c r="J44" s="52"/>
      <c r="K44" s="52"/>
      <c r="L44" s="52"/>
      <c r="M44" s="52"/>
      <c r="N44" s="53"/>
      <c r="O44" s="62"/>
      <c r="P44" s="63"/>
      <c r="Q44" s="63"/>
      <c r="R44" s="63"/>
      <c r="S44" s="63"/>
      <c r="T44" s="63"/>
      <c r="U44" s="63"/>
      <c r="V44" s="64"/>
      <c r="W44" s="32"/>
      <c r="X44" s="65" t="str">
        <f>IFERROR(VLOOKUP(D44,ErrorList!$A$1:$C$2305,2,FALSE),"-")</f>
        <v>-</v>
      </c>
      <c r="Y44" s="66"/>
      <c r="Z44" s="56"/>
      <c r="AA44" s="57"/>
      <c r="AB44" s="31"/>
      <c r="AC44" s="56"/>
      <c r="AD44" s="57"/>
      <c r="AE44" s="58"/>
      <c r="AF44" s="58"/>
      <c r="AG44" s="58"/>
      <c r="AH44" s="58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0" customFormat="1" ht="16.5" hidden="1" customHeight="1" x14ac:dyDescent="0.4">
      <c r="A45" s="45"/>
      <c r="B45" s="26"/>
      <c r="C45" s="26"/>
      <c r="D45" s="26"/>
      <c r="E45" s="26"/>
      <c r="F45" s="51" t="str">
        <f>IFERROR(VLOOKUP(D45,ErrorList!$A$1:$C$2305,3,FALSE),"-")</f>
        <v>-</v>
      </c>
      <c r="G45" s="52"/>
      <c r="H45" s="52"/>
      <c r="I45" s="52"/>
      <c r="J45" s="52"/>
      <c r="K45" s="52"/>
      <c r="L45" s="52"/>
      <c r="M45" s="52"/>
      <c r="N45" s="53"/>
      <c r="O45" s="62"/>
      <c r="P45" s="63"/>
      <c r="Q45" s="63"/>
      <c r="R45" s="63"/>
      <c r="S45" s="63"/>
      <c r="T45" s="63"/>
      <c r="U45" s="63"/>
      <c r="V45" s="64"/>
      <c r="W45" s="32"/>
      <c r="X45" s="65" t="str">
        <f>IFERROR(VLOOKUP(D45,ErrorList!$A$1:$C$2305,2,FALSE),"-")</f>
        <v>-</v>
      </c>
      <c r="Y45" s="66"/>
      <c r="Z45" s="56"/>
      <c r="AA45" s="57"/>
      <c r="AB45" s="31"/>
      <c r="AC45" s="56"/>
      <c r="AD45" s="57"/>
      <c r="AE45" s="58"/>
      <c r="AF45" s="58"/>
      <c r="AG45" s="58"/>
      <c r="AH45" s="58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0" customFormat="1" ht="16.5" hidden="1" customHeight="1" x14ac:dyDescent="0.4">
      <c r="A46" s="45"/>
      <c r="B46" s="26"/>
      <c r="C46" s="26"/>
      <c r="D46" s="26"/>
      <c r="E46" s="26"/>
      <c r="F46" s="51" t="str">
        <f>IFERROR(VLOOKUP(D46,ErrorList!$A$1:$C$2305,3,FALSE),"-")</f>
        <v>-</v>
      </c>
      <c r="G46" s="52"/>
      <c r="H46" s="52"/>
      <c r="I46" s="52"/>
      <c r="J46" s="52"/>
      <c r="K46" s="52"/>
      <c r="L46" s="52"/>
      <c r="M46" s="52"/>
      <c r="N46" s="53"/>
      <c r="O46" s="62"/>
      <c r="P46" s="63"/>
      <c r="Q46" s="63"/>
      <c r="R46" s="63"/>
      <c r="S46" s="63"/>
      <c r="T46" s="63"/>
      <c r="U46" s="63"/>
      <c r="V46" s="64"/>
      <c r="W46" s="32"/>
      <c r="X46" s="65" t="str">
        <f>IFERROR(VLOOKUP(D46,ErrorList!$A$1:$C$2305,2,FALSE),"-")</f>
        <v>-</v>
      </c>
      <c r="Y46" s="66"/>
      <c r="Z46" s="56"/>
      <c r="AA46" s="57"/>
      <c r="AB46" s="31"/>
      <c r="AC46" s="56"/>
      <c r="AD46" s="57"/>
      <c r="AE46" s="58"/>
      <c r="AF46" s="58"/>
      <c r="AG46" s="58"/>
      <c r="AH46" s="58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0" customFormat="1" ht="16.5" hidden="1" customHeight="1" x14ac:dyDescent="0.4">
      <c r="A47" s="45">
        <v>46118</v>
      </c>
      <c r="B47" s="26"/>
      <c r="C47" s="26"/>
      <c r="D47" s="26"/>
      <c r="E47" s="26"/>
      <c r="F47" s="51" t="str">
        <f>IFERROR(VLOOKUP(D47,ErrorList!$A$1:$C$2305,3,FALSE),"-")</f>
        <v>-</v>
      </c>
      <c r="G47" s="52"/>
      <c r="H47" s="52"/>
      <c r="I47" s="52"/>
      <c r="J47" s="52"/>
      <c r="K47" s="52"/>
      <c r="L47" s="52"/>
      <c r="M47" s="52"/>
      <c r="N47" s="53"/>
      <c r="O47" s="62"/>
      <c r="P47" s="63"/>
      <c r="Q47" s="63"/>
      <c r="R47" s="63"/>
      <c r="S47" s="63"/>
      <c r="T47" s="63"/>
      <c r="U47" s="63"/>
      <c r="V47" s="64"/>
      <c r="W47" s="32"/>
      <c r="X47" s="65" t="str">
        <f>IFERROR(VLOOKUP(D47,ErrorList!$A$1:$C$2305,2,FALSE),"-")</f>
        <v>-</v>
      </c>
      <c r="Y47" s="66"/>
      <c r="Z47" s="56"/>
      <c r="AA47" s="57"/>
      <c r="AB47" s="31"/>
      <c r="AC47" s="56"/>
      <c r="AD47" s="57"/>
      <c r="AE47" s="58"/>
      <c r="AF47" s="58"/>
      <c r="AG47" s="58"/>
      <c r="AH47" s="58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0" customFormat="1" ht="16.5" hidden="1" customHeight="1" x14ac:dyDescent="0.4">
      <c r="A48" s="45"/>
      <c r="B48" s="26"/>
      <c r="C48" s="26"/>
      <c r="D48" s="26"/>
      <c r="E48" s="26"/>
      <c r="F48" s="51" t="str">
        <f>IFERROR(VLOOKUP(D48,ErrorList!$A$1:$C$2305,3,FALSE),"-")</f>
        <v>-</v>
      </c>
      <c r="G48" s="52"/>
      <c r="H48" s="52"/>
      <c r="I48" s="52"/>
      <c r="J48" s="52"/>
      <c r="K48" s="52"/>
      <c r="L48" s="52"/>
      <c r="M48" s="52"/>
      <c r="N48" s="53"/>
      <c r="O48" s="62"/>
      <c r="P48" s="63"/>
      <c r="Q48" s="63"/>
      <c r="R48" s="63"/>
      <c r="S48" s="63"/>
      <c r="T48" s="63"/>
      <c r="U48" s="63"/>
      <c r="V48" s="64"/>
      <c r="W48" s="32"/>
      <c r="X48" s="65"/>
      <c r="Y48" s="66"/>
      <c r="Z48" s="56"/>
      <c r="AA48" s="57"/>
      <c r="AB48" s="31"/>
      <c r="AC48" s="56"/>
      <c r="AD48" s="57"/>
      <c r="AE48" s="58"/>
      <c r="AF48" s="58"/>
      <c r="AG48" s="58"/>
      <c r="AH48" s="58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0" customFormat="1" ht="16.5" hidden="1" customHeight="1" x14ac:dyDescent="0.4">
      <c r="A49" s="45"/>
      <c r="B49" s="26"/>
      <c r="C49" s="26"/>
      <c r="D49" s="26"/>
      <c r="E49" s="26"/>
      <c r="F49" s="51" t="str">
        <f>IFERROR(VLOOKUP(D49,ErrorList!$A$1:$C$2305,3,FALSE),"-")</f>
        <v>-</v>
      </c>
      <c r="G49" s="52"/>
      <c r="H49" s="52"/>
      <c r="I49" s="52"/>
      <c r="J49" s="52"/>
      <c r="K49" s="52"/>
      <c r="L49" s="52"/>
      <c r="M49" s="52"/>
      <c r="N49" s="53"/>
      <c r="O49" s="62"/>
      <c r="P49" s="63"/>
      <c r="Q49" s="63"/>
      <c r="R49" s="63"/>
      <c r="S49" s="63"/>
      <c r="T49" s="63"/>
      <c r="U49" s="63"/>
      <c r="V49" s="64"/>
      <c r="W49" s="32"/>
      <c r="X49" s="65"/>
      <c r="Y49" s="66"/>
      <c r="Z49" s="56"/>
      <c r="AA49" s="57"/>
      <c r="AB49" s="31"/>
      <c r="AC49" s="56"/>
      <c r="AD49" s="57"/>
      <c r="AE49" s="58"/>
      <c r="AF49" s="58"/>
      <c r="AG49" s="58"/>
      <c r="AH49" s="58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0" customFormat="1" ht="16.5" hidden="1" customHeight="1" x14ac:dyDescent="0.4">
      <c r="A50" s="45"/>
      <c r="B50" s="26"/>
      <c r="C50" s="26"/>
      <c r="D50" s="26"/>
      <c r="E50" s="26"/>
      <c r="F50" s="51" t="str">
        <f>IFERROR(VLOOKUP(D50,ErrorList!$A$1:$C$2305,3,FALSE),"-")</f>
        <v>-</v>
      </c>
      <c r="G50" s="52"/>
      <c r="H50" s="52"/>
      <c r="I50" s="52"/>
      <c r="J50" s="52"/>
      <c r="K50" s="52"/>
      <c r="L50" s="52"/>
      <c r="M50" s="52"/>
      <c r="N50" s="53"/>
      <c r="O50" s="62"/>
      <c r="P50" s="63"/>
      <c r="Q50" s="63"/>
      <c r="R50" s="63"/>
      <c r="S50" s="63"/>
      <c r="T50" s="63"/>
      <c r="U50" s="63"/>
      <c r="V50" s="64"/>
      <c r="W50" s="32"/>
      <c r="X50" s="65"/>
      <c r="Y50" s="66"/>
      <c r="Z50" s="56"/>
      <c r="AA50" s="57"/>
      <c r="AB50" s="31"/>
      <c r="AC50" s="56"/>
      <c r="AD50" s="57"/>
      <c r="AE50" s="58"/>
      <c r="AF50" s="58"/>
      <c r="AG50" s="58"/>
      <c r="AH50" s="58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0" customFormat="1" ht="48" hidden="1" customHeight="1" x14ac:dyDescent="0.4">
      <c r="A51" s="45"/>
      <c r="B51" s="26"/>
      <c r="C51" s="26"/>
      <c r="D51" s="26"/>
      <c r="E51" s="26"/>
      <c r="F51" s="51" t="str">
        <f>IFERROR(VLOOKUP(D51,ErrorList!$A$1:$C$2305,3,FALSE),"-")</f>
        <v>-</v>
      </c>
      <c r="G51" s="52"/>
      <c r="H51" s="52"/>
      <c r="I51" s="52"/>
      <c r="J51" s="52"/>
      <c r="K51" s="52"/>
      <c r="L51" s="52"/>
      <c r="M51" s="52"/>
      <c r="N51" s="53"/>
      <c r="O51" s="69"/>
      <c r="P51" s="63"/>
      <c r="Q51" s="63"/>
      <c r="R51" s="63"/>
      <c r="S51" s="63"/>
      <c r="T51" s="63"/>
      <c r="U51" s="63"/>
      <c r="V51" s="64"/>
      <c r="W51" s="32"/>
      <c r="X51" s="65"/>
      <c r="Y51" s="66"/>
      <c r="Z51" s="56"/>
      <c r="AA51" s="57"/>
      <c r="AB51" s="31"/>
      <c r="AC51" s="56"/>
      <c r="AD51" s="57"/>
      <c r="AE51" s="58"/>
      <c r="AF51" s="58"/>
      <c r="AG51" s="58"/>
      <c r="AH51" s="58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0" customFormat="1" ht="16.5" hidden="1" customHeight="1" x14ac:dyDescent="0.4">
      <c r="A52" s="45"/>
      <c r="B52" s="26"/>
      <c r="C52" s="26"/>
      <c r="D52" s="26"/>
      <c r="E52" s="26"/>
      <c r="F52" s="51" t="str">
        <f>IFERROR(VLOOKUP(D52,ErrorList!$A$1:$C$2305,3,FALSE),"-")</f>
        <v>-</v>
      </c>
      <c r="G52" s="52"/>
      <c r="H52" s="52"/>
      <c r="I52" s="52"/>
      <c r="J52" s="52"/>
      <c r="K52" s="52"/>
      <c r="L52" s="52"/>
      <c r="M52" s="52"/>
      <c r="N52" s="53"/>
      <c r="O52" s="62"/>
      <c r="P52" s="63"/>
      <c r="Q52" s="63"/>
      <c r="R52" s="63"/>
      <c r="S52" s="63"/>
      <c r="T52" s="63"/>
      <c r="U52" s="63"/>
      <c r="V52" s="64"/>
      <c r="W52" s="32"/>
      <c r="X52" s="65"/>
      <c r="Y52" s="66"/>
      <c r="Z52" s="56"/>
      <c r="AA52" s="57"/>
      <c r="AB52" s="31"/>
      <c r="AC52" s="56"/>
      <c r="AD52" s="57"/>
      <c r="AE52" s="58"/>
      <c r="AF52" s="58"/>
      <c r="AG52" s="58"/>
      <c r="AH52" s="58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0" customFormat="1" ht="48.6" hidden="1" customHeight="1" x14ac:dyDescent="0.4">
      <c r="A53" s="45"/>
      <c r="B53" s="26"/>
      <c r="C53" s="26"/>
      <c r="D53" s="26"/>
      <c r="E53" s="26"/>
      <c r="F53" s="51" t="str">
        <f>IFERROR(VLOOKUP(D53,ErrorList!$A$1:$C$2305,3,FALSE),"-")</f>
        <v>-</v>
      </c>
      <c r="G53" s="52"/>
      <c r="H53" s="52"/>
      <c r="I53" s="52"/>
      <c r="J53" s="52"/>
      <c r="K53" s="52"/>
      <c r="L53" s="52"/>
      <c r="M53" s="52"/>
      <c r="N53" s="53"/>
      <c r="O53" s="69"/>
      <c r="P53" s="63"/>
      <c r="Q53" s="63"/>
      <c r="R53" s="63"/>
      <c r="S53" s="63"/>
      <c r="T53" s="63"/>
      <c r="U53" s="63"/>
      <c r="V53" s="64"/>
      <c r="W53" s="32"/>
      <c r="X53" s="65"/>
      <c r="Y53" s="66"/>
      <c r="Z53" s="56"/>
      <c r="AA53" s="57"/>
      <c r="AB53" s="31"/>
      <c r="AC53" s="56"/>
      <c r="AD53" s="57"/>
      <c r="AE53" s="58"/>
      <c r="AF53" s="58"/>
      <c r="AG53" s="58"/>
      <c r="AH53" s="58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0" customFormat="1" ht="16.5" hidden="1" customHeight="1" x14ac:dyDescent="0.4">
      <c r="A54" s="45"/>
      <c r="B54" s="26"/>
      <c r="C54" s="26"/>
      <c r="D54" s="26"/>
      <c r="E54" s="26"/>
      <c r="F54" s="51" t="str">
        <f>IFERROR(VLOOKUP(D54,ErrorList!$A$1:$C$2305,3,FALSE),"-")</f>
        <v>-</v>
      </c>
      <c r="G54" s="52"/>
      <c r="H54" s="52"/>
      <c r="I54" s="52"/>
      <c r="J54" s="52"/>
      <c r="K54" s="52"/>
      <c r="L54" s="52"/>
      <c r="M54" s="52"/>
      <c r="N54" s="53"/>
      <c r="O54" s="62"/>
      <c r="P54" s="63"/>
      <c r="Q54" s="63"/>
      <c r="R54" s="63"/>
      <c r="S54" s="63"/>
      <c r="T54" s="63"/>
      <c r="U54" s="63"/>
      <c r="V54" s="64"/>
      <c r="W54" s="32"/>
      <c r="X54" s="65"/>
      <c r="Y54" s="66"/>
      <c r="Z54" s="56"/>
      <c r="AA54" s="57"/>
      <c r="AB54" s="31"/>
      <c r="AC54" s="56"/>
      <c r="AD54" s="57"/>
      <c r="AE54" s="58"/>
      <c r="AF54" s="58"/>
      <c r="AG54" s="58"/>
      <c r="AH54" s="58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0" customFormat="1" ht="16.5" customHeight="1" x14ac:dyDescent="0.4">
      <c r="A55" s="45">
        <v>46173</v>
      </c>
      <c r="B55" s="26">
        <v>0</v>
      </c>
      <c r="C55" s="26"/>
      <c r="D55" s="26"/>
      <c r="E55" s="26"/>
      <c r="F55" s="51" t="str">
        <f>IFERROR(VLOOKUP(D55,ErrorList!$A$1:$C$2305,3,FALSE),"-")</f>
        <v>-</v>
      </c>
      <c r="G55" s="52"/>
      <c r="H55" s="52"/>
      <c r="I55" s="52"/>
      <c r="J55" s="52"/>
      <c r="K55" s="52"/>
      <c r="L55" s="52"/>
      <c r="M55" s="52"/>
      <c r="N55" s="53"/>
      <c r="O55" s="62"/>
      <c r="P55" s="63"/>
      <c r="Q55" s="63"/>
      <c r="R55" s="63"/>
      <c r="S55" s="63"/>
      <c r="T55" s="63"/>
      <c r="U55" s="63"/>
      <c r="V55" s="64"/>
      <c r="W55" s="32"/>
      <c r="X55" s="65"/>
      <c r="Y55" s="66"/>
      <c r="Z55" s="56"/>
      <c r="AA55" s="57"/>
      <c r="AB55" s="31"/>
      <c r="AC55" s="56"/>
      <c r="AD55" s="57"/>
      <c r="AE55" s="58"/>
      <c r="AF55" s="58"/>
      <c r="AG55" s="58"/>
      <c r="AH55" s="58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0" customFormat="1" ht="16.5" customHeight="1" x14ac:dyDescent="0.4">
      <c r="A56" s="45">
        <v>46172</v>
      </c>
      <c r="B56" s="26">
        <v>0</v>
      </c>
      <c r="C56" s="26"/>
      <c r="D56" s="26"/>
      <c r="E56" s="26"/>
      <c r="F56" s="51" t="str">
        <f>IFERROR(VLOOKUP(D56,ErrorList!$A$1:$C$2305,3,FALSE),"-")</f>
        <v>-</v>
      </c>
      <c r="G56" s="52"/>
      <c r="H56" s="52"/>
      <c r="I56" s="52"/>
      <c r="J56" s="52"/>
      <c r="K56" s="52"/>
      <c r="L56" s="52"/>
      <c r="M56" s="52"/>
      <c r="N56" s="53"/>
      <c r="O56" s="62"/>
      <c r="P56" s="63"/>
      <c r="Q56" s="63"/>
      <c r="R56" s="63"/>
      <c r="S56" s="63"/>
      <c r="T56" s="63"/>
      <c r="U56" s="63"/>
      <c r="V56" s="64"/>
      <c r="W56" s="32"/>
      <c r="X56" s="65"/>
      <c r="Y56" s="66"/>
      <c r="Z56" s="56"/>
      <c r="AA56" s="57"/>
      <c r="AB56" s="31"/>
      <c r="AC56" s="56"/>
      <c r="AD56" s="57"/>
      <c r="AE56" s="58"/>
      <c r="AF56" s="58"/>
      <c r="AG56" s="58"/>
      <c r="AH56" s="58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0" customFormat="1" ht="16.5" customHeight="1" x14ac:dyDescent="0.4">
      <c r="A57" s="45">
        <v>46171</v>
      </c>
      <c r="B57" s="26">
        <v>2475</v>
      </c>
      <c r="C57" s="26"/>
      <c r="D57" s="26"/>
      <c r="E57" s="26"/>
      <c r="F57" s="51" t="str">
        <f>IFERROR(VLOOKUP(D57,ErrorList!$A$1:$C$2305,3,FALSE),"-")</f>
        <v>-</v>
      </c>
      <c r="G57" s="52"/>
      <c r="H57" s="52"/>
      <c r="I57" s="52"/>
      <c r="J57" s="52"/>
      <c r="K57" s="52"/>
      <c r="L57" s="52"/>
      <c r="M57" s="52"/>
      <c r="N57" s="53"/>
      <c r="O57" s="62"/>
      <c r="P57" s="63"/>
      <c r="Q57" s="63"/>
      <c r="R57" s="63"/>
      <c r="S57" s="63"/>
      <c r="T57" s="63"/>
      <c r="U57" s="63"/>
      <c r="V57" s="64"/>
      <c r="W57" s="32"/>
      <c r="X57" s="65"/>
      <c r="Y57" s="66"/>
      <c r="Z57" s="56"/>
      <c r="AA57" s="57"/>
      <c r="AB57" s="31"/>
      <c r="AC57" s="56"/>
      <c r="AD57" s="57"/>
      <c r="AE57" s="58"/>
      <c r="AF57" s="58"/>
      <c r="AG57" s="58"/>
      <c r="AH57" s="58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0" customFormat="1" ht="16.2" customHeight="1" x14ac:dyDescent="0.4">
      <c r="A58" s="45">
        <v>46170</v>
      </c>
      <c r="B58" s="26">
        <v>180</v>
      </c>
      <c r="C58" s="26"/>
      <c r="D58" s="26"/>
      <c r="E58" s="26"/>
      <c r="F58" s="51" t="str">
        <f>IFERROR(VLOOKUP(D58,ErrorList!$A$1:$C$2305,3,FALSE),"-")</f>
        <v>-</v>
      </c>
      <c r="G58" s="52"/>
      <c r="H58" s="52"/>
      <c r="I58" s="52"/>
      <c r="J58" s="52"/>
      <c r="K58" s="52"/>
      <c r="L58" s="52"/>
      <c r="M58" s="52"/>
      <c r="N58" s="53"/>
      <c r="O58" s="62"/>
      <c r="P58" s="63"/>
      <c r="Q58" s="63"/>
      <c r="R58" s="63"/>
      <c r="S58" s="63"/>
      <c r="T58" s="63"/>
      <c r="U58" s="63"/>
      <c r="V58" s="64"/>
      <c r="W58" s="32"/>
      <c r="X58" s="65"/>
      <c r="Y58" s="66"/>
      <c r="Z58" s="56"/>
      <c r="AA58" s="57"/>
      <c r="AB58" s="31"/>
      <c r="AC58" s="56"/>
      <c r="AD58" s="57"/>
      <c r="AE58" s="58"/>
      <c r="AF58" s="58"/>
      <c r="AG58" s="58"/>
      <c r="AH58" s="58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0" customFormat="1" ht="17.399999999999999" customHeight="1" x14ac:dyDescent="0.4">
      <c r="A59" s="45">
        <v>46169</v>
      </c>
      <c r="B59" s="26">
        <v>11999</v>
      </c>
      <c r="C59" s="26"/>
      <c r="D59" s="26">
        <v>18002</v>
      </c>
      <c r="E59" s="26">
        <v>1</v>
      </c>
      <c r="F59" s="51" t="str">
        <f>IFERROR(VLOOKUP(D59,ErrorList!$A$1:$C$2305,3,FALSE),"-")</f>
        <v xml:space="preserve"> Load Transfer C-Tray 방향 체크에 실패 하였습니다.</v>
      </c>
      <c r="G59" s="52"/>
      <c r="H59" s="52"/>
      <c r="I59" s="52"/>
      <c r="J59" s="52"/>
      <c r="K59" s="52"/>
      <c r="L59" s="52"/>
      <c r="M59" s="52"/>
      <c r="N59" s="53"/>
      <c r="O59" s="62" t="s">
        <v>2318</v>
      </c>
      <c r="P59" s="63"/>
      <c r="Q59" s="63"/>
      <c r="R59" s="63"/>
      <c r="S59" s="63"/>
      <c r="T59" s="63"/>
      <c r="U59" s="63"/>
      <c r="V59" s="64"/>
      <c r="W59" s="33">
        <v>0.69791666666666663</v>
      </c>
      <c r="X59" s="65" t="str">
        <f>IFERROR(VLOOKUP(D59,ErrorList!$A$1:$C$2305,2,FALSE),"-")</f>
        <v>[TRANSFER]</v>
      </c>
      <c r="Y59" s="66"/>
      <c r="Z59" s="56"/>
      <c r="AA59" s="57"/>
      <c r="AB59" s="31"/>
      <c r="AC59" s="56"/>
      <c r="AD59" s="57"/>
      <c r="AE59" s="58"/>
      <c r="AF59" s="58"/>
      <c r="AG59" s="58"/>
      <c r="AH59" s="58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0" customFormat="1" ht="16.5" customHeight="1" x14ac:dyDescent="0.4">
      <c r="A60" s="45">
        <v>46168</v>
      </c>
      <c r="B60" s="26">
        <v>0</v>
      </c>
      <c r="C60" s="26"/>
      <c r="D60" s="26"/>
      <c r="E60" s="26"/>
      <c r="F60" s="51" t="str">
        <f>IFERROR(VLOOKUP(D60,ErrorList!$A$1:$C$2305,3,FALSE),"-")</f>
        <v>-</v>
      </c>
      <c r="G60" s="52"/>
      <c r="H60" s="52"/>
      <c r="I60" s="52"/>
      <c r="J60" s="52"/>
      <c r="K60" s="52"/>
      <c r="L60" s="52"/>
      <c r="M60" s="52"/>
      <c r="N60" s="53"/>
      <c r="O60" s="62"/>
      <c r="P60" s="63"/>
      <c r="Q60" s="63"/>
      <c r="R60" s="63"/>
      <c r="S60" s="63"/>
      <c r="T60" s="63"/>
      <c r="U60" s="63"/>
      <c r="V60" s="64"/>
      <c r="W60" s="33"/>
      <c r="X60" s="65"/>
      <c r="Y60" s="66"/>
      <c r="Z60" s="56"/>
      <c r="AA60" s="57"/>
      <c r="AB60" s="31"/>
      <c r="AC60" s="56"/>
      <c r="AD60" s="57"/>
      <c r="AE60" s="58"/>
      <c r="AF60" s="58"/>
      <c r="AG60" s="58"/>
      <c r="AH60" s="58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0" customFormat="1" ht="33.6" customHeight="1" x14ac:dyDescent="0.4">
      <c r="A61" s="45">
        <v>46167</v>
      </c>
      <c r="B61" s="26">
        <v>9993</v>
      </c>
      <c r="C61" s="26"/>
      <c r="D61" s="26">
        <v>34085</v>
      </c>
      <c r="E61" s="26">
        <v>1</v>
      </c>
      <c r="F61" s="51" t="str">
        <f>IFERROR(VLOOKUP(D61,ErrorList!$A$1:$C$2305,3,FALSE),"-")</f>
        <v xml:space="preserve"> Unloader Picker Module Clamp Cylinder #7 Sol  동작이 실패 하였습니다.</v>
      </c>
      <c r="G61" s="52"/>
      <c r="H61" s="52"/>
      <c r="I61" s="52"/>
      <c r="J61" s="52"/>
      <c r="K61" s="52"/>
      <c r="L61" s="52"/>
      <c r="M61" s="52"/>
      <c r="N61" s="53"/>
      <c r="O61" s="69" t="s">
        <v>2337</v>
      </c>
      <c r="P61" s="70"/>
      <c r="Q61" s="70"/>
      <c r="R61" s="70"/>
      <c r="S61" s="70"/>
      <c r="T61" s="70"/>
      <c r="U61" s="70"/>
      <c r="V61" s="71"/>
      <c r="W61" s="43">
        <v>1.4583333333333334E-2</v>
      </c>
      <c r="X61" s="65" t="str">
        <f>IFERROR(VLOOKUP(D61,ErrorList!$A$1:$C$2305,2,FALSE),"-")</f>
        <v>[UNLOAD_HAND]</v>
      </c>
      <c r="Y61" s="66"/>
      <c r="Z61" s="56"/>
      <c r="AA61" s="57"/>
      <c r="AB61" s="31"/>
      <c r="AC61" s="56"/>
      <c r="AD61" s="57"/>
      <c r="AE61" s="115"/>
      <c r="AF61" s="58"/>
      <c r="AG61" s="58"/>
      <c r="AH61" s="58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0" customFormat="1" ht="33" customHeight="1" x14ac:dyDescent="0.4">
      <c r="A62" s="116">
        <v>46166</v>
      </c>
      <c r="B62" s="123">
        <v>12156</v>
      </c>
      <c r="C62" s="26"/>
      <c r="D62" s="26">
        <v>25061</v>
      </c>
      <c r="E62" s="26">
        <v>1</v>
      </c>
      <c r="F62" s="51" t="str">
        <f>IFERROR(VLOOKUP(D62,ErrorList!$A$1:$C$2305,3,FALSE),"-")</f>
        <v xml:space="preserve"> Load Picker Module Unclamp Cylinder #7 Sol  동작이 실패 하였습니다.</v>
      </c>
      <c r="G62" s="52"/>
      <c r="H62" s="52"/>
      <c r="I62" s="52"/>
      <c r="J62" s="52"/>
      <c r="K62" s="52"/>
      <c r="L62" s="52"/>
      <c r="M62" s="52"/>
      <c r="N62" s="53"/>
      <c r="O62" s="69" t="s">
        <v>2336</v>
      </c>
      <c r="P62" s="70"/>
      <c r="Q62" s="70"/>
      <c r="R62" s="70"/>
      <c r="S62" s="70"/>
      <c r="T62" s="70"/>
      <c r="U62" s="70"/>
      <c r="V62" s="71"/>
      <c r="W62" s="33">
        <v>0.58888888888888891</v>
      </c>
      <c r="X62" s="65" t="str">
        <f>IFERROR(VLOOKUP(D62,ErrorList!$A$1:$C$2305,2,FALSE),"-")</f>
        <v>[LOAD_HAND]</v>
      </c>
      <c r="Y62" s="66"/>
      <c r="Z62" s="56"/>
      <c r="AA62" s="57"/>
      <c r="AB62" s="31"/>
      <c r="AC62" s="56"/>
      <c r="AD62" s="57"/>
      <c r="AE62" s="115"/>
      <c r="AF62" s="58"/>
      <c r="AG62" s="58"/>
      <c r="AH62" s="58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0" customFormat="1" ht="33" customHeight="1" x14ac:dyDescent="0.4">
      <c r="A63" s="117"/>
      <c r="B63" s="125"/>
      <c r="C63" s="26"/>
      <c r="D63" s="26">
        <v>2220</v>
      </c>
      <c r="E63" s="26">
        <v>1</v>
      </c>
      <c r="F63" s="51" t="str">
        <f>IFERROR(VLOOKUP(D63,ErrorList!$A$1:$C$2305,3,FALSE),"-")</f>
        <v xml:space="preserve"> LD#2 Stacker Manual C-Tray Front Stopper Check   센서가 감지되지 않았습니다.</v>
      </c>
      <c r="G63" s="52"/>
      <c r="H63" s="52"/>
      <c r="I63" s="52"/>
      <c r="J63" s="52"/>
      <c r="K63" s="52"/>
      <c r="L63" s="52"/>
      <c r="M63" s="52"/>
      <c r="N63" s="53"/>
      <c r="O63" s="69" t="s">
        <v>2335</v>
      </c>
      <c r="P63" s="70"/>
      <c r="Q63" s="70"/>
      <c r="R63" s="70"/>
      <c r="S63" s="70"/>
      <c r="T63" s="70"/>
      <c r="U63" s="70"/>
      <c r="V63" s="71"/>
      <c r="W63" s="33">
        <v>0.36458333333333331</v>
      </c>
      <c r="X63" s="65" t="str">
        <f>IFERROR(VLOOKUP(D63,ErrorList!$A$1:$C$2305,2,FALSE),"-")</f>
        <v>[STACKER]</v>
      </c>
      <c r="Y63" s="66"/>
      <c r="Z63" s="56"/>
      <c r="AA63" s="57"/>
      <c r="AB63" s="31"/>
      <c r="AC63" s="56"/>
      <c r="AD63" s="57"/>
      <c r="AE63" s="58"/>
      <c r="AF63" s="58"/>
      <c r="AG63" s="58"/>
      <c r="AH63" s="58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0" customFormat="1" ht="32.4" customHeight="1" x14ac:dyDescent="0.4">
      <c r="A64" s="118"/>
      <c r="B64" s="124"/>
      <c r="C64" s="26"/>
      <c r="D64" s="26">
        <v>35071</v>
      </c>
      <c r="E64" s="26">
        <v>1</v>
      </c>
      <c r="F64" s="51" t="str">
        <f>IFERROR(VLOOKUP(D64,ErrorList!$A$1:$C$2305,3,FALSE),"-")</f>
        <v xml:space="preserve"> Unload Picker Module Cylinder #1 Down Sol  동작이 실패 하였습니다.</v>
      </c>
      <c r="G64" s="52"/>
      <c r="H64" s="52"/>
      <c r="I64" s="52"/>
      <c r="J64" s="52"/>
      <c r="K64" s="52"/>
      <c r="L64" s="52"/>
      <c r="M64" s="52"/>
      <c r="N64" s="53"/>
      <c r="O64" s="69" t="s">
        <v>2334</v>
      </c>
      <c r="P64" s="70"/>
      <c r="Q64" s="70"/>
      <c r="R64" s="70"/>
      <c r="S64" s="70"/>
      <c r="T64" s="70"/>
      <c r="U64" s="70"/>
      <c r="V64" s="71"/>
      <c r="W64" s="33">
        <v>0.35138888888888886</v>
      </c>
      <c r="X64" s="65" t="str">
        <f>IFERROR(VLOOKUP(D64,ErrorList!$A$1:$C$2305,2,FALSE),"-")</f>
        <v>[UNLOAD_HAND]</v>
      </c>
      <c r="Y64" s="66"/>
      <c r="Z64" s="56"/>
      <c r="AA64" s="57"/>
      <c r="AB64" s="31"/>
      <c r="AC64" s="56"/>
      <c r="AD64" s="57"/>
      <c r="AE64" s="58"/>
      <c r="AF64" s="58"/>
      <c r="AG64" s="58"/>
      <c r="AH64" s="58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0" customFormat="1" ht="16.5" customHeight="1" x14ac:dyDescent="0.4">
      <c r="A65" s="45">
        <v>46165</v>
      </c>
      <c r="B65" s="26">
        <v>505</v>
      </c>
      <c r="C65" s="26"/>
      <c r="D65" s="26"/>
      <c r="E65" s="26"/>
      <c r="F65" s="51" t="str">
        <f>IFERROR(VLOOKUP(D65,ErrorList!$A$1:$C$2305,3,FALSE),"-")</f>
        <v>-</v>
      </c>
      <c r="G65" s="52"/>
      <c r="H65" s="52"/>
      <c r="I65" s="52"/>
      <c r="J65" s="52"/>
      <c r="K65" s="52"/>
      <c r="L65" s="52"/>
      <c r="M65" s="52"/>
      <c r="N65" s="53"/>
      <c r="O65" s="62"/>
      <c r="P65" s="63"/>
      <c r="Q65" s="63"/>
      <c r="R65" s="63"/>
      <c r="S65" s="63"/>
      <c r="T65" s="63"/>
      <c r="U65" s="63"/>
      <c r="V65" s="64"/>
      <c r="W65" s="33"/>
      <c r="X65" s="65" t="str">
        <f>IFERROR(VLOOKUP(D65,ErrorList!$A$1:$C$2305,2,FALSE),"-")</f>
        <v>-</v>
      </c>
      <c r="Y65" s="66"/>
      <c r="Z65" s="56"/>
      <c r="AA65" s="57"/>
      <c r="AB65" s="31"/>
      <c r="AC65" s="56"/>
      <c r="AD65" s="57"/>
      <c r="AE65" s="58"/>
      <c r="AF65" s="58"/>
      <c r="AG65" s="58"/>
      <c r="AH65" s="58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0" customFormat="1" ht="16.5" customHeight="1" x14ac:dyDescent="0.4">
      <c r="A66" s="45">
        <v>46164</v>
      </c>
      <c r="B66" s="26">
        <v>2774</v>
      </c>
      <c r="C66" s="26"/>
      <c r="D66" s="26"/>
      <c r="E66" s="26"/>
      <c r="F66" s="51" t="str">
        <f>IFERROR(VLOOKUP(D66,ErrorList!$A$1:$C$2305,3,FALSE),"-")</f>
        <v>-</v>
      </c>
      <c r="G66" s="52"/>
      <c r="H66" s="52"/>
      <c r="I66" s="52"/>
      <c r="J66" s="52"/>
      <c r="K66" s="52"/>
      <c r="L66" s="52"/>
      <c r="M66" s="52"/>
      <c r="N66" s="53"/>
      <c r="O66" s="62"/>
      <c r="P66" s="63"/>
      <c r="Q66" s="63"/>
      <c r="R66" s="63"/>
      <c r="S66" s="63"/>
      <c r="T66" s="63"/>
      <c r="U66" s="63"/>
      <c r="V66" s="64"/>
      <c r="W66" s="33"/>
      <c r="X66" s="65" t="str">
        <f>IFERROR(VLOOKUP(D66,ErrorList!$A$1:$C$2305,2,FALSE),"-")</f>
        <v>-</v>
      </c>
      <c r="Y66" s="66"/>
      <c r="Z66" s="56"/>
      <c r="AA66" s="57"/>
      <c r="AB66" s="31"/>
      <c r="AC66" s="56"/>
      <c r="AD66" s="57"/>
      <c r="AE66" s="58"/>
      <c r="AF66" s="58"/>
      <c r="AG66" s="58"/>
      <c r="AH66" s="58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0" customFormat="1" ht="16.5" customHeight="1" x14ac:dyDescent="0.4">
      <c r="A67" s="45">
        <v>46163</v>
      </c>
      <c r="B67" s="123">
        <v>7836</v>
      </c>
      <c r="C67" s="26"/>
      <c r="D67" s="26">
        <v>42617</v>
      </c>
      <c r="E67" s="26">
        <v>2</v>
      </c>
      <c r="F67" s="51" t="str">
        <f>IFERROR(VLOOKUP(D67,ErrorList!$A$1:$C$2305,3,FALSE),"-")</f>
        <v xml:space="preserve"> ULD#2 Set-Plate Z-Axis Up Sensor   센서가 감지되지 않았습니다.</v>
      </c>
      <c r="G67" s="52"/>
      <c r="H67" s="52"/>
      <c r="I67" s="52"/>
      <c r="J67" s="52"/>
      <c r="K67" s="52"/>
      <c r="L67" s="52"/>
      <c r="M67" s="52"/>
      <c r="N67" s="53"/>
      <c r="O67" s="62" t="s">
        <v>2330</v>
      </c>
      <c r="P67" s="63"/>
      <c r="Q67" s="63"/>
      <c r="R67" s="63"/>
      <c r="S67" s="63"/>
      <c r="T67" s="63"/>
      <c r="U67" s="63"/>
      <c r="V67" s="64"/>
      <c r="W67" s="33" t="s">
        <v>2333</v>
      </c>
      <c r="X67" s="65" t="str">
        <f>IFERROR(VLOOKUP(D67,ErrorList!$A$1:$C$2305,2,FALSE),"-")</f>
        <v>[SETPLATE_BUFFER]</v>
      </c>
      <c r="Y67" s="66"/>
      <c r="Z67" s="56"/>
      <c r="AA67" s="57"/>
      <c r="AB67" s="31"/>
      <c r="AC67" s="56"/>
      <c r="AD67" s="57"/>
      <c r="AE67" s="58"/>
      <c r="AF67" s="58"/>
      <c r="AG67" s="58"/>
      <c r="AH67" s="58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0" customFormat="1" ht="33" customHeight="1" x14ac:dyDescent="0.4">
      <c r="A68" s="45">
        <v>46163</v>
      </c>
      <c r="B68" s="124"/>
      <c r="C68" s="26"/>
      <c r="D68" s="26">
        <v>42601</v>
      </c>
      <c r="E68" s="26">
        <v>1</v>
      </c>
      <c r="F68" s="51" t="str">
        <f>IFERROR(VLOOKUP(D68,ErrorList!$A$1:$C$2305,3,FALSE),"-")</f>
        <v xml:space="preserve"> LD#2 Set-Plate Z-Axis Up Sensor   센서가 감지되지 않았습니다.</v>
      </c>
      <c r="G68" s="52"/>
      <c r="H68" s="52"/>
      <c r="I68" s="52"/>
      <c r="J68" s="52"/>
      <c r="K68" s="52"/>
      <c r="L68" s="52"/>
      <c r="M68" s="52"/>
      <c r="N68" s="53"/>
      <c r="O68" s="69" t="s">
        <v>2331</v>
      </c>
      <c r="P68" s="70"/>
      <c r="Q68" s="70"/>
      <c r="R68" s="70"/>
      <c r="S68" s="70"/>
      <c r="T68" s="70"/>
      <c r="U68" s="70"/>
      <c r="V68" s="71"/>
      <c r="W68" s="33">
        <v>0.16458333333333333</v>
      </c>
      <c r="X68" s="65" t="str">
        <f>IFERROR(VLOOKUP(D68,ErrorList!$A$1:$C$2305,2,FALSE),"-")</f>
        <v>[SETPLATE_BUFFER]</v>
      </c>
      <c r="Y68" s="66"/>
      <c r="Z68" s="56"/>
      <c r="AA68" s="57"/>
      <c r="AB68" s="31"/>
      <c r="AC68" s="56"/>
      <c r="AD68" s="57"/>
      <c r="AE68" s="58"/>
      <c r="AF68" s="58"/>
      <c r="AG68" s="58"/>
      <c r="AH68" s="58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0" customFormat="1" ht="16.5" customHeight="1" x14ac:dyDescent="0.4">
      <c r="A69" s="45">
        <v>46162</v>
      </c>
      <c r="B69" s="26">
        <v>1174</v>
      </c>
      <c r="C69" s="26"/>
      <c r="D69" s="26"/>
      <c r="E69" s="26"/>
      <c r="F69" s="51" t="str">
        <f>IFERROR(VLOOKUP(D69,ErrorList!$A$1:$C$2305,3,FALSE),"-")</f>
        <v>-</v>
      </c>
      <c r="G69" s="52"/>
      <c r="H69" s="52"/>
      <c r="I69" s="52"/>
      <c r="J69" s="52"/>
      <c r="K69" s="52"/>
      <c r="L69" s="52"/>
      <c r="M69" s="52"/>
      <c r="N69" s="53"/>
      <c r="O69" s="62"/>
      <c r="P69" s="63"/>
      <c r="Q69" s="63"/>
      <c r="R69" s="63"/>
      <c r="S69" s="63"/>
      <c r="T69" s="63"/>
      <c r="U69" s="63"/>
      <c r="V69" s="64"/>
      <c r="W69" s="32"/>
      <c r="X69" s="65" t="str">
        <f>IFERROR(VLOOKUP(D69,ErrorList!$A$1:$C$2305,2,FALSE),"-")</f>
        <v>-</v>
      </c>
      <c r="Y69" s="66"/>
      <c r="Z69" s="56"/>
      <c r="AA69" s="57"/>
      <c r="AB69" s="31"/>
      <c r="AC69" s="56"/>
      <c r="AD69" s="57"/>
      <c r="AE69" s="58"/>
      <c r="AF69" s="58"/>
      <c r="AG69" s="58"/>
      <c r="AH69" s="58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0" customFormat="1" ht="16.5" customHeight="1" x14ac:dyDescent="0.4">
      <c r="A70" s="45">
        <v>46161</v>
      </c>
      <c r="B70" s="26">
        <v>3431</v>
      </c>
      <c r="C70" s="26"/>
      <c r="D70" s="26">
        <v>18002</v>
      </c>
      <c r="E70" s="26">
        <v>2</v>
      </c>
      <c r="F70" s="51" t="str">
        <f>IFERROR(VLOOKUP(D70,ErrorList!$A$1:$C$2305,3,FALSE),"-")</f>
        <v xml:space="preserve"> Load Transfer C-Tray 방향 체크에 실패 하였습니다.</v>
      </c>
      <c r="G70" s="52"/>
      <c r="H70" s="52"/>
      <c r="I70" s="52"/>
      <c r="J70" s="52"/>
      <c r="K70" s="52"/>
      <c r="L70" s="52"/>
      <c r="M70" s="52"/>
      <c r="N70" s="53"/>
      <c r="O70" s="62" t="s">
        <v>2318</v>
      </c>
      <c r="P70" s="63"/>
      <c r="Q70" s="63"/>
      <c r="R70" s="63"/>
      <c r="S70" s="63"/>
      <c r="T70" s="63"/>
      <c r="U70" s="63"/>
      <c r="V70" s="64"/>
      <c r="W70" s="32" t="s">
        <v>2332</v>
      </c>
      <c r="X70" s="65" t="str">
        <f>IFERROR(VLOOKUP(D70,ErrorList!$A$1:$C$2305,2,FALSE),"-")</f>
        <v>[TRANSFER]</v>
      </c>
      <c r="Y70" s="66"/>
      <c r="Z70" s="56"/>
      <c r="AA70" s="57"/>
      <c r="AB70" s="31"/>
      <c r="AC70" s="56"/>
      <c r="AD70" s="57"/>
      <c r="AE70" s="58"/>
      <c r="AF70" s="58"/>
      <c r="AG70" s="58"/>
      <c r="AH70" s="58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0" customFormat="1" ht="16.5" customHeight="1" x14ac:dyDescent="0.4">
      <c r="A71" s="116">
        <v>46160</v>
      </c>
      <c r="B71" s="123">
        <v>14455</v>
      </c>
      <c r="C71" s="26"/>
      <c r="D71" s="26">
        <v>18002</v>
      </c>
      <c r="E71" s="26">
        <v>1</v>
      </c>
      <c r="F71" s="51" t="str">
        <f>IFERROR(VLOOKUP(D71,ErrorList!$A$1:$C$2305,3,FALSE),"-")</f>
        <v xml:space="preserve"> Load Transfer C-Tray 방향 체크에 실패 하였습니다.</v>
      </c>
      <c r="G71" s="52"/>
      <c r="H71" s="52"/>
      <c r="I71" s="52"/>
      <c r="J71" s="52"/>
      <c r="K71" s="52"/>
      <c r="L71" s="52"/>
      <c r="M71" s="52"/>
      <c r="N71" s="53"/>
      <c r="O71" s="69" t="s">
        <v>2323</v>
      </c>
      <c r="P71" s="70"/>
      <c r="Q71" s="70"/>
      <c r="R71" s="70"/>
      <c r="S71" s="70"/>
      <c r="T71" s="70"/>
      <c r="U71" s="70"/>
      <c r="V71" s="71"/>
      <c r="W71" s="33">
        <v>0.91388888888888886</v>
      </c>
      <c r="X71" s="65" t="str">
        <f>IFERROR(VLOOKUP(D71,ErrorList!$A$1:$C$2305,2,FALSE),"-")</f>
        <v>[TRANSFER]</v>
      </c>
      <c r="Y71" s="66"/>
      <c r="Z71" s="56"/>
      <c r="AA71" s="57"/>
      <c r="AB71" s="31"/>
      <c r="AC71" s="56"/>
      <c r="AD71" s="57"/>
      <c r="AE71" s="58"/>
      <c r="AF71" s="58"/>
      <c r="AG71" s="58"/>
      <c r="AH71" s="58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0" customFormat="1" ht="16.5" customHeight="1" x14ac:dyDescent="0.4">
      <c r="A72" s="117"/>
      <c r="B72" s="125"/>
      <c r="C72" s="26"/>
      <c r="D72" s="26">
        <v>42617</v>
      </c>
      <c r="E72" s="26">
        <v>1</v>
      </c>
      <c r="F72" s="51" t="str">
        <f>IFERROR(VLOOKUP(D72,ErrorList!$A$1:$C$2305,3,FALSE),"-")</f>
        <v xml:space="preserve"> ULD#2 Set-Plate Z-Axis Up Sensor   센서가 감지되지 않았습니다.</v>
      </c>
      <c r="G72" s="52"/>
      <c r="H72" s="52"/>
      <c r="I72" s="52"/>
      <c r="J72" s="52"/>
      <c r="K72" s="52"/>
      <c r="L72" s="52"/>
      <c r="M72" s="52"/>
      <c r="N72" s="53"/>
      <c r="O72" s="69" t="s">
        <v>2323</v>
      </c>
      <c r="P72" s="70"/>
      <c r="Q72" s="70"/>
      <c r="R72" s="70"/>
      <c r="S72" s="70"/>
      <c r="T72" s="70"/>
      <c r="U72" s="70"/>
      <c r="V72" s="71"/>
      <c r="W72" s="33">
        <v>0.90138888888888891</v>
      </c>
      <c r="X72" s="65" t="str">
        <f>IFERROR(VLOOKUP(D72,ErrorList!$A$1:$C$2305,2,FALSE),"-")</f>
        <v>[SETPLATE_BUFFER]</v>
      </c>
      <c r="Y72" s="66"/>
      <c r="Z72" s="56"/>
      <c r="AA72" s="57"/>
      <c r="AB72" s="31"/>
      <c r="AC72" s="56"/>
      <c r="AD72" s="57"/>
      <c r="AE72" s="58"/>
      <c r="AF72" s="58"/>
      <c r="AG72" s="58"/>
      <c r="AH72" s="58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0" customFormat="1" ht="32.4" customHeight="1" x14ac:dyDescent="0.4">
      <c r="A73" s="117"/>
      <c r="B73" s="125"/>
      <c r="C73" s="26"/>
      <c r="D73" s="26">
        <v>70940</v>
      </c>
      <c r="E73" s="26">
        <v>1</v>
      </c>
      <c r="F73" s="51" t="str">
        <f>IFERROR(VLOOKUP(D73,ErrorList!$A$1:$C$2305,3,FALSE),"-")</f>
        <v xml:space="preserve"> Rear Test Site Top Tray Lp-cam Insert Front Rotation Check   센서가 감지되었습니다.</v>
      </c>
      <c r="G73" s="52"/>
      <c r="H73" s="52"/>
      <c r="I73" s="52"/>
      <c r="J73" s="52"/>
      <c r="K73" s="52"/>
      <c r="L73" s="52"/>
      <c r="M73" s="52"/>
      <c r="N73" s="53"/>
      <c r="O73" s="69" t="s">
        <v>2329</v>
      </c>
      <c r="P73" s="70"/>
      <c r="Q73" s="70"/>
      <c r="R73" s="70"/>
      <c r="S73" s="70"/>
      <c r="T73" s="70"/>
      <c r="U73" s="70"/>
      <c r="V73" s="71"/>
      <c r="W73" s="33">
        <v>0.62569444444444444</v>
      </c>
      <c r="X73" s="65" t="str">
        <f>IFERROR(VLOOKUP(D73,ErrorList!$A$1:$C$2305,2,FALSE),"-")</f>
        <v>[TEST_SITE]</v>
      </c>
      <c r="Y73" s="66"/>
      <c r="Z73" s="56"/>
      <c r="AA73" s="57"/>
      <c r="AB73" s="31"/>
      <c r="AC73" s="56"/>
      <c r="AD73" s="57"/>
      <c r="AE73" s="58"/>
      <c r="AF73" s="58"/>
      <c r="AG73" s="58"/>
      <c r="AH73" s="58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0" customFormat="1" ht="16.5" customHeight="1" x14ac:dyDescent="0.4">
      <c r="A74" s="118"/>
      <c r="B74" s="124"/>
      <c r="C74" s="26"/>
      <c r="D74" s="26">
        <v>78009</v>
      </c>
      <c r="E74" s="26">
        <v>1</v>
      </c>
      <c r="F74" s="51" t="str">
        <f>IFERROR(VLOOKUP(D74,ErrorList!$A$1:$C$2305,3,FALSE),"-")</f>
        <v xml:space="preserve"> Tester Server 통신 Serial ID Error 발생하엿습니다. </v>
      </c>
      <c r="G74" s="52"/>
      <c r="H74" s="52"/>
      <c r="I74" s="52"/>
      <c r="J74" s="52"/>
      <c r="K74" s="52"/>
      <c r="L74" s="52"/>
      <c r="M74" s="52"/>
      <c r="N74" s="53"/>
      <c r="O74" s="62" t="s">
        <v>2328</v>
      </c>
      <c r="P74" s="63"/>
      <c r="Q74" s="63"/>
      <c r="R74" s="63"/>
      <c r="S74" s="63"/>
      <c r="T74" s="63"/>
      <c r="U74" s="63"/>
      <c r="V74" s="64"/>
      <c r="W74" s="33">
        <v>0.23472222222222222</v>
      </c>
      <c r="X74" s="65" t="str">
        <f>IFERROR(VLOOKUP(D74,ErrorList!$A$1:$C$2305,2,FALSE),"-")</f>
        <v>[TEST_SITE]</v>
      </c>
      <c r="Y74" s="66"/>
      <c r="Z74" s="56"/>
      <c r="AA74" s="57"/>
      <c r="AB74" s="31"/>
      <c r="AC74" s="56"/>
      <c r="AD74" s="57"/>
      <c r="AE74" s="58"/>
      <c r="AF74" s="58"/>
      <c r="AG74" s="58"/>
      <c r="AH74" s="58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0" customFormat="1" ht="16.5" customHeight="1" x14ac:dyDescent="0.4">
      <c r="A75" s="45">
        <v>46159</v>
      </c>
      <c r="B75" s="26">
        <v>5341</v>
      </c>
      <c r="C75" s="26"/>
      <c r="D75" s="26">
        <v>42617</v>
      </c>
      <c r="E75" s="26">
        <v>1</v>
      </c>
      <c r="F75" s="51" t="str">
        <f>IFERROR(VLOOKUP(D75,ErrorList!$A$1:$C$2305,3,FALSE),"-")</f>
        <v xml:space="preserve"> ULD#2 Set-Plate Z-Axis Up Sensor   센서가 감지되지 않았습니다.</v>
      </c>
      <c r="G75" s="52"/>
      <c r="H75" s="52"/>
      <c r="I75" s="52"/>
      <c r="J75" s="52"/>
      <c r="K75" s="52"/>
      <c r="L75" s="52"/>
      <c r="M75" s="52"/>
      <c r="N75" s="53"/>
      <c r="O75" s="69" t="s">
        <v>2323</v>
      </c>
      <c r="P75" s="70"/>
      <c r="Q75" s="70"/>
      <c r="R75" s="70"/>
      <c r="S75" s="70"/>
      <c r="T75" s="70"/>
      <c r="U75" s="70"/>
      <c r="V75" s="71"/>
      <c r="W75" s="33">
        <v>0.72916666666666663</v>
      </c>
      <c r="X75" s="65" t="str">
        <f>IFERROR(VLOOKUP(D75,ErrorList!$A$1:$C$2305,2,FALSE),"-")</f>
        <v>[SETPLATE_BUFFER]</v>
      </c>
      <c r="Y75" s="66"/>
      <c r="Z75" s="56"/>
      <c r="AA75" s="57"/>
      <c r="AB75" s="31"/>
      <c r="AC75" s="56"/>
      <c r="AD75" s="57"/>
      <c r="AE75" s="58"/>
      <c r="AF75" s="58"/>
      <c r="AG75" s="58"/>
      <c r="AH75" s="58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0" customFormat="1" ht="16.5" customHeight="1" x14ac:dyDescent="0.4">
      <c r="A76" s="45">
        <v>46158</v>
      </c>
      <c r="B76" s="26">
        <v>0</v>
      </c>
      <c r="C76" s="26"/>
      <c r="D76" s="26"/>
      <c r="E76" s="26"/>
      <c r="F76" s="51" t="str">
        <f>IFERROR(VLOOKUP(D76,ErrorList!$A$1:$C$2305,3,FALSE),"-")</f>
        <v>-</v>
      </c>
      <c r="G76" s="52"/>
      <c r="H76" s="52"/>
      <c r="I76" s="52"/>
      <c r="J76" s="52"/>
      <c r="K76" s="52"/>
      <c r="L76" s="52"/>
      <c r="M76" s="52"/>
      <c r="N76" s="53"/>
      <c r="O76" s="62"/>
      <c r="P76" s="63"/>
      <c r="Q76" s="63"/>
      <c r="R76" s="63"/>
      <c r="S76" s="63"/>
      <c r="T76" s="63"/>
      <c r="U76" s="63"/>
      <c r="V76" s="64"/>
      <c r="W76" s="32"/>
      <c r="X76" s="65" t="str">
        <f>IFERROR(VLOOKUP(D76,ErrorList!$A$1:$C$2305,2,FALSE),"-")</f>
        <v>-</v>
      </c>
      <c r="Y76" s="66"/>
      <c r="Z76" s="56"/>
      <c r="AA76" s="57"/>
      <c r="AB76" s="31"/>
      <c r="AC76" s="56"/>
      <c r="AD76" s="57"/>
      <c r="AE76" s="58"/>
      <c r="AF76" s="58"/>
      <c r="AG76" s="58"/>
      <c r="AH76" s="58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0" customFormat="1" ht="16.5" customHeight="1" x14ac:dyDescent="0.4">
      <c r="A77" s="45">
        <v>46157</v>
      </c>
      <c r="B77" s="26">
        <v>367</v>
      </c>
      <c r="C77" s="26"/>
      <c r="D77" s="26"/>
      <c r="E77" s="26"/>
      <c r="F77" s="51" t="str">
        <f>IFERROR(VLOOKUP(D77,ErrorList!$A$1:$C$2305,3,FALSE),"-")</f>
        <v>-</v>
      </c>
      <c r="G77" s="52"/>
      <c r="H77" s="52"/>
      <c r="I77" s="52"/>
      <c r="J77" s="52"/>
      <c r="K77" s="52"/>
      <c r="L77" s="52"/>
      <c r="M77" s="52"/>
      <c r="N77" s="53"/>
      <c r="O77" s="62"/>
      <c r="P77" s="63"/>
      <c r="Q77" s="63"/>
      <c r="R77" s="63"/>
      <c r="S77" s="63"/>
      <c r="T77" s="63"/>
      <c r="U77" s="63"/>
      <c r="V77" s="64"/>
      <c r="W77" s="33"/>
      <c r="X77" s="65" t="str">
        <f>IFERROR(VLOOKUP(D77,ErrorList!$A$1:$C$2305,2,FALSE),"-")</f>
        <v>-</v>
      </c>
      <c r="Y77" s="66"/>
      <c r="Z77" s="56"/>
      <c r="AA77" s="57"/>
      <c r="AB77" s="31"/>
      <c r="AC77" s="56"/>
      <c r="AD77" s="57"/>
      <c r="AE77" s="58"/>
      <c r="AF77" s="58"/>
      <c r="AG77" s="58"/>
      <c r="AH77" s="58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0" customFormat="1" ht="16.5" customHeight="1" x14ac:dyDescent="0.4">
      <c r="A78" s="45">
        <v>46156</v>
      </c>
      <c r="B78" s="26">
        <v>0</v>
      </c>
      <c r="C78" s="26"/>
      <c r="D78" s="26"/>
      <c r="E78" s="26"/>
      <c r="F78" s="51" t="str">
        <f>IFERROR(VLOOKUP(D78,ErrorList!$A$1:$C$2305,3,FALSE),"-")</f>
        <v>-</v>
      </c>
      <c r="G78" s="52"/>
      <c r="H78" s="52"/>
      <c r="I78" s="52"/>
      <c r="J78" s="52"/>
      <c r="K78" s="52"/>
      <c r="L78" s="52"/>
      <c r="M78" s="52"/>
      <c r="N78" s="53"/>
      <c r="O78" s="62"/>
      <c r="P78" s="63"/>
      <c r="Q78" s="63"/>
      <c r="R78" s="63"/>
      <c r="S78" s="63"/>
      <c r="T78" s="63"/>
      <c r="U78" s="63"/>
      <c r="V78" s="64"/>
      <c r="W78" s="33"/>
      <c r="X78" s="65" t="str">
        <f>IFERROR(VLOOKUP(D78,ErrorList!$A$1:$C$2305,2,FALSE),"-")</f>
        <v>-</v>
      </c>
      <c r="Y78" s="66"/>
      <c r="Z78" s="56"/>
      <c r="AA78" s="57"/>
      <c r="AB78" s="31"/>
      <c r="AC78" s="56"/>
      <c r="AD78" s="57"/>
      <c r="AE78" s="58"/>
      <c r="AF78" s="58"/>
      <c r="AG78" s="58"/>
      <c r="AH78" s="58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0" customFormat="1" ht="16.5" customHeight="1" x14ac:dyDescent="0.4">
      <c r="A79" s="45">
        <v>46155</v>
      </c>
      <c r="B79" s="26">
        <v>4450</v>
      </c>
      <c r="C79" s="26"/>
      <c r="D79" s="26">
        <v>42617</v>
      </c>
      <c r="E79" s="26">
        <v>1</v>
      </c>
      <c r="F79" s="51" t="str">
        <f>IFERROR(VLOOKUP(D79,ErrorList!$A$1:$C$2305,3,FALSE),"-")</f>
        <v xml:space="preserve"> ULD#2 Set-Plate Z-Axis Up Sensor   센서가 감지되지 않았습니다.</v>
      </c>
      <c r="G79" s="52"/>
      <c r="H79" s="52"/>
      <c r="I79" s="52"/>
      <c r="J79" s="52"/>
      <c r="K79" s="52"/>
      <c r="L79" s="52"/>
      <c r="M79" s="52"/>
      <c r="N79" s="53"/>
      <c r="O79" s="69" t="s">
        <v>2323</v>
      </c>
      <c r="P79" s="70"/>
      <c r="Q79" s="70"/>
      <c r="R79" s="70"/>
      <c r="S79" s="70"/>
      <c r="T79" s="70"/>
      <c r="U79" s="70"/>
      <c r="V79" s="71"/>
      <c r="W79" s="33">
        <v>0.61944444444444446</v>
      </c>
      <c r="X79" s="65" t="str">
        <f>IFERROR(VLOOKUP(D79,ErrorList!$A$1:$C$2305,2,FALSE),"-")</f>
        <v>[SETPLATE_BUFFER]</v>
      </c>
      <c r="Y79" s="66"/>
      <c r="Z79" s="56"/>
      <c r="AA79" s="57"/>
      <c r="AB79" s="31"/>
      <c r="AC79" s="56"/>
      <c r="AD79" s="57"/>
      <c r="AE79" s="58"/>
      <c r="AF79" s="58"/>
      <c r="AG79" s="58"/>
      <c r="AH79" s="58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0" customFormat="1" ht="16.5" customHeight="1" x14ac:dyDescent="0.4">
      <c r="A80" s="116">
        <v>46154</v>
      </c>
      <c r="B80" s="123">
        <v>15401</v>
      </c>
      <c r="C80" s="26"/>
      <c r="D80" s="26">
        <v>42609</v>
      </c>
      <c r="E80" s="26">
        <v>1</v>
      </c>
      <c r="F80" s="51" t="str">
        <f>IFERROR(VLOOKUP(D80,ErrorList!$A$1:$C$2305,3,FALSE),"-")</f>
        <v xml:space="preserve"> ULD#1 Set-Plate Z-Axis Up Sensor   센서가 감지되지 않았습니다.</v>
      </c>
      <c r="G80" s="52"/>
      <c r="H80" s="52"/>
      <c r="I80" s="52"/>
      <c r="J80" s="52"/>
      <c r="K80" s="52"/>
      <c r="L80" s="52"/>
      <c r="M80" s="52"/>
      <c r="N80" s="53"/>
      <c r="O80" s="69" t="s">
        <v>2323</v>
      </c>
      <c r="P80" s="70"/>
      <c r="Q80" s="70"/>
      <c r="R80" s="70"/>
      <c r="S80" s="70"/>
      <c r="T80" s="70"/>
      <c r="U80" s="70"/>
      <c r="V80" s="71"/>
      <c r="W80" s="33">
        <v>0.77500000000000002</v>
      </c>
      <c r="X80" s="65" t="str">
        <f>IFERROR(VLOOKUP(D80,ErrorList!$A$1:$C$2305,2,FALSE),"-")</f>
        <v>[SETPLATE_BUFFER]</v>
      </c>
      <c r="Y80" s="66"/>
      <c r="Z80" s="56"/>
      <c r="AA80" s="57"/>
      <c r="AB80" s="31"/>
      <c r="AC80" s="56"/>
      <c r="AD80" s="57"/>
      <c r="AE80" s="58"/>
      <c r="AF80" s="58"/>
      <c r="AG80" s="58"/>
      <c r="AH80" s="58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0" customFormat="1" ht="33" customHeight="1" x14ac:dyDescent="0.4">
      <c r="A81" s="117"/>
      <c r="B81" s="125"/>
      <c r="C81" s="26"/>
      <c r="D81" s="26">
        <v>25061</v>
      </c>
      <c r="E81" s="26">
        <v>1</v>
      </c>
      <c r="F81" s="51" t="str">
        <f>IFERROR(VLOOKUP(D81,ErrorList!$A$1:$C$2305,3,FALSE),"-")</f>
        <v xml:space="preserve"> Load Picker Module Unclamp Cylinder #7 Sol  동작이 실패 하였습니다.</v>
      </c>
      <c r="G81" s="52"/>
      <c r="H81" s="52"/>
      <c r="I81" s="52"/>
      <c r="J81" s="52"/>
      <c r="K81" s="52"/>
      <c r="L81" s="52"/>
      <c r="M81" s="52"/>
      <c r="N81" s="53"/>
      <c r="O81" s="69" t="s">
        <v>2327</v>
      </c>
      <c r="P81" s="70"/>
      <c r="Q81" s="70"/>
      <c r="R81" s="70"/>
      <c r="S81" s="70"/>
      <c r="T81" s="70"/>
      <c r="U81" s="70"/>
      <c r="V81" s="71"/>
      <c r="W81" s="33">
        <v>0.56736111111111109</v>
      </c>
      <c r="X81" s="65" t="str">
        <f>IFERROR(VLOOKUP(D81,ErrorList!$A$1:$C$2305,2,FALSE),"-")</f>
        <v>[LOAD_HAND]</v>
      </c>
      <c r="Y81" s="66"/>
      <c r="Z81" s="56"/>
      <c r="AA81" s="57"/>
      <c r="AB81" s="31"/>
      <c r="AC81" s="56"/>
      <c r="AD81" s="57"/>
      <c r="AE81" s="58"/>
      <c r="AF81" s="58"/>
      <c r="AG81" s="58"/>
      <c r="AH81" s="58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0" customFormat="1" ht="16.5" customHeight="1" x14ac:dyDescent="0.4">
      <c r="A82" s="118"/>
      <c r="B82" s="124"/>
      <c r="C82" s="26"/>
      <c r="D82" s="26">
        <v>18002</v>
      </c>
      <c r="E82" s="26">
        <v>1</v>
      </c>
      <c r="F82" s="51" t="str">
        <f>IFERROR(VLOOKUP(D82,ErrorList!$A$1:$C$2305,3,FALSE),"-")</f>
        <v xml:space="preserve"> Load Transfer C-Tray 방향 체크에 실패 하였습니다.</v>
      </c>
      <c r="G82" s="52"/>
      <c r="H82" s="52"/>
      <c r="I82" s="52"/>
      <c r="J82" s="52"/>
      <c r="K82" s="52"/>
      <c r="L82" s="52"/>
      <c r="M82" s="52"/>
      <c r="N82" s="53"/>
      <c r="O82" s="62" t="s">
        <v>2318</v>
      </c>
      <c r="P82" s="63"/>
      <c r="Q82" s="63"/>
      <c r="R82" s="63"/>
      <c r="S82" s="63"/>
      <c r="T82" s="63"/>
      <c r="U82" s="63"/>
      <c r="V82" s="64"/>
      <c r="W82" s="33">
        <v>0.22013888888888888</v>
      </c>
      <c r="X82" s="65" t="str">
        <f>IFERROR(VLOOKUP(D82,ErrorList!$A$1:$C$2305,2,FALSE),"-")</f>
        <v>[TRANSFER]</v>
      </c>
      <c r="Y82" s="66"/>
      <c r="Z82" s="56"/>
      <c r="AA82" s="57"/>
      <c r="AB82" s="31"/>
      <c r="AC82" s="56"/>
      <c r="AD82" s="57"/>
      <c r="AE82" s="58"/>
      <c r="AF82" s="58"/>
      <c r="AG82" s="58"/>
      <c r="AH82" s="58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0" customFormat="1" ht="16.5" customHeight="1" x14ac:dyDescent="0.4">
      <c r="A83" s="116">
        <v>46153</v>
      </c>
      <c r="B83" s="123">
        <v>8178</v>
      </c>
      <c r="C83" s="26"/>
      <c r="D83" s="26">
        <v>18002</v>
      </c>
      <c r="E83" s="26">
        <v>1</v>
      </c>
      <c r="F83" s="51" t="str">
        <f>IFERROR(VLOOKUP(D83,ErrorList!$A$1:$C$2305,3,FALSE),"-")</f>
        <v xml:space="preserve"> Load Transfer C-Tray 방향 체크에 실패 하였습니다.</v>
      </c>
      <c r="G83" s="52"/>
      <c r="H83" s="52"/>
      <c r="I83" s="52"/>
      <c r="J83" s="52"/>
      <c r="K83" s="52"/>
      <c r="L83" s="52"/>
      <c r="M83" s="52"/>
      <c r="N83" s="53"/>
      <c r="O83" s="62" t="s">
        <v>2318</v>
      </c>
      <c r="P83" s="63"/>
      <c r="Q83" s="63"/>
      <c r="R83" s="63"/>
      <c r="S83" s="63"/>
      <c r="T83" s="63"/>
      <c r="U83" s="63"/>
      <c r="V83" s="64"/>
      <c r="W83" s="33">
        <v>0.99305555555555558</v>
      </c>
      <c r="X83" s="65" t="str">
        <f>IFERROR(VLOOKUP(D83,ErrorList!$A$1:$C$2305,2,FALSE),"-")</f>
        <v>[TRANSFER]</v>
      </c>
      <c r="Y83" s="66"/>
      <c r="Z83" s="56"/>
      <c r="AA83" s="57"/>
      <c r="AB83" s="31"/>
      <c r="AC83" s="56"/>
      <c r="AD83" s="57"/>
      <c r="AE83" s="58"/>
      <c r="AF83" s="58"/>
      <c r="AG83" s="58"/>
      <c r="AH83" s="58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0" customFormat="1" ht="32.25" customHeight="1" x14ac:dyDescent="0.4">
      <c r="A84" s="118"/>
      <c r="B84" s="124"/>
      <c r="C84" s="26"/>
      <c r="D84" s="26">
        <v>4028</v>
      </c>
      <c r="E84" s="26">
        <v>1</v>
      </c>
      <c r="F84" s="51" t="str">
        <f>IFERROR(VLOOKUP(D84,ErrorList!$A$1:$C$2305,3,FALSE),"-")</f>
        <v xml:space="preserve"> ReJect Stacker  Rear Base Guide UP Sol   동작이 실패 하였습니다.</v>
      </c>
      <c r="G84" s="52"/>
      <c r="H84" s="52"/>
      <c r="I84" s="52"/>
      <c r="J84" s="52"/>
      <c r="K84" s="52"/>
      <c r="L84" s="52"/>
      <c r="M84" s="52"/>
      <c r="N84" s="53"/>
      <c r="O84" s="69" t="s">
        <v>2326</v>
      </c>
      <c r="P84" s="63"/>
      <c r="Q84" s="63"/>
      <c r="R84" s="63"/>
      <c r="S84" s="63"/>
      <c r="T84" s="63"/>
      <c r="U84" s="63"/>
      <c r="V84" s="64"/>
      <c r="W84" s="33">
        <v>0.87430555555555556</v>
      </c>
      <c r="X84" s="65" t="str">
        <f>IFERROR(VLOOKUP(D84,ErrorList!$A$1:$C$2305,2,FALSE),"-")</f>
        <v>[STACKER]</v>
      </c>
      <c r="Y84" s="66"/>
      <c r="Z84" s="56"/>
      <c r="AA84" s="57"/>
      <c r="AB84" s="31"/>
      <c r="AC84" s="56"/>
      <c r="AD84" s="57"/>
      <c r="AE84" s="58"/>
      <c r="AF84" s="58"/>
      <c r="AG84" s="58"/>
      <c r="AH84" s="58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0" customFormat="1" ht="32.25" customHeight="1" x14ac:dyDescent="0.4">
      <c r="A85" s="45">
        <v>46152</v>
      </c>
      <c r="B85" s="26">
        <v>19</v>
      </c>
      <c r="C85" s="26"/>
      <c r="D85" s="26"/>
      <c r="E85" s="26"/>
      <c r="F85" s="51" t="str">
        <f>IFERROR(VLOOKUP(D85,ErrorList!$A$1:$C$2305,3,FALSE),"-")</f>
        <v>-</v>
      </c>
      <c r="G85" s="52"/>
      <c r="H85" s="52"/>
      <c r="I85" s="52"/>
      <c r="J85" s="52"/>
      <c r="K85" s="52"/>
      <c r="L85" s="52"/>
      <c r="M85" s="52"/>
      <c r="N85" s="53"/>
      <c r="O85" s="69"/>
      <c r="P85" s="70"/>
      <c r="Q85" s="70"/>
      <c r="R85" s="70"/>
      <c r="S85" s="70"/>
      <c r="T85" s="70"/>
      <c r="U85" s="70"/>
      <c r="V85" s="71"/>
      <c r="W85" s="33"/>
      <c r="X85" s="54" t="str">
        <f>IFERROR(VLOOKUP(D85,ErrorList!$A$1:$C$2305,2,FALSE),"-")</f>
        <v>-</v>
      </c>
      <c r="Y85" s="55"/>
      <c r="Z85" s="47"/>
      <c r="AA85" s="48"/>
      <c r="AB85" s="31"/>
      <c r="AC85" s="47"/>
      <c r="AD85" s="48"/>
      <c r="AE85" s="49"/>
      <c r="AF85" s="49"/>
      <c r="AG85" s="49"/>
      <c r="AH85" s="49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0" customFormat="1" ht="32.25" customHeight="1" x14ac:dyDescent="0.4">
      <c r="A86" s="45">
        <v>46151</v>
      </c>
      <c r="B86" s="26">
        <v>1490</v>
      </c>
      <c r="C86" s="26"/>
      <c r="D86" s="26"/>
      <c r="E86" s="26"/>
      <c r="F86" s="59" t="str">
        <f>IFERROR(VLOOKUP(D86,ErrorList!$A$1:$C$2305,3,FALSE),"-")</f>
        <v>-</v>
      </c>
      <c r="G86" s="60"/>
      <c r="H86" s="60"/>
      <c r="I86" s="60"/>
      <c r="J86" s="60"/>
      <c r="K86" s="60"/>
      <c r="L86" s="60"/>
      <c r="M86" s="60"/>
      <c r="N86" s="61"/>
      <c r="O86" s="69"/>
      <c r="P86" s="70"/>
      <c r="Q86" s="70"/>
      <c r="R86" s="70"/>
      <c r="S86" s="70"/>
      <c r="T86" s="70"/>
      <c r="U86" s="70"/>
      <c r="V86" s="71"/>
      <c r="W86" s="33"/>
      <c r="X86" s="65" t="str">
        <f>IFERROR(VLOOKUP(D86,ErrorList!$A$1:$C$2305,2,FALSE),"-")</f>
        <v>-</v>
      </c>
      <c r="Y86" s="66"/>
      <c r="Z86" s="47"/>
      <c r="AA86" s="48"/>
      <c r="AB86" s="31"/>
      <c r="AC86" s="47"/>
      <c r="AD86" s="48"/>
      <c r="AE86" s="49"/>
      <c r="AF86" s="49"/>
      <c r="AG86" s="49"/>
      <c r="AH86" s="49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0" customFormat="1" ht="32.25" customHeight="1" x14ac:dyDescent="0.4">
      <c r="A87" s="116">
        <v>46150</v>
      </c>
      <c r="B87" s="123">
        <v>15510</v>
      </c>
      <c r="C87" s="26"/>
      <c r="D87" s="26">
        <v>28003</v>
      </c>
      <c r="E87" s="26">
        <v>1</v>
      </c>
      <c r="F87" s="59" t="str">
        <f>IFERROR(VLOOKUP(D87,ErrorList!$A$1:$C$2305,3,FALSE),"-")</f>
        <v xml:space="preserve"> 모듈 바코드를 정상적으로 읽지 못하였습니다. </v>
      </c>
      <c r="G87" s="60"/>
      <c r="H87" s="60"/>
      <c r="I87" s="60"/>
      <c r="J87" s="60"/>
      <c r="K87" s="60"/>
      <c r="L87" s="60"/>
      <c r="M87" s="60"/>
      <c r="N87" s="61"/>
      <c r="O87" s="69" t="s">
        <v>2325</v>
      </c>
      <c r="P87" s="70"/>
      <c r="Q87" s="70"/>
      <c r="R87" s="70"/>
      <c r="S87" s="70"/>
      <c r="T87" s="70"/>
      <c r="U87" s="70"/>
      <c r="V87" s="71"/>
      <c r="W87" s="33">
        <v>0.3527777777777778</v>
      </c>
      <c r="X87" s="65" t="str">
        <f>IFERROR(VLOOKUP(D87,ErrorList!$A$1:$C$2305,2,FALSE),"-")</f>
        <v>[LOAD_HAND]</v>
      </c>
      <c r="Y87" s="66"/>
      <c r="Z87" s="47"/>
      <c r="AA87" s="48"/>
      <c r="AB87" s="31"/>
      <c r="AC87" s="47"/>
      <c r="AD87" s="48"/>
      <c r="AE87" s="49"/>
      <c r="AF87" s="49"/>
      <c r="AG87" s="49"/>
      <c r="AH87" s="49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0" customFormat="1" ht="32.25" customHeight="1" x14ac:dyDescent="0.4">
      <c r="A88" s="117"/>
      <c r="B88" s="125"/>
      <c r="C88" s="26"/>
      <c r="D88" s="26">
        <v>2172</v>
      </c>
      <c r="E88" s="26">
        <v>1</v>
      </c>
      <c r="F88" s="59" t="str">
        <f>IFERROR(VLOOKUP(D88,ErrorList!$A$1:$C$2305,3,FALSE),"-")</f>
        <v xml:space="preserve"> LD#1 Stacker Manual C-Tray Front Stopper Check   센서가 감지되지 않았습니다.</v>
      </c>
      <c r="G88" s="60"/>
      <c r="H88" s="60"/>
      <c r="I88" s="60"/>
      <c r="J88" s="60"/>
      <c r="K88" s="60"/>
      <c r="L88" s="60"/>
      <c r="M88" s="60"/>
      <c r="N88" s="61"/>
      <c r="O88" s="69" t="s">
        <v>2324</v>
      </c>
      <c r="P88" s="70"/>
      <c r="Q88" s="70"/>
      <c r="R88" s="70"/>
      <c r="S88" s="70"/>
      <c r="T88" s="70"/>
      <c r="U88" s="70"/>
      <c r="V88" s="71"/>
      <c r="W88" s="33">
        <v>0.15347222222222223</v>
      </c>
      <c r="X88" s="65" t="str">
        <f>IFERROR(VLOOKUP(D88,ErrorList!$A$1:$C$2305,2,FALSE),"-")</f>
        <v>[STACKER]</v>
      </c>
      <c r="Y88" s="66"/>
      <c r="Z88" s="47"/>
      <c r="AA88" s="48"/>
      <c r="AB88" s="31"/>
      <c r="AC88" s="47"/>
      <c r="AD88" s="48"/>
      <c r="AE88" s="49"/>
      <c r="AF88" s="49"/>
      <c r="AG88" s="49"/>
      <c r="AH88" s="49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0" customFormat="1" ht="32.25" customHeight="1" x14ac:dyDescent="0.4">
      <c r="A89" s="118"/>
      <c r="B89" s="124"/>
      <c r="C89" s="26"/>
      <c r="D89" s="26">
        <v>42617</v>
      </c>
      <c r="E89" s="26">
        <v>1</v>
      </c>
      <c r="F89" s="59" t="str">
        <f>IFERROR(VLOOKUP(D89,ErrorList!$A$1:$C$2305,3,FALSE),"-")</f>
        <v xml:space="preserve"> ULD#2 Set-Plate Z-Axis Up Sensor   센서가 감지되지 않았습니다.</v>
      </c>
      <c r="G89" s="60"/>
      <c r="H89" s="60"/>
      <c r="I89" s="60"/>
      <c r="J89" s="60"/>
      <c r="K89" s="60"/>
      <c r="L89" s="60"/>
      <c r="M89" s="60"/>
      <c r="N89" s="61"/>
      <c r="O89" s="69" t="s">
        <v>2323</v>
      </c>
      <c r="P89" s="70"/>
      <c r="Q89" s="70"/>
      <c r="R89" s="70"/>
      <c r="S89" s="70"/>
      <c r="T89" s="70"/>
      <c r="U89" s="70"/>
      <c r="V89" s="71"/>
      <c r="W89" s="33">
        <v>0.14791666666666667</v>
      </c>
      <c r="X89" s="65" t="str">
        <f>IFERROR(VLOOKUP(D89,ErrorList!$A$1:$C$2305,2,FALSE),"-")</f>
        <v>[SETPLATE_BUFFER]</v>
      </c>
      <c r="Y89" s="66"/>
      <c r="Z89" s="47"/>
      <c r="AA89" s="48"/>
      <c r="AB89" s="31"/>
      <c r="AC89" s="47"/>
      <c r="AD89" s="48"/>
      <c r="AE89" s="49"/>
      <c r="AF89" s="49"/>
      <c r="AG89" s="49"/>
      <c r="AH89" s="49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0" customFormat="1" ht="32.25" customHeight="1" x14ac:dyDescent="0.4">
      <c r="A90" s="50">
        <v>46149</v>
      </c>
      <c r="B90" s="26">
        <v>0</v>
      </c>
      <c r="C90" s="26"/>
      <c r="D90" s="26"/>
      <c r="E90" s="26"/>
      <c r="F90" s="59" t="str">
        <f>IFERROR(VLOOKUP(D90,ErrorList!$A$1:$C$2305,3,FALSE),"-")</f>
        <v>-</v>
      </c>
      <c r="G90" s="60"/>
      <c r="H90" s="60"/>
      <c r="I90" s="60"/>
      <c r="J90" s="60"/>
      <c r="K90" s="60"/>
      <c r="L90" s="60"/>
      <c r="M90" s="60"/>
      <c r="N90" s="61"/>
      <c r="O90" s="69"/>
      <c r="P90" s="70"/>
      <c r="Q90" s="70"/>
      <c r="R90" s="70"/>
      <c r="S90" s="70"/>
      <c r="T90" s="70"/>
      <c r="U90" s="70"/>
      <c r="V90" s="71"/>
      <c r="W90" s="33"/>
      <c r="X90" s="65" t="str">
        <f>IFERROR(VLOOKUP(D90,ErrorList!$A$1:$C$2305,2,FALSE),"-")</f>
        <v>-</v>
      </c>
      <c r="Y90" s="66"/>
      <c r="Z90" s="47"/>
      <c r="AA90" s="48"/>
      <c r="AB90" s="31"/>
      <c r="AC90" s="47"/>
      <c r="AD90" s="48"/>
      <c r="AE90" s="49"/>
      <c r="AF90" s="49"/>
      <c r="AG90" s="49"/>
      <c r="AH90" s="49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0" customFormat="1" ht="32.25" customHeight="1" x14ac:dyDescent="0.4">
      <c r="A91" s="45">
        <v>46148</v>
      </c>
      <c r="B91" s="26">
        <v>0</v>
      </c>
      <c r="C91" s="26"/>
      <c r="D91" s="26"/>
      <c r="E91" s="26"/>
      <c r="F91" s="59" t="str">
        <f>IFERROR(VLOOKUP(D91,ErrorList!$A$1:$C$2305,3,FALSE),"-")</f>
        <v>-</v>
      </c>
      <c r="G91" s="60"/>
      <c r="H91" s="60"/>
      <c r="I91" s="60"/>
      <c r="J91" s="60"/>
      <c r="K91" s="60"/>
      <c r="L91" s="60"/>
      <c r="M91" s="60"/>
      <c r="N91" s="61"/>
      <c r="O91" s="69"/>
      <c r="P91" s="70"/>
      <c r="Q91" s="70"/>
      <c r="R91" s="70"/>
      <c r="S91" s="70"/>
      <c r="T91" s="70"/>
      <c r="U91" s="70"/>
      <c r="V91" s="71"/>
      <c r="W91" s="33"/>
      <c r="X91" s="65" t="str">
        <f>IFERROR(VLOOKUP(D91,ErrorList!$A$1:$C$2305,2,FALSE),"-")</f>
        <v>-</v>
      </c>
      <c r="Y91" s="66"/>
      <c r="Z91" s="47"/>
      <c r="AA91" s="48"/>
      <c r="AB91" s="31"/>
      <c r="AC91" s="47"/>
      <c r="AD91" s="48"/>
      <c r="AE91" s="49"/>
      <c r="AF91" s="49"/>
      <c r="AG91" s="49"/>
      <c r="AH91" s="49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0" customFormat="1" ht="32.25" customHeight="1" x14ac:dyDescent="0.4">
      <c r="A92" s="50">
        <v>46147</v>
      </c>
      <c r="B92" s="26">
        <v>687</v>
      </c>
      <c r="C92" s="26"/>
      <c r="D92" s="26">
        <v>42617</v>
      </c>
      <c r="E92" s="26">
        <v>1</v>
      </c>
      <c r="F92" s="59" t="str">
        <f>IFERROR(VLOOKUP(D92,ErrorList!$A$1:$C$2305,3,FALSE),"-")</f>
        <v xml:space="preserve"> ULD#2 Set-Plate Z-Axis Up Sensor   센서가 감지되지 않았습니다.</v>
      </c>
      <c r="G92" s="60"/>
      <c r="H92" s="60"/>
      <c r="I92" s="60"/>
      <c r="J92" s="60"/>
      <c r="K92" s="60"/>
      <c r="L92" s="60"/>
      <c r="M92" s="60"/>
      <c r="N92" s="61"/>
      <c r="O92" s="69" t="s">
        <v>2323</v>
      </c>
      <c r="P92" s="70"/>
      <c r="Q92" s="70"/>
      <c r="R92" s="70"/>
      <c r="S92" s="70"/>
      <c r="T92" s="70"/>
      <c r="U92" s="70"/>
      <c r="V92" s="71"/>
      <c r="W92" s="33">
        <v>0.95625000000000004</v>
      </c>
      <c r="X92" s="65" t="str">
        <f>IFERROR(VLOOKUP(D92,ErrorList!$A$1:$C$2305,2,FALSE),"-")</f>
        <v>[SETPLATE_BUFFER]</v>
      </c>
      <c r="Y92" s="66"/>
      <c r="Z92" s="47"/>
      <c r="AA92" s="48"/>
      <c r="AB92" s="31"/>
      <c r="AC92" s="47"/>
      <c r="AD92" s="48"/>
      <c r="AE92" s="49"/>
      <c r="AF92" s="49"/>
      <c r="AG92" s="49"/>
      <c r="AH92" s="49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0" customFormat="1" ht="63" customHeight="1" x14ac:dyDescent="0.4">
      <c r="A93" s="117">
        <v>46146</v>
      </c>
      <c r="B93" s="123">
        <v>17417</v>
      </c>
      <c r="C93" s="123"/>
      <c r="D93" s="26">
        <v>35079</v>
      </c>
      <c r="E93" s="26">
        <v>1</v>
      </c>
      <c r="F93" s="59" t="str">
        <f>IFERROR(VLOOKUP(D93,ErrorList!$A$1:$C$2305,3,FALSE),"-")</f>
        <v xml:space="preserve"> Unloader Picker Module Unclamp Cylinder #1 Sol  동작이 실패 하였습니다.</v>
      </c>
      <c r="G93" s="60"/>
      <c r="H93" s="60"/>
      <c r="I93" s="60"/>
      <c r="J93" s="60"/>
      <c r="K93" s="60"/>
      <c r="L93" s="60"/>
      <c r="M93" s="60"/>
      <c r="N93" s="61"/>
      <c r="O93" s="126" t="s">
        <v>2322</v>
      </c>
      <c r="P93" s="127"/>
      <c r="Q93" s="127"/>
      <c r="R93" s="127"/>
      <c r="S93" s="127"/>
      <c r="T93" s="127"/>
      <c r="U93" s="127"/>
      <c r="V93" s="128"/>
      <c r="W93" s="33">
        <v>0.13472222222222222</v>
      </c>
      <c r="X93" s="65" t="str">
        <f>IFERROR(VLOOKUP(D93,ErrorList!$A$1:$C$2305,2,FALSE),"-")</f>
        <v>[UNLOAD_HAND]</v>
      </c>
      <c r="Y93" s="66"/>
      <c r="Z93" s="47"/>
      <c r="AA93" s="48"/>
      <c r="AB93" s="31"/>
      <c r="AC93" s="47"/>
      <c r="AD93" s="48"/>
      <c r="AE93" s="49"/>
      <c r="AF93" s="49"/>
      <c r="AG93" s="49"/>
      <c r="AH93" s="49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0" customFormat="1" ht="64.95" customHeight="1" x14ac:dyDescent="0.4">
      <c r="A94" s="117"/>
      <c r="B94" s="125"/>
      <c r="C94" s="125"/>
      <c r="D94" s="26">
        <v>42617</v>
      </c>
      <c r="E94" s="26">
        <v>1</v>
      </c>
      <c r="F94" s="59" t="str">
        <f>IFERROR(VLOOKUP(D94,ErrorList!$A$1:$C$2305,3,FALSE),"-")</f>
        <v xml:space="preserve"> ULD#2 Set-Plate Z-Axis Up Sensor   센서가 감지되지 않았습니다.</v>
      </c>
      <c r="G94" s="60"/>
      <c r="H94" s="60"/>
      <c r="I94" s="60"/>
      <c r="J94" s="60"/>
      <c r="K94" s="60"/>
      <c r="L94" s="60"/>
      <c r="M94" s="60"/>
      <c r="N94" s="61"/>
      <c r="O94" s="126" t="s">
        <v>2321</v>
      </c>
      <c r="P94" s="127"/>
      <c r="Q94" s="127"/>
      <c r="R94" s="127"/>
      <c r="S94" s="127"/>
      <c r="T94" s="127"/>
      <c r="U94" s="127"/>
      <c r="V94" s="128"/>
      <c r="W94" s="33">
        <v>0.60624999999999996</v>
      </c>
      <c r="X94" s="65" t="str">
        <f>IFERROR(VLOOKUP(D94,ErrorList!$A$1:$C$2305,2,FALSE),"-")</f>
        <v>[SETPLATE_BUFFER]</v>
      </c>
      <c r="Y94" s="66"/>
      <c r="Z94" s="47"/>
      <c r="AA94" s="48"/>
      <c r="AB94" s="31"/>
      <c r="AC94" s="47"/>
      <c r="AD94" s="48"/>
      <c r="AE94" s="49"/>
      <c r="AF94" s="49"/>
      <c r="AG94" s="49"/>
      <c r="AH94" s="49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0" customFormat="1" ht="32.25" customHeight="1" x14ac:dyDescent="0.4">
      <c r="A95" s="117"/>
      <c r="B95" s="125"/>
      <c r="C95" s="125"/>
      <c r="D95" s="26">
        <v>42593</v>
      </c>
      <c r="E95" s="26">
        <v>1</v>
      </c>
      <c r="F95" s="59" t="str">
        <f>IFERROR(VLOOKUP(D95,ErrorList!$A$1:$C$2305,3,FALSE),"-")</f>
        <v xml:space="preserve"> LD#1 Set-Plate Z-Axis Up Sensor   센서가 감지되지 않았습니다.</v>
      </c>
      <c r="G95" s="60"/>
      <c r="H95" s="60"/>
      <c r="I95" s="60"/>
      <c r="J95" s="60"/>
      <c r="K95" s="60"/>
      <c r="L95" s="60"/>
      <c r="M95" s="60"/>
      <c r="N95" s="61"/>
      <c r="O95" s="69" t="s">
        <v>2320</v>
      </c>
      <c r="P95" s="70"/>
      <c r="Q95" s="70"/>
      <c r="R95" s="70"/>
      <c r="S95" s="70"/>
      <c r="T95" s="70"/>
      <c r="U95" s="70"/>
      <c r="V95" s="71"/>
      <c r="W95" s="33">
        <v>0.17152777777777778</v>
      </c>
      <c r="X95" s="65" t="str">
        <f>IFERROR(VLOOKUP(D95,ErrorList!$A$1:$C$2305,2,FALSE),"-")</f>
        <v>[SETPLATE_BUFFER]</v>
      </c>
      <c r="Y95" s="66"/>
      <c r="Z95" s="47"/>
      <c r="AA95" s="48"/>
      <c r="AB95" s="31"/>
      <c r="AC95" s="47"/>
      <c r="AD95" s="48"/>
      <c r="AE95" s="49"/>
      <c r="AF95" s="49"/>
      <c r="AG95" s="49"/>
      <c r="AH95" s="49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0" customFormat="1" ht="32.25" customHeight="1" x14ac:dyDescent="0.4">
      <c r="A96" s="117"/>
      <c r="B96" s="124"/>
      <c r="C96" s="124"/>
      <c r="D96" s="26">
        <v>42601</v>
      </c>
      <c r="E96" s="26">
        <v>1</v>
      </c>
      <c r="F96" s="59" t="str">
        <f>IFERROR(VLOOKUP(D96,ErrorList!$A$1:$C$2305,3,FALSE),"-")</f>
        <v xml:space="preserve"> LD#2 Set-Plate Z-Axis Up Sensor   센서가 감지되지 않았습니다.</v>
      </c>
      <c r="G96" s="60"/>
      <c r="H96" s="60"/>
      <c r="I96" s="60"/>
      <c r="J96" s="60"/>
      <c r="K96" s="60"/>
      <c r="L96" s="60"/>
      <c r="M96" s="60"/>
      <c r="N96" s="61"/>
      <c r="O96" s="69" t="s">
        <v>2319</v>
      </c>
      <c r="P96" s="70"/>
      <c r="Q96" s="70"/>
      <c r="R96" s="70"/>
      <c r="S96" s="70"/>
      <c r="T96" s="70"/>
      <c r="U96" s="70"/>
      <c r="V96" s="71"/>
      <c r="W96" s="33">
        <v>1.9444444444444445E-2</v>
      </c>
      <c r="X96" s="65" t="str">
        <f>IFERROR(VLOOKUP(D96,ErrorList!$A$1:$C$2305,2,FALSE),"-")</f>
        <v>[SETPLATE_BUFFER]</v>
      </c>
      <c r="Y96" s="66"/>
      <c r="Z96" s="47"/>
      <c r="AA96" s="48"/>
      <c r="AB96" s="31"/>
      <c r="AC96" s="47"/>
      <c r="AD96" s="48"/>
      <c r="AE96" s="49"/>
      <c r="AF96" s="49"/>
      <c r="AG96" s="49"/>
      <c r="AH96" s="49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0" customFormat="1" ht="16.5" customHeight="1" x14ac:dyDescent="0.4">
      <c r="A97" s="46">
        <v>46145</v>
      </c>
      <c r="B97" s="26">
        <v>4008</v>
      </c>
      <c r="C97" s="26"/>
      <c r="D97" s="26">
        <v>2270</v>
      </c>
      <c r="E97" s="26">
        <v>1</v>
      </c>
      <c r="F97" s="59" t="str">
        <f>IFERROR(VLOOKUP(D97,ErrorList!$A$1:$C$2305,3,FALSE),"-")</f>
        <v xml:space="preserve"> ReJect Stacker  S-DIMM Stopper Check   센서가 감지되지 않았습니다.</v>
      </c>
      <c r="G97" s="60"/>
      <c r="H97" s="60"/>
      <c r="I97" s="60"/>
      <c r="J97" s="60"/>
      <c r="K97" s="60"/>
      <c r="L97" s="60"/>
      <c r="M97" s="60"/>
      <c r="N97" s="61"/>
      <c r="O97" s="62" t="s">
        <v>2318</v>
      </c>
      <c r="P97" s="63"/>
      <c r="Q97" s="63"/>
      <c r="R97" s="63"/>
      <c r="S97" s="63"/>
      <c r="T97" s="63"/>
      <c r="U97" s="63"/>
      <c r="V97" s="64"/>
      <c r="W97" s="32"/>
      <c r="X97" s="65" t="str">
        <f>IFERROR(VLOOKUP(D97,ErrorList!$A$1:$C$2305,2,FALSE),"-")</f>
        <v>[STACKER]</v>
      </c>
      <c r="Y97" s="66"/>
      <c r="Z97" s="56"/>
      <c r="AA97" s="57"/>
      <c r="AB97" s="31"/>
      <c r="AC97" s="56"/>
      <c r="AD97" s="57"/>
      <c r="AE97" s="58"/>
      <c r="AF97" s="58"/>
      <c r="AG97" s="58"/>
      <c r="AH97" s="58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0" customFormat="1" ht="48" customHeight="1" x14ac:dyDescent="0.4">
      <c r="A98" s="45">
        <v>46144</v>
      </c>
      <c r="B98" s="26">
        <v>6329</v>
      </c>
      <c r="C98" s="26"/>
      <c r="D98" s="26">
        <v>28014</v>
      </c>
      <c r="E98" s="26">
        <v>1</v>
      </c>
      <c r="F98" s="59" t="str">
        <f>IFERROR(VLOOKUP(D98,ErrorList!$A$1:$C$2305,3,FALSE),"-")</f>
        <v xml:space="preserve"> Hand Module is exist. Check the Exist Sensor.</v>
      </c>
      <c r="G98" s="60"/>
      <c r="H98" s="60"/>
      <c r="I98" s="60"/>
      <c r="J98" s="60"/>
      <c r="K98" s="60"/>
      <c r="L98" s="60"/>
      <c r="M98" s="60"/>
      <c r="N98" s="61"/>
      <c r="O98" s="69" t="s">
        <v>2317</v>
      </c>
      <c r="P98" s="63"/>
      <c r="Q98" s="63"/>
      <c r="R98" s="63"/>
      <c r="S98" s="63"/>
      <c r="T98" s="63"/>
      <c r="U98" s="63"/>
      <c r="V98" s="64"/>
      <c r="W98" s="32"/>
      <c r="X98" s="65" t="str">
        <f>IFERROR(VLOOKUP(D98,ErrorList!$A$1:$C$2305,2,FALSE),"-")</f>
        <v>[LOAD_HAND]</v>
      </c>
      <c r="Y98" s="66"/>
      <c r="Z98" s="56"/>
      <c r="AA98" s="57"/>
      <c r="AB98" s="31"/>
      <c r="AC98" s="56"/>
      <c r="AD98" s="57"/>
      <c r="AE98" s="58"/>
      <c r="AF98" s="58"/>
      <c r="AG98" s="58"/>
      <c r="AH98" s="58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0" customFormat="1" ht="16.5" customHeight="1" x14ac:dyDescent="0.4">
      <c r="A99" s="50">
        <v>46143</v>
      </c>
      <c r="B99" s="44">
        <v>1671</v>
      </c>
      <c r="C99" s="26">
        <v>0</v>
      </c>
      <c r="D99" s="26"/>
      <c r="E99" s="26">
        <v>0</v>
      </c>
      <c r="F99" s="59" t="str">
        <f>IFERROR(VLOOKUP(D99,ErrorList!$A$1:$C$2305,3,FALSE),"-")</f>
        <v>-</v>
      </c>
      <c r="G99" s="60"/>
      <c r="H99" s="60"/>
      <c r="I99" s="60"/>
      <c r="J99" s="60"/>
      <c r="K99" s="60"/>
      <c r="L99" s="60"/>
      <c r="M99" s="60"/>
      <c r="N99" s="61"/>
      <c r="O99" s="62"/>
      <c r="P99" s="63"/>
      <c r="Q99" s="63"/>
      <c r="R99" s="63"/>
      <c r="S99" s="63"/>
      <c r="T99" s="63"/>
      <c r="U99" s="63"/>
      <c r="V99" s="64"/>
      <c r="W99" s="32"/>
      <c r="X99" s="65" t="str">
        <f>IFERROR(VLOOKUP(D99,ErrorList!$A$1:$C$2305,2,FALSE),"-")</f>
        <v>-</v>
      </c>
      <c r="Y99" s="66"/>
      <c r="Z99" s="56"/>
      <c r="AA99" s="57"/>
      <c r="AB99" s="31"/>
      <c r="AC99" s="56"/>
      <c r="AD99" s="57"/>
      <c r="AE99" s="58"/>
      <c r="AF99" s="58"/>
      <c r="AG99" s="58"/>
      <c r="AH99" s="58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15" customFormat="1" x14ac:dyDescent="0.4">
      <c r="A100" s="5"/>
      <c r="B100" s="23"/>
      <c r="C100" s="23"/>
      <c r="D100" s="23"/>
      <c r="E100" s="2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42"/>
      <c r="X100" s="23"/>
      <c r="Y100" s="23"/>
      <c r="Z100" s="5"/>
      <c r="AA100" s="5"/>
      <c r="AB100" s="5"/>
      <c r="AC100" s="5"/>
      <c r="AD100" s="5"/>
      <c r="AE100" s="24"/>
      <c r="AF100" s="22"/>
      <c r="AG100" s="22"/>
      <c r="AH100" s="22"/>
      <c r="AI100" s="22"/>
      <c r="AJ100" s="22"/>
    </row>
    <row r="101" spans="1:89" s="15" customFormat="1" x14ac:dyDescent="0.4">
      <c r="A101" s="5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3"/>
      <c r="Y101" s="23"/>
      <c r="Z101" s="5"/>
      <c r="AA101" s="5"/>
      <c r="AB101" s="5"/>
      <c r="AC101" s="5"/>
      <c r="AD101" s="5"/>
      <c r="AE101" s="24"/>
      <c r="AF101" s="22"/>
      <c r="AG101" s="22"/>
      <c r="AH101" s="22"/>
      <c r="AI101" s="22"/>
      <c r="AJ101" s="22"/>
    </row>
    <row r="102" spans="1:89" s="15" customFormat="1" x14ac:dyDescent="0.4">
      <c r="A102" s="5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3"/>
      <c r="Y102" s="23"/>
      <c r="Z102" s="5"/>
      <c r="AA102" s="5"/>
      <c r="AB102" s="5"/>
      <c r="AC102" s="5"/>
      <c r="AD102" s="5"/>
      <c r="AE102" s="24"/>
      <c r="AF102" s="22"/>
      <c r="AG102" s="22"/>
      <c r="AH102" s="22"/>
      <c r="AI102" s="22"/>
      <c r="AJ102" s="22"/>
    </row>
    <row r="103" spans="1:89" s="15" customFormat="1" x14ac:dyDescent="0.4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3"/>
      <c r="Y103" s="23"/>
      <c r="Z103" s="5"/>
      <c r="AA103" s="5"/>
      <c r="AB103" s="5"/>
      <c r="AC103" s="5"/>
      <c r="AD103" s="5"/>
      <c r="AE103" s="24"/>
      <c r="AF103" s="22"/>
      <c r="AG103" s="22"/>
      <c r="AH103" s="22"/>
      <c r="AI103" s="22"/>
      <c r="AJ103" s="22"/>
    </row>
    <row r="104" spans="1:89" s="15" customFormat="1" x14ac:dyDescent="0.4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3"/>
      <c r="Y104" s="23"/>
      <c r="Z104" s="5"/>
      <c r="AA104" s="5"/>
      <c r="AB104" s="5"/>
      <c r="AC104" s="5"/>
      <c r="AD104" s="5"/>
      <c r="AE104" s="24"/>
      <c r="AF104" s="22"/>
      <c r="AG104" s="22"/>
      <c r="AH104" s="22"/>
      <c r="AI104" s="22"/>
      <c r="AJ104" s="22"/>
    </row>
    <row r="105" spans="1:89" s="15" customFormat="1" x14ac:dyDescent="0.4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3"/>
      <c r="Y105" s="23"/>
      <c r="Z105" s="5"/>
      <c r="AA105" s="5"/>
      <c r="AB105" s="5"/>
      <c r="AC105" s="5"/>
      <c r="AD105" s="5"/>
      <c r="AE105" s="24"/>
      <c r="AF105" s="22"/>
      <c r="AG105" s="22"/>
      <c r="AH105" s="22"/>
      <c r="AI105" s="22"/>
      <c r="AJ105" s="22"/>
    </row>
    <row r="106" spans="1:89" s="15" customFormat="1" x14ac:dyDescent="0.4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3"/>
      <c r="Y106" s="23"/>
      <c r="Z106" s="5"/>
      <c r="AA106" s="5"/>
      <c r="AB106" s="5"/>
      <c r="AC106" s="5"/>
      <c r="AD106" s="5"/>
      <c r="AE106" s="24"/>
      <c r="AF106" s="22"/>
      <c r="AG106" s="22"/>
      <c r="AH106" s="22"/>
      <c r="AI106" s="22"/>
      <c r="AJ106" s="22"/>
    </row>
    <row r="107" spans="1:89" s="15" customFormat="1" x14ac:dyDescent="0.4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3"/>
      <c r="Y107" s="23"/>
      <c r="Z107" s="5"/>
      <c r="AA107" s="5"/>
      <c r="AB107" s="5"/>
      <c r="AC107" s="5"/>
      <c r="AD107" s="5"/>
      <c r="AE107" s="24"/>
      <c r="AF107" s="22"/>
      <c r="AG107" s="22"/>
      <c r="AH107" s="22"/>
      <c r="AI107" s="22"/>
      <c r="AJ107" s="22"/>
    </row>
    <row r="108" spans="1:89" s="15" customFormat="1" x14ac:dyDescent="0.4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3"/>
      <c r="Y108" s="23"/>
      <c r="Z108" s="5"/>
      <c r="AA108" s="5"/>
      <c r="AB108" s="5"/>
      <c r="AC108" s="5"/>
      <c r="AD108" s="5"/>
      <c r="AE108" s="24"/>
      <c r="AF108" s="22"/>
      <c r="AG108" s="22"/>
      <c r="AH108" s="22"/>
      <c r="AI108" s="22"/>
      <c r="AJ108" s="22"/>
    </row>
    <row r="109" spans="1:89" s="15" customFormat="1" x14ac:dyDescent="0.4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3"/>
      <c r="Y109" s="23"/>
      <c r="Z109" s="5"/>
      <c r="AA109" s="5"/>
      <c r="AB109" s="5"/>
      <c r="AC109" s="5"/>
      <c r="AD109" s="5"/>
      <c r="AE109" s="24"/>
      <c r="AF109" s="22"/>
      <c r="AG109" s="22"/>
      <c r="AH109" s="22"/>
      <c r="AI109" s="22"/>
      <c r="AJ109" s="22"/>
    </row>
    <row r="110" spans="1:89" s="15" customFormat="1" x14ac:dyDescent="0.4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3"/>
      <c r="Y110" s="23"/>
      <c r="Z110" s="5"/>
      <c r="AA110" s="5"/>
      <c r="AB110" s="5"/>
      <c r="AC110" s="5"/>
      <c r="AD110" s="5"/>
      <c r="AE110" s="24"/>
      <c r="AF110" s="22"/>
      <c r="AG110" s="22"/>
      <c r="AH110" s="22"/>
      <c r="AI110" s="22"/>
      <c r="AJ110" s="22"/>
    </row>
    <row r="111" spans="1:89" s="15" customFormat="1" x14ac:dyDescent="0.4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3"/>
      <c r="Y111" s="23"/>
      <c r="Z111" s="5"/>
      <c r="AA111" s="5"/>
      <c r="AB111" s="5"/>
      <c r="AC111" s="5"/>
      <c r="AD111" s="5"/>
      <c r="AE111" s="24"/>
      <c r="AF111" s="22"/>
      <c r="AG111" s="22"/>
      <c r="AH111" s="22"/>
      <c r="AI111" s="22"/>
      <c r="AJ111" s="22"/>
    </row>
    <row r="112" spans="1:89" s="15" customFormat="1" x14ac:dyDescent="0.4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3"/>
      <c r="Y112" s="23"/>
      <c r="Z112" s="5"/>
      <c r="AA112" s="5"/>
      <c r="AB112" s="5"/>
      <c r="AC112" s="5"/>
      <c r="AD112" s="5"/>
      <c r="AE112" s="24"/>
      <c r="AF112" s="22"/>
      <c r="AG112" s="22"/>
      <c r="AH112" s="22"/>
      <c r="AI112" s="22"/>
      <c r="AJ112" s="22"/>
    </row>
    <row r="113" spans="1:36" s="15" customFormat="1" x14ac:dyDescent="0.4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3"/>
      <c r="Y113" s="23"/>
      <c r="Z113" s="5"/>
      <c r="AA113" s="5"/>
      <c r="AB113" s="5"/>
      <c r="AC113" s="5"/>
      <c r="AD113" s="5"/>
      <c r="AE113" s="24"/>
      <c r="AF113" s="22"/>
      <c r="AG113" s="22"/>
      <c r="AH113" s="22"/>
      <c r="AI113" s="22"/>
      <c r="AJ113" s="22"/>
    </row>
    <row r="114" spans="1:36" s="15" customFormat="1" x14ac:dyDescent="0.4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3"/>
      <c r="Y114" s="23"/>
      <c r="Z114" s="5"/>
      <c r="AA114" s="5"/>
      <c r="AB114" s="5"/>
      <c r="AC114" s="5"/>
      <c r="AD114" s="5"/>
      <c r="AE114" s="24"/>
      <c r="AF114" s="22"/>
      <c r="AG114" s="22"/>
      <c r="AH114" s="22"/>
      <c r="AI114" s="22"/>
      <c r="AJ114" s="22"/>
    </row>
    <row r="115" spans="1:36" s="15" customFormat="1" x14ac:dyDescent="0.4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3"/>
      <c r="Y115" s="23"/>
      <c r="Z115" s="5"/>
      <c r="AA115" s="5"/>
      <c r="AB115" s="5"/>
      <c r="AC115" s="5"/>
      <c r="AD115" s="5"/>
      <c r="AE115" s="24"/>
      <c r="AF115" s="22"/>
      <c r="AG115" s="22"/>
      <c r="AH115" s="22"/>
      <c r="AI115" s="22"/>
      <c r="AJ115" s="22"/>
    </row>
    <row r="116" spans="1:36" s="15" customFormat="1" x14ac:dyDescent="0.4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3"/>
      <c r="Y116" s="23"/>
      <c r="Z116" s="5"/>
      <c r="AA116" s="5"/>
      <c r="AB116" s="5"/>
      <c r="AC116" s="5"/>
      <c r="AD116" s="5"/>
      <c r="AE116" s="24"/>
      <c r="AF116" s="22"/>
      <c r="AG116" s="22"/>
      <c r="AH116" s="22"/>
      <c r="AI116" s="22"/>
      <c r="AJ116" s="22"/>
    </row>
    <row r="117" spans="1:36" s="15" customFormat="1" x14ac:dyDescent="0.4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3"/>
      <c r="Y117" s="23"/>
      <c r="Z117" s="5"/>
      <c r="AA117" s="5"/>
      <c r="AB117" s="5"/>
      <c r="AC117" s="5"/>
      <c r="AD117" s="5"/>
      <c r="AE117" s="24"/>
      <c r="AF117" s="22"/>
      <c r="AG117" s="22"/>
      <c r="AH117" s="22"/>
      <c r="AI117" s="22"/>
      <c r="AJ117" s="22"/>
    </row>
    <row r="118" spans="1:36" s="15" customFormat="1" x14ac:dyDescent="0.4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3"/>
      <c r="Y118" s="23"/>
      <c r="Z118" s="5"/>
      <c r="AA118" s="5"/>
      <c r="AB118" s="5"/>
      <c r="AC118" s="5"/>
      <c r="AD118" s="5"/>
      <c r="AE118" s="24"/>
      <c r="AF118" s="22"/>
      <c r="AG118" s="22"/>
      <c r="AH118" s="22"/>
      <c r="AI118" s="22"/>
      <c r="AJ118" s="22"/>
    </row>
    <row r="119" spans="1:36" s="15" customFormat="1" x14ac:dyDescent="0.4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3"/>
      <c r="Y119" s="23"/>
      <c r="Z119" s="5"/>
      <c r="AA119" s="5"/>
      <c r="AB119" s="5"/>
      <c r="AC119" s="5"/>
      <c r="AD119" s="5"/>
      <c r="AE119" s="24"/>
      <c r="AF119" s="22"/>
      <c r="AG119" s="22"/>
      <c r="AH119" s="22"/>
      <c r="AI119" s="22"/>
      <c r="AJ119" s="22"/>
    </row>
    <row r="120" spans="1:36" s="15" customFormat="1" x14ac:dyDescent="0.4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3"/>
      <c r="Y120" s="23"/>
      <c r="Z120" s="5"/>
      <c r="AA120" s="5"/>
      <c r="AB120" s="5"/>
      <c r="AC120" s="5"/>
      <c r="AD120" s="5"/>
      <c r="AE120" s="24"/>
      <c r="AF120" s="22"/>
      <c r="AG120" s="22"/>
      <c r="AH120" s="22"/>
      <c r="AI120" s="22"/>
      <c r="AJ120" s="22"/>
    </row>
    <row r="121" spans="1:36" s="15" customFormat="1" x14ac:dyDescent="0.4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3"/>
      <c r="Y121" s="23"/>
      <c r="Z121" s="5"/>
      <c r="AA121" s="5"/>
      <c r="AB121" s="5"/>
      <c r="AC121" s="5"/>
      <c r="AD121" s="5"/>
      <c r="AE121" s="24"/>
      <c r="AF121" s="22"/>
      <c r="AG121" s="22"/>
      <c r="AH121" s="22"/>
      <c r="AI121" s="22"/>
      <c r="AJ121" s="22"/>
    </row>
    <row r="122" spans="1:36" s="15" customFormat="1" x14ac:dyDescent="0.4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3"/>
      <c r="Y122" s="23"/>
      <c r="Z122" s="5"/>
      <c r="AA122" s="5"/>
      <c r="AB122" s="5"/>
      <c r="AC122" s="5"/>
      <c r="AD122" s="5"/>
      <c r="AE122" s="24"/>
      <c r="AF122" s="22"/>
      <c r="AG122" s="22"/>
      <c r="AH122" s="22"/>
      <c r="AI122" s="22"/>
      <c r="AJ122" s="22"/>
    </row>
    <row r="123" spans="1:36" s="15" customFormat="1" x14ac:dyDescent="0.4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3"/>
      <c r="Y123" s="23"/>
      <c r="Z123" s="5"/>
      <c r="AA123" s="5"/>
      <c r="AB123" s="5"/>
      <c r="AC123" s="5"/>
      <c r="AD123" s="5"/>
      <c r="AE123" s="24"/>
      <c r="AF123" s="22"/>
      <c r="AG123" s="22"/>
      <c r="AH123" s="22"/>
      <c r="AI123" s="22"/>
      <c r="AJ123" s="22"/>
    </row>
    <row r="124" spans="1:36" s="15" customFormat="1" x14ac:dyDescent="0.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3"/>
      <c r="Y124" s="23"/>
      <c r="Z124" s="5"/>
      <c r="AA124" s="5"/>
      <c r="AB124" s="5"/>
      <c r="AC124" s="5"/>
      <c r="AD124" s="5"/>
      <c r="AE124" s="24"/>
      <c r="AF124" s="22"/>
      <c r="AG124" s="22"/>
      <c r="AH124" s="22"/>
      <c r="AI124" s="22"/>
      <c r="AJ124" s="22"/>
    </row>
    <row r="125" spans="1:36" s="15" customFormat="1" x14ac:dyDescent="0.4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3"/>
      <c r="Y125" s="23"/>
      <c r="Z125" s="5"/>
      <c r="AA125" s="5"/>
      <c r="AB125" s="5"/>
      <c r="AC125" s="5"/>
      <c r="AD125" s="5"/>
      <c r="AE125" s="24"/>
      <c r="AF125" s="22"/>
      <c r="AG125" s="22"/>
      <c r="AH125" s="22"/>
      <c r="AI125" s="22"/>
      <c r="AJ125" s="22"/>
    </row>
    <row r="126" spans="1:36" s="15" customFormat="1" x14ac:dyDescent="0.4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3"/>
      <c r="Y126" s="23"/>
      <c r="Z126" s="5"/>
      <c r="AA126" s="5"/>
      <c r="AB126" s="5"/>
      <c r="AC126" s="5"/>
      <c r="AD126" s="5"/>
      <c r="AE126" s="24"/>
      <c r="AF126" s="22"/>
      <c r="AG126" s="22"/>
      <c r="AH126" s="22"/>
      <c r="AI126" s="22"/>
      <c r="AJ126" s="22"/>
    </row>
    <row r="127" spans="1:36" s="15" customFormat="1" x14ac:dyDescent="0.4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3"/>
      <c r="Y127" s="23"/>
      <c r="Z127" s="5"/>
      <c r="AA127" s="5"/>
      <c r="AB127" s="5"/>
      <c r="AC127" s="5"/>
      <c r="AD127" s="5"/>
      <c r="AE127" s="24"/>
      <c r="AF127" s="22"/>
      <c r="AG127" s="22"/>
      <c r="AH127" s="22"/>
      <c r="AI127" s="22"/>
      <c r="AJ127" s="22"/>
    </row>
    <row r="128" spans="1:36" s="15" customFormat="1" x14ac:dyDescent="0.4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3"/>
      <c r="Y128" s="23"/>
      <c r="Z128" s="5"/>
      <c r="AA128" s="5"/>
      <c r="AB128" s="5"/>
      <c r="AC128" s="5"/>
      <c r="AD128" s="5"/>
      <c r="AE128" s="24"/>
      <c r="AF128" s="22"/>
      <c r="AG128" s="22"/>
      <c r="AH128" s="22"/>
      <c r="AI128" s="22"/>
      <c r="AJ128" s="22"/>
    </row>
    <row r="129" spans="1:36" s="15" customFormat="1" x14ac:dyDescent="0.4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3"/>
      <c r="Y129" s="23"/>
      <c r="Z129" s="5"/>
      <c r="AA129" s="5"/>
      <c r="AB129" s="5"/>
      <c r="AC129" s="5"/>
      <c r="AD129" s="5"/>
      <c r="AE129" s="24"/>
      <c r="AF129" s="22"/>
      <c r="AG129" s="22"/>
      <c r="AH129" s="22"/>
      <c r="AI129" s="22"/>
      <c r="AJ129" s="22"/>
    </row>
    <row r="130" spans="1:36" s="15" customFormat="1" x14ac:dyDescent="0.4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3"/>
      <c r="Y130" s="23"/>
      <c r="Z130" s="5"/>
      <c r="AA130" s="5"/>
      <c r="AB130" s="5"/>
      <c r="AC130" s="5"/>
      <c r="AD130" s="5"/>
      <c r="AE130" s="24"/>
      <c r="AF130" s="22"/>
      <c r="AG130" s="22"/>
      <c r="AH130" s="22"/>
      <c r="AI130" s="22"/>
      <c r="AJ130" s="22"/>
    </row>
    <row r="131" spans="1:36" s="15" customFormat="1" x14ac:dyDescent="0.4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3"/>
      <c r="Y131" s="23"/>
      <c r="Z131" s="5"/>
      <c r="AA131" s="5"/>
      <c r="AB131" s="5"/>
      <c r="AC131" s="5"/>
      <c r="AD131" s="5"/>
      <c r="AE131" s="24"/>
      <c r="AF131" s="22"/>
      <c r="AG131" s="22"/>
      <c r="AH131" s="22"/>
      <c r="AI131" s="22"/>
      <c r="AJ131" s="22"/>
    </row>
    <row r="132" spans="1:36" s="15" customFormat="1" x14ac:dyDescent="0.4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3"/>
      <c r="Y132" s="23"/>
      <c r="Z132" s="5"/>
      <c r="AA132" s="5"/>
      <c r="AB132" s="5"/>
      <c r="AC132" s="5"/>
      <c r="AD132" s="5"/>
      <c r="AE132" s="24"/>
      <c r="AF132" s="22"/>
      <c r="AG132" s="22"/>
      <c r="AH132" s="22"/>
      <c r="AI132" s="22"/>
      <c r="AJ132" s="22"/>
    </row>
    <row r="133" spans="1:36" s="15" customFormat="1" x14ac:dyDescent="0.4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3"/>
      <c r="Y133" s="23"/>
      <c r="Z133" s="5"/>
      <c r="AA133" s="5"/>
      <c r="AB133" s="5"/>
      <c r="AC133" s="5"/>
      <c r="AD133" s="5"/>
      <c r="AE133" s="24"/>
      <c r="AF133" s="22"/>
      <c r="AG133" s="22"/>
      <c r="AH133" s="22"/>
      <c r="AI133" s="22"/>
      <c r="AJ133" s="22"/>
    </row>
    <row r="134" spans="1:36" s="15" customFormat="1" x14ac:dyDescent="0.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3"/>
      <c r="Y134" s="23"/>
      <c r="Z134" s="5"/>
      <c r="AA134" s="5"/>
      <c r="AB134" s="5"/>
      <c r="AC134" s="5"/>
      <c r="AD134" s="5"/>
      <c r="AE134" s="24"/>
      <c r="AF134" s="22"/>
      <c r="AG134" s="22"/>
      <c r="AH134" s="22"/>
      <c r="AI134" s="22"/>
      <c r="AJ134" s="22"/>
    </row>
    <row r="135" spans="1:36" s="15" customFormat="1" x14ac:dyDescent="0.4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3"/>
      <c r="Y135" s="23"/>
      <c r="Z135" s="5"/>
      <c r="AA135" s="5"/>
      <c r="AB135" s="5"/>
      <c r="AC135" s="5"/>
      <c r="AD135" s="5"/>
      <c r="AE135" s="24"/>
      <c r="AF135" s="22"/>
      <c r="AG135" s="22"/>
      <c r="AH135" s="22"/>
      <c r="AI135" s="22"/>
      <c r="AJ135" s="22"/>
    </row>
    <row r="136" spans="1:36" s="15" customFormat="1" x14ac:dyDescent="0.4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3"/>
      <c r="Y136" s="23"/>
      <c r="Z136" s="5"/>
      <c r="AA136" s="5"/>
      <c r="AB136" s="5"/>
      <c r="AC136" s="5"/>
      <c r="AD136" s="5"/>
      <c r="AE136" s="24"/>
      <c r="AF136" s="22"/>
      <c r="AG136" s="22"/>
      <c r="AH136" s="22"/>
      <c r="AI136" s="22"/>
      <c r="AJ136" s="22"/>
    </row>
    <row r="137" spans="1:36" s="15" customFormat="1" x14ac:dyDescent="0.4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3"/>
      <c r="Y137" s="23"/>
      <c r="Z137" s="5"/>
      <c r="AA137" s="5"/>
      <c r="AB137" s="5"/>
      <c r="AC137" s="5"/>
      <c r="AD137" s="5"/>
      <c r="AE137" s="24"/>
      <c r="AF137" s="22"/>
      <c r="AG137" s="22"/>
      <c r="AH137" s="22"/>
      <c r="AI137" s="22"/>
      <c r="AJ137" s="22"/>
    </row>
    <row r="138" spans="1:36" s="15" customFormat="1" x14ac:dyDescent="0.4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3"/>
      <c r="Y138" s="23"/>
      <c r="Z138" s="5"/>
      <c r="AA138" s="5"/>
      <c r="AB138" s="5"/>
      <c r="AC138" s="5"/>
      <c r="AD138" s="5"/>
      <c r="AE138" s="24"/>
      <c r="AF138" s="22"/>
      <c r="AG138" s="22"/>
      <c r="AH138" s="22"/>
      <c r="AI138" s="22"/>
      <c r="AJ138" s="22"/>
    </row>
    <row r="139" spans="1:36" s="15" customFormat="1" x14ac:dyDescent="0.4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3"/>
      <c r="Y139" s="23"/>
      <c r="Z139" s="5"/>
      <c r="AA139" s="5"/>
      <c r="AB139" s="5"/>
      <c r="AC139" s="5"/>
      <c r="AD139" s="5"/>
      <c r="AE139" s="24"/>
      <c r="AF139" s="22"/>
      <c r="AG139" s="22"/>
      <c r="AH139" s="22"/>
      <c r="AI139" s="22"/>
      <c r="AJ139" s="22"/>
    </row>
    <row r="140" spans="1:36" s="15" customFormat="1" x14ac:dyDescent="0.4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3"/>
      <c r="Y140" s="23"/>
      <c r="Z140" s="5"/>
      <c r="AA140" s="5"/>
      <c r="AB140" s="5"/>
      <c r="AC140" s="5"/>
      <c r="AD140" s="5"/>
      <c r="AE140" s="24"/>
      <c r="AF140" s="22"/>
      <c r="AG140" s="22"/>
      <c r="AH140" s="22"/>
      <c r="AI140" s="22"/>
      <c r="AJ140" s="22"/>
    </row>
    <row r="141" spans="1:36" s="15" customFormat="1" x14ac:dyDescent="0.4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3"/>
      <c r="Y141" s="23"/>
      <c r="Z141" s="5"/>
      <c r="AA141" s="5"/>
      <c r="AB141" s="5"/>
      <c r="AC141" s="5"/>
      <c r="AD141" s="5"/>
      <c r="AE141" s="24"/>
      <c r="AF141" s="22"/>
      <c r="AG141" s="22"/>
      <c r="AH141" s="22"/>
      <c r="AI141" s="22"/>
      <c r="AJ141" s="22"/>
    </row>
    <row r="142" spans="1:36" s="15" customFormat="1" x14ac:dyDescent="0.4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36" s="15" customFormat="1" x14ac:dyDescent="0.4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36" s="15" customFormat="1" x14ac:dyDescent="0.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4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4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4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4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4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4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4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4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4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4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4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4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4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4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4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4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4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4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4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4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4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4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4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4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4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4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4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4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4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4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4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4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4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4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4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4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4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4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4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4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4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4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4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4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4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4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4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4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4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4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4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4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4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4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4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4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4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4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4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4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4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4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4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4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4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4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4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4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4">
      <c r="A214" s="5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4">
      <c r="A215" s="5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4">
      <c r="A216" s="5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4">
      <c r="A217" s="5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4">
      <c r="A218" s="5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4">
      <c r="A219" s="5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4">
      <c r="A220" s="5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4">
      <c r="A221" s="5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4">
      <c r="A222" s="5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4">
      <c r="A223" s="5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4">
      <c r="A224" s="5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4">
      <c r="A225" s="5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4">
      <c r="A226" s="5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4">
      <c r="A227" s="5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4">
      <c r="A228" s="5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4">
      <c r="A229" s="5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4">
      <c r="A230" s="5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4">
      <c r="A231" s="5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4">
      <c r="A232" s="5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4">
      <c r="A233" s="5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4">
      <c r="A234" s="5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4">
      <c r="A235" s="5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4">
      <c r="A236" s="5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4">
      <c r="A237" s="5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4">
      <c r="A238" s="5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4">
      <c r="A239" s="5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4">
      <c r="A240" s="5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4">
      <c r="A241" s="5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4">
      <c r="A242" s="5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4">
      <c r="A243" s="5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4">
      <c r="A244" s="5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4">
      <c r="A245" s="5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4">
      <c r="A246" s="5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4">
      <c r="A247" s="5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4">
      <c r="A248" s="5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4">
      <c r="A249" s="5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4">
      <c r="A250" s="5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4">
      <c r="A251" s="5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4">
      <c r="A252" s="5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4">
      <c r="A253" s="5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4">
      <c r="A254" s="5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4">
      <c r="A255" s="5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4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4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4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4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4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4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4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4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4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4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4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4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4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4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4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4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4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4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4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4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4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4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4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4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4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4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4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4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4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4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4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4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4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4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4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4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4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4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4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4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4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4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4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4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4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4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4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4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4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4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4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4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4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4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4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4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4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4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4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4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4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4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4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4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4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4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4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4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4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4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4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4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4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4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4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4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5"/>
      <c r="AG331" s="5"/>
      <c r="AH331" s="22"/>
      <c r="AI331" s="22"/>
      <c r="AJ331" s="22"/>
    </row>
    <row r="332" spans="1:36" s="15" customFormat="1" x14ac:dyDescent="0.4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4"/>
      <c r="AG332" s="24"/>
      <c r="AH332" s="22"/>
      <c r="AI332" s="22"/>
      <c r="AJ332" s="22"/>
    </row>
    <row r="333" spans="1:36" s="15" customFormat="1" x14ac:dyDescent="0.4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4"/>
      <c r="AG333" s="24"/>
      <c r="AH333" s="22"/>
      <c r="AI333" s="22"/>
      <c r="AJ333" s="22"/>
    </row>
    <row r="334" spans="1:36" s="15" customFormat="1" x14ac:dyDescent="0.4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4"/>
      <c r="AG334" s="24"/>
      <c r="AH334" s="22"/>
      <c r="AI334" s="22"/>
      <c r="AJ334" s="22"/>
    </row>
    <row r="335" spans="1:36" s="15" customFormat="1" x14ac:dyDescent="0.4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4"/>
      <c r="AG335" s="24"/>
      <c r="AH335" s="22"/>
      <c r="AI335" s="22"/>
      <c r="AJ335" s="22"/>
    </row>
    <row r="336" spans="1:36" s="15" customFormat="1" x14ac:dyDescent="0.4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4"/>
      <c r="AG336" s="24"/>
      <c r="AH336" s="22"/>
      <c r="AI336" s="22"/>
      <c r="AJ336" s="22"/>
    </row>
    <row r="337" spans="1:36" s="15" customFormat="1" x14ac:dyDescent="0.4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4"/>
      <c r="AG337" s="24"/>
      <c r="AH337" s="22"/>
      <c r="AI337" s="22"/>
      <c r="AJ337" s="22"/>
    </row>
    <row r="338" spans="1:36" s="15" customFormat="1" x14ac:dyDescent="0.4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4"/>
      <c r="AG338" s="24"/>
      <c r="AH338" s="22"/>
      <c r="AI338" s="22"/>
      <c r="AJ338" s="22"/>
    </row>
    <row r="339" spans="1:36" s="15" customFormat="1" x14ac:dyDescent="0.4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4"/>
      <c r="AG339" s="24"/>
      <c r="AH339" s="22"/>
      <c r="AI339" s="22"/>
      <c r="AJ339" s="22"/>
    </row>
    <row r="340" spans="1:36" s="15" customFormat="1" x14ac:dyDescent="0.4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4"/>
      <c r="AG340" s="24"/>
      <c r="AH340" s="22"/>
      <c r="AI340" s="22"/>
      <c r="AJ340" s="22"/>
    </row>
    <row r="341" spans="1:36" s="15" customFormat="1" x14ac:dyDescent="0.4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4"/>
      <c r="AG341" s="24"/>
      <c r="AH341" s="22"/>
      <c r="AI341" s="22"/>
      <c r="AJ341" s="22"/>
    </row>
    <row r="342" spans="1:36" s="15" customFormat="1" x14ac:dyDescent="0.4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4"/>
      <c r="AG342" s="24"/>
      <c r="AH342" s="22"/>
      <c r="AI342" s="22"/>
      <c r="AJ342" s="22"/>
    </row>
    <row r="343" spans="1:36" s="15" customFormat="1" x14ac:dyDescent="0.4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4"/>
      <c r="AG343" s="24"/>
      <c r="AH343" s="22"/>
      <c r="AI343" s="22"/>
      <c r="AJ343" s="22"/>
    </row>
    <row r="344" spans="1:36" s="15" customFormat="1" x14ac:dyDescent="0.4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4"/>
      <c r="AG344" s="24"/>
      <c r="AH344" s="22"/>
      <c r="AI344" s="22"/>
      <c r="AJ344" s="22"/>
    </row>
    <row r="345" spans="1:36" s="15" customFormat="1" x14ac:dyDescent="0.4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4"/>
      <c r="AG345" s="24"/>
      <c r="AH345" s="22"/>
      <c r="AI345" s="22"/>
      <c r="AJ345" s="22"/>
    </row>
    <row r="346" spans="1:36" s="15" customFormat="1" x14ac:dyDescent="0.4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4"/>
      <c r="AG346" s="24"/>
      <c r="AH346" s="22"/>
      <c r="AI346" s="22"/>
      <c r="AJ346" s="22"/>
    </row>
    <row r="347" spans="1:36" s="15" customFormat="1" x14ac:dyDescent="0.4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4"/>
      <c r="AG347" s="24"/>
      <c r="AH347" s="22"/>
      <c r="AI347" s="22"/>
      <c r="AJ347" s="22"/>
    </row>
    <row r="348" spans="1:36" s="15" customFormat="1" x14ac:dyDescent="0.4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4"/>
      <c r="AG348" s="24"/>
      <c r="AH348" s="22"/>
      <c r="AI348" s="22"/>
      <c r="AJ348" s="22"/>
    </row>
    <row r="349" spans="1:36" s="15" customFormat="1" x14ac:dyDescent="0.4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4"/>
      <c r="AG349" s="24"/>
      <c r="AH349" s="22"/>
      <c r="AI349" s="22"/>
      <c r="AJ349" s="22"/>
    </row>
    <row r="350" spans="1:36" s="15" customFormat="1" x14ac:dyDescent="0.4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4"/>
      <c r="AG350" s="24"/>
      <c r="AH350" s="22"/>
      <c r="AI350" s="22"/>
      <c r="AJ350" s="22"/>
    </row>
    <row r="351" spans="1:36" s="15" customFormat="1" x14ac:dyDescent="0.4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4"/>
      <c r="AG351" s="24"/>
      <c r="AH351" s="22"/>
      <c r="AI351" s="22"/>
      <c r="AJ351" s="22"/>
    </row>
    <row r="352" spans="1:36" s="15" customFormat="1" x14ac:dyDescent="0.4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4"/>
      <c r="AG352" s="24"/>
      <c r="AH352" s="22"/>
      <c r="AI352" s="22"/>
      <c r="AJ352" s="22"/>
    </row>
    <row r="353" spans="1:36" s="15" customFormat="1" x14ac:dyDescent="0.4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4"/>
      <c r="AG353" s="24"/>
      <c r="AH353" s="22"/>
      <c r="AI353" s="22"/>
      <c r="AJ353" s="22"/>
    </row>
    <row r="354" spans="1:36" s="15" customFormat="1" x14ac:dyDescent="0.4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4"/>
      <c r="AG354" s="24"/>
      <c r="AH354" s="22"/>
      <c r="AI354" s="22"/>
      <c r="AJ354" s="22"/>
    </row>
    <row r="355" spans="1:36" s="15" customFormat="1" x14ac:dyDescent="0.4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4"/>
      <c r="AG355" s="24"/>
      <c r="AH355" s="22"/>
      <c r="AI355" s="22"/>
      <c r="AJ355" s="22"/>
    </row>
    <row r="356" spans="1:36" s="15" customFormat="1" x14ac:dyDescent="0.4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4"/>
      <c r="AG356" s="24"/>
      <c r="AH356" s="22"/>
      <c r="AI356" s="22"/>
      <c r="AJ356" s="22"/>
    </row>
    <row r="357" spans="1:36" s="15" customFormat="1" x14ac:dyDescent="0.4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4"/>
      <c r="AG357" s="24"/>
      <c r="AH357" s="22"/>
      <c r="AI357" s="22"/>
      <c r="AJ357" s="22"/>
    </row>
    <row r="358" spans="1:36" s="15" customFormat="1" x14ac:dyDescent="0.4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4"/>
      <c r="AG358" s="24"/>
      <c r="AH358" s="22"/>
      <c r="AI358" s="22"/>
      <c r="AJ358" s="22"/>
    </row>
    <row r="359" spans="1:36" s="15" customFormat="1" x14ac:dyDescent="0.4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4"/>
      <c r="AG359" s="24"/>
      <c r="AH359" s="22"/>
      <c r="AI359" s="22"/>
      <c r="AJ359" s="22"/>
    </row>
    <row r="360" spans="1:36" s="15" customFormat="1" x14ac:dyDescent="0.4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4"/>
      <c r="AG360" s="24"/>
      <c r="AH360" s="22"/>
      <c r="AI360" s="22"/>
      <c r="AJ360" s="22"/>
    </row>
    <row r="361" spans="1:36" s="15" customFormat="1" x14ac:dyDescent="0.4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4"/>
      <c r="AG361" s="24"/>
      <c r="AH361" s="22"/>
      <c r="AI361" s="22"/>
      <c r="AJ361" s="22"/>
    </row>
    <row r="362" spans="1:36" s="15" customFormat="1" x14ac:dyDescent="0.4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4"/>
      <c r="AG362" s="24"/>
      <c r="AH362" s="22"/>
      <c r="AI362" s="22"/>
      <c r="AJ362" s="22"/>
    </row>
    <row r="363" spans="1:36" s="15" customFormat="1" x14ac:dyDescent="0.4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4"/>
      <c r="AG363" s="24"/>
      <c r="AH363" s="22"/>
      <c r="AI363" s="22"/>
      <c r="AJ363" s="22"/>
    </row>
    <row r="364" spans="1:36" s="15" customFormat="1" x14ac:dyDescent="0.4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4"/>
      <c r="AG364" s="24"/>
      <c r="AH364" s="22"/>
      <c r="AI364" s="22"/>
      <c r="AJ364" s="22"/>
    </row>
    <row r="365" spans="1:36" s="15" customFormat="1" x14ac:dyDescent="0.4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4"/>
      <c r="AG365" s="24"/>
      <c r="AH365" s="22"/>
      <c r="AI365" s="22"/>
      <c r="AJ365" s="22"/>
    </row>
    <row r="366" spans="1:36" s="15" customFormat="1" x14ac:dyDescent="0.4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4"/>
      <c r="AG366" s="24"/>
      <c r="AH366" s="22"/>
      <c r="AI366" s="22"/>
      <c r="AJ366" s="22"/>
    </row>
    <row r="367" spans="1:36" s="15" customFormat="1" x14ac:dyDescent="0.4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4"/>
      <c r="AG367" s="24"/>
      <c r="AH367" s="22"/>
      <c r="AI367" s="22"/>
      <c r="AJ367" s="22"/>
    </row>
    <row r="368" spans="1:36" s="15" customFormat="1" x14ac:dyDescent="0.4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4"/>
      <c r="AG368" s="24"/>
      <c r="AH368" s="5"/>
      <c r="AI368" s="5"/>
      <c r="AJ368" s="22"/>
    </row>
    <row r="369" spans="1:36" s="15" customFormat="1" x14ac:dyDescent="0.4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4"/>
      <c r="AG369" s="24"/>
      <c r="AH369" s="24"/>
      <c r="AI369" s="24"/>
      <c r="AJ369" s="22"/>
    </row>
    <row r="370" spans="1:36" s="15" customFormat="1" x14ac:dyDescent="0.4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4"/>
      <c r="AG370" s="24"/>
      <c r="AH370" s="24"/>
      <c r="AI370" s="24"/>
      <c r="AJ370" s="22"/>
    </row>
    <row r="371" spans="1:36" s="15" customFormat="1" x14ac:dyDescent="0.4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4"/>
      <c r="AG371" s="24"/>
      <c r="AH371" s="24"/>
      <c r="AI371" s="24"/>
      <c r="AJ371" s="22"/>
    </row>
    <row r="372" spans="1:36" s="15" customFormat="1" x14ac:dyDescent="0.4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4"/>
      <c r="AG372" s="24"/>
      <c r="AH372" s="24"/>
      <c r="AI372" s="24"/>
      <c r="AJ372" s="22"/>
    </row>
    <row r="373" spans="1:36" s="15" customFormat="1" x14ac:dyDescent="0.4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4"/>
      <c r="AG373" s="24"/>
      <c r="AH373" s="24"/>
      <c r="AI373" s="24"/>
      <c r="AJ373" s="22"/>
    </row>
    <row r="374" spans="1:36" s="15" customFormat="1" x14ac:dyDescent="0.4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4"/>
      <c r="AI374" s="24"/>
      <c r="AJ374" s="22"/>
    </row>
    <row r="375" spans="1:36" s="15" customFormat="1" x14ac:dyDescent="0.4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4"/>
      <c r="AI375" s="24"/>
      <c r="AJ375" s="22"/>
    </row>
    <row r="376" spans="1:36" s="15" customFormat="1" x14ac:dyDescent="0.4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4"/>
      <c r="AI376" s="24"/>
      <c r="AJ376" s="22"/>
    </row>
    <row r="377" spans="1:36" s="15" customFormat="1" x14ac:dyDescent="0.4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4"/>
      <c r="AI377" s="24"/>
      <c r="AJ377" s="22"/>
    </row>
    <row r="378" spans="1:36" s="15" customFormat="1" x14ac:dyDescent="0.4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4"/>
      <c r="AI378" s="24"/>
      <c r="AJ378" s="22"/>
    </row>
    <row r="379" spans="1:36" s="15" customFormat="1" x14ac:dyDescent="0.4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4"/>
      <c r="AI379" s="24"/>
      <c r="AJ379" s="22"/>
    </row>
    <row r="380" spans="1:36" s="15" customFormat="1" x14ac:dyDescent="0.4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4"/>
      <c r="AI380" s="24"/>
      <c r="AJ380" s="22"/>
    </row>
    <row r="381" spans="1:36" s="15" customFormat="1" x14ac:dyDescent="0.4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4"/>
      <c r="AI381" s="24"/>
      <c r="AJ381" s="22"/>
    </row>
    <row r="382" spans="1:36" s="15" customFormat="1" x14ac:dyDescent="0.4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4"/>
      <c r="AI382" s="24"/>
      <c r="AJ382" s="22"/>
    </row>
    <row r="383" spans="1:36" s="15" customFormat="1" x14ac:dyDescent="0.4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4"/>
      <c r="AI383" s="24"/>
      <c r="AJ383" s="22"/>
    </row>
    <row r="384" spans="1:36" s="15" customFormat="1" x14ac:dyDescent="0.4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4"/>
      <c r="AI384" s="24"/>
      <c r="AJ384" s="22"/>
    </row>
    <row r="385" spans="1:37" s="15" customFormat="1" x14ac:dyDescent="0.4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4"/>
      <c r="AI385" s="24"/>
      <c r="AJ385" s="22"/>
    </row>
    <row r="386" spans="1:37" s="15" customFormat="1" x14ac:dyDescent="0.4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4"/>
      <c r="AI386" s="24"/>
      <c r="AJ386" s="22"/>
    </row>
    <row r="387" spans="1:37" s="15" customFormat="1" x14ac:dyDescent="0.4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4"/>
      <c r="AI387" s="24"/>
      <c r="AJ387" s="22"/>
    </row>
    <row r="388" spans="1:37" s="15" customFormat="1" x14ac:dyDescent="0.4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4"/>
      <c r="AI388" s="24"/>
      <c r="AJ388" s="22"/>
    </row>
    <row r="389" spans="1:37" s="15" customFormat="1" x14ac:dyDescent="0.4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4"/>
      <c r="AI389" s="24"/>
      <c r="AJ389" s="22"/>
    </row>
    <row r="390" spans="1:37" s="15" customFormat="1" x14ac:dyDescent="0.4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4"/>
      <c r="AI390" s="24"/>
      <c r="AJ390" s="22"/>
    </row>
    <row r="391" spans="1:37" s="15" customFormat="1" x14ac:dyDescent="0.4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4"/>
      <c r="AI391" s="24"/>
      <c r="AJ391" s="22"/>
    </row>
    <row r="392" spans="1:37" s="15" customFormat="1" x14ac:dyDescent="0.4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4"/>
      <c r="AI392" s="24"/>
      <c r="AJ392" s="22"/>
    </row>
    <row r="393" spans="1:37" s="15" customFormat="1" x14ac:dyDescent="0.4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4"/>
      <c r="AI393" s="24"/>
      <c r="AJ393" s="22"/>
    </row>
    <row r="394" spans="1:37" s="15" customFormat="1" x14ac:dyDescent="0.4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4"/>
      <c r="AI394" s="24"/>
      <c r="AJ394" s="22"/>
    </row>
    <row r="395" spans="1:37" s="15" customFormat="1" x14ac:dyDescent="0.4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4"/>
      <c r="AI395" s="24"/>
      <c r="AJ395" s="5"/>
      <c r="AK395" s="5"/>
    </row>
    <row r="396" spans="1:37" s="15" customFormat="1" x14ac:dyDescent="0.4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4"/>
      <c r="AI396" s="24"/>
      <c r="AJ396" s="24"/>
      <c r="AK396" s="24"/>
    </row>
    <row r="397" spans="1:37" s="15" customFormat="1" x14ac:dyDescent="0.4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4"/>
      <c r="AI397" s="24"/>
      <c r="AJ397" s="24"/>
      <c r="AK397" s="24"/>
    </row>
    <row r="398" spans="1:37" s="15" customFormat="1" x14ac:dyDescent="0.4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4"/>
      <c r="AI398" s="24"/>
      <c r="AJ398" s="24"/>
      <c r="AK398" s="24"/>
    </row>
    <row r="399" spans="1:37" s="15" customFormat="1" x14ac:dyDescent="0.4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4"/>
      <c r="AI399" s="24"/>
      <c r="AJ399" s="24"/>
      <c r="AK399" s="24"/>
    </row>
    <row r="400" spans="1:37" s="15" customFormat="1" x14ac:dyDescent="0.4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4"/>
      <c r="AI400" s="24"/>
      <c r="AJ400" s="24"/>
      <c r="AK400" s="24"/>
    </row>
    <row r="401" spans="1:37" s="15" customFormat="1" x14ac:dyDescent="0.4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4"/>
      <c r="AI401" s="24"/>
      <c r="AJ401" s="24"/>
      <c r="AK401" s="24"/>
    </row>
    <row r="402" spans="1:37" s="15" customFormat="1" x14ac:dyDescent="0.4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4"/>
      <c r="AI402" s="24"/>
      <c r="AJ402" s="24"/>
      <c r="AK402" s="24"/>
    </row>
    <row r="403" spans="1:37" s="15" customFormat="1" x14ac:dyDescent="0.4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4"/>
      <c r="AI403" s="24"/>
      <c r="AJ403" s="24"/>
      <c r="AK403" s="24"/>
    </row>
    <row r="404" spans="1:37" s="15" customFormat="1" x14ac:dyDescent="0.4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4"/>
      <c r="AI404" s="24"/>
      <c r="AJ404" s="24"/>
      <c r="AK404" s="24"/>
    </row>
    <row r="405" spans="1:37" s="15" customFormat="1" x14ac:dyDescent="0.4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4"/>
      <c r="AI405" s="24"/>
      <c r="AJ405" s="24"/>
      <c r="AK405" s="24"/>
    </row>
    <row r="406" spans="1:37" s="15" customFormat="1" x14ac:dyDescent="0.4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4"/>
      <c r="AI406" s="24"/>
      <c r="AJ406" s="24"/>
      <c r="AK406" s="24"/>
    </row>
    <row r="407" spans="1:37" s="15" customFormat="1" x14ac:dyDescent="0.4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4"/>
      <c r="AI407" s="24"/>
      <c r="AJ407" s="24"/>
      <c r="AK407" s="24"/>
    </row>
    <row r="408" spans="1:37" s="15" customFormat="1" x14ac:dyDescent="0.4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4"/>
      <c r="AI408" s="24"/>
      <c r="AJ408" s="24"/>
      <c r="AK408" s="24"/>
    </row>
    <row r="409" spans="1:37" s="15" customFormat="1" x14ac:dyDescent="0.4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4"/>
      <c r="AI409" s="24"/>
      <c r="AJ409" s="24"/>
      <c r="AK409" s="24"/>
    </row>
    <row r="410" spans="1:37" s="15" customFormat="1" x14ac:dyDescent="0.4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4"/>
      <c r="AI410" s="24"/>
      <c r="AJ410" s="24"/>
      <c r="AK410" s="24"/>
    </row>
    <row r="411" spans="1:37" s="15" customFormat="1" x14ac:dyDescent="0.4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4"/>
      <c r="AK411" s="24"/>
    </row>
    <row r="412" spans="1:37" s="15" customFormat="1" x14ac:dyDescent="0.4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4"/>
      <c r="AK412" s="24"/>
    </row>
    <row r="413" spans="1:37" s="15" customFormat="1" x14ac:dyDescent="0.4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24"/>
      <c r="AK413" s="24"/>
    </row>
    <row r="414" spans="1:37" s="15" customFormat="1" x14ac:dyDescent="0.4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4"/>
      <c r="AK414" s="24"/>
    </row>
    <row r="415" spans="1:37" s="15" customFormat="1" x14ac:dyDescent="0.4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4"/>
      <c r="AK415" s="24"/>
    </row>
    <row r="416" spans="1:37" s="15" customFormat="1" x14ac:dyDescent="0.4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4"/>
      <c r="AK416" s="24"/>
    </row>
    <row r="417" spans="1:37" s="15" customFormat="1" x14ac:dyDescent="0.4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4"/>
      <c r="AK417" s="24"/>
    </row>
    <row r="418" spans="1:37" s="15" customFormat="1" x14ac:dyDescent="0.4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4"/>
      <c r="AK418" s="24"/>
    </row>
    <row r="419" spans="1:37" s="15" customFormat="1" x14ac:dyDescent="0.4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4"/>
      <c r="AK419" s="24"/>
    </row>
    <row r="420" spans="1:37" s="15" customFormat="1" x14ac:dyDescent="0.4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4"/>
      <c r="AK420" s="24"/>
    </row>
    <row r="421" spans="1:37" s="15" customFormat="1" x14ac:dyDescent="0.4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4"/>
      <c r="AK421" s="24"/>
    </row>
    <row r="422" spans="1:37" s="15" customFormat="1" x14ac:dyDescent="0.4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4"/>
      <c r="AK422" s="24"/>
    </row>
    <row r="423" spans="1:37" s="15" customFormat="1" x14ac:dyDescent="0.4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4"/>
      <c r="AK423" s="24"/>
    </row>
    <row r="424" spans="1:37" s="15" customFormat="1" x14ac:dyDescent="0.4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4"/>
      <c r="AK424" s="24"/>
    </row>
    <row r="425" spans="1:37" s="15" customFormat="1" x14ac:dyDescent="0.4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4"/>
      <c r="AK425" s="24"/>
    </row>
    <row r="426" spans="1:37" s="15" customFormat="1" x14ac:dyDescent="0.4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4"/>
      <c r="AK426" s="24"/>
    </row>
    <row r="427" spans="1:37" s="15" customFormat="1" x14ac:dyDescent="0.4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4"/>
      <c r="AK427" s="24"/>
    </row>
    <row r="428" spans="1:37" s="15" customFormat="1" x14ac:dyDescent="0.4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4"/>
      <c r="AK428" s="24"/>
    </row>
    <row r="429" spans="1:37" s="15" customFormat="1" x14ac:dyDescent="0.4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4"/>
      <c r="AK429" s="24"/>
    </row>
    <row r="430" spans="1:37" s="15" customFormat="1" x14ac:dyDescent="0.4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4"/>
      <c r="AK430" s="24"/>
    </row>
    <row r="431" spans="1:37" s="15" customFormat="1" x14ac:dyDescent="0.4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4"/>
      <c r="AK431" s="24"/>
    </row>
    <row r="432" spans="1:37" s="15" customFormat="1" x14ac:dyDescent="0.4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4"/>
      <c r="AK432" s="24"/>
    </row>
    <row r="433" spans="1:37" s="15" customFormat="1" x14ac:dyDescent="0.4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4"/>
      <c r="AK433" s="24"/>
    </row>
    <row r="434" spans="1:37" s="15" customFormat="1" x14ac:dyDescent="0.4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4"/>
      <c r="AK434" s="24"/>
    </row>
    <row r="435" spans="1:37" s="15" customFormat="1" x14ac:dyDescent="0.4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4"/>
      <c r="AK435" s="24"/>
    </row>
    <row r="436" spans="1:37" s="15" customFormat="1" x14ac:dyDescent="0.4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4"/>
      <c r="AK436" s="24"/>
    </row>
    <row r="437" spans="1:37" s="15" customFormat="1" x14ac:dyDescent="0.4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4"/>
      <c r="AK437" s="24"/>
    </row>
    <row r="438" spans="1:37" s="15" customFormat="1" x14ac:dyDescent="0.4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4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4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4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4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4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4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4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4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4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4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4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4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4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4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4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4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4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4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4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4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4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4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4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4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4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4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4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4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4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4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x14ac:dyDescent="0.4">
      <c r="AE469" s="24"/>
      <c r="AF469" s="24"/>
      <c r="AG469" s="24"/>
      <c r="AH469" s="24"/>
      <c r="AI469" s="24"/>
      <c r="AJ469" s="24"/>
      <c r="AK469" s="24"/>
    </row>
    <row r="470" spans="1:37" s="24" customFormat="1" x14ac:dyDescent="0.4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</row>
    <row r="471" spans="1:37" s="24" customFormat="1" x14ac:dyDescent="0.4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</row>
    <row r="472" spans="1:37" s="24" customFormat="1" x14ac:dyDescent="0.4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</row>
    <row r="473" spans="1:37" s="24" customFormat="1" x14ac:dyDescent="0.4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</row>
    <row r="474" spans="1:37" s="24" customFormat="1" x14ac:dyDescent="0.4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</row>
    <row r="475" spans="1:37" s="24" customFormat="1" x14ac:dyDescent="0.4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</row>
    <row r="476" spans="1:37" s="24" customFormat="1" x14ac:dyDescent="0.4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</row>
    <row r="477" spans="1:37" s="24" customFormat="1" x14ac:dyDescent="0.4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</row>
    <row r="478" spans="1:37" s="24" customFormat="1" x14ac:dyDescent="0.4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</row>
    <row r="479" spans="1:37" s="24" customFormat="1" x14ac:dyDescent="0.4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</row>
    <row r="480" spans="1:37" s="24" customFormat="1" x14ac:dyDescent="0.4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</row>
    <row r="481" spans="1:30" s="24" customFormat="1" x14ac:dyDescent="0.4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</row>
    <row r="482" spans="1:30" s="24" customFormat="1" x14ac:dyDescent="0.4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</row>
    <row r="483" spans="1:30" s="24" customFormat="1" x14ac:dyDescent="0.4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</row>
    <row r="484" spans="1:30" s="24" customFormat="1" x14ac:dyDescent="0.4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</row>
    <row r="485" spans="1:30" s="24" customFormat="1" x14ac:dyDescent="0.4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</row>
    <row r="486" spans="1:30" s="24" customFormat="1" x14ac:dyDescent="0.4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</row>
    <row r="487" spans="1:30" s="24" customFormat="1" x14ac:dyDescent="0.4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</row>
    <row r="488" spans="1:30" s="24" customFormat="1" x14ac:dyDescent="0.4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</row>
    <row r="489" spans="1:30" s="24" customFormat="1" x14ac:dyDescent="0.4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</row>
    <row r="490" spans="1:30" s="24" customFormat="1" x14ac:dyDescent="0.4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</row>
    <row r="491" spans="1:30" s="24" customFormat="1" x14ac:dyDescent="0.4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</row>
    <row r="492" spans="1:30" s="24" customFormat="1" x14ac:dyDescent="0.4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</row>
    <row r="493" spans="1:30" s="24" customFormat="1" x14ac:dyDescent="0.4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</row>
    <row r="494" spans="1:30" s="24" customFormat="1" x14ac:dyDescent="0.4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</row>
    <row r="495" spans="1:30" s="24" customFormat="1" x14ac:dyDescent="0.4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</row>
    <row r="496" spans="1:30" s="24" customFormat="1" x14ac:dyDescent="0.4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</row>
    <row r="497" spans="1:30" s="24" customFormat="1" x14ac:dyDescent="0.4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</row>
    <row r="498" spans="1:30" s="24" customFormat="1" x14ac:dyDescent="0.4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</row>
    <row r="499" spans="1:30" s="24" customFormat="1" x14ac:dyDescent="0.4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</row>
    <row r="500" spans="1:30" s="24" customFormat="1" x14ac:dyDescent="0.4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</row>
    <row r="501" spans="1:30" s="24" customFormat="1" x14ac:dyDescent="0.4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</row>
    <row r="502" spans="1:30" s="24" customFormat="1" x14ac:dyDescent="0.4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</row>
    <row r="503" spans="1:30" s="24" customFormat="1" x14ac:dyDescent="0.4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</row>
    <row r="504" spans="1:30" s="24" customFormat="1" x14ac:dyDescent="0.4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</row>
    <row r="505" spans="1:30" s="24" customFormat="1" x14ac:dyDescent="0.4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</row>
    <row r="506" spans="1:30" s="24" customFormat="1" x14ac:dyDescent="0.4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</row>
    <row r="507" spans="1:30" s="24" customFormat="1" x14ac:dyDescent="0.4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</row>
    <row r="508" spans="1:30" s="24" customFormat="1" x14ac:dyDescent="0.4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</row>
    <row r="509" spans="1:30" s="24" customFormat="1" x14ac:dyDescent="0.4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</row>
    <row r="510" spans="1:30" s="24" customFormat="1" x14ac:dyDescent="0.4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</row>
    <row r="511" spans="1:30" s="24" customFormat="1" x14ac:dyDescent="0.4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</row>
    <row r="512" spans="1:30" s="24" customFormat="1" x14ac:dyDescent="0.4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4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4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4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4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4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4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4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4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4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4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4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4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4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4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4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4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1" s="24" customFormat="1" x14ac:dyDescent="0.4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1" s="24" customFormat="1" x14ac:dyDescent="0.4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1" s="24" customFormat="1" x14ac:dyDescent="0.4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1" s="24" customFormat="1" x14ac:dyDescent="0.4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1" s="24" customFormat="1" x14ac:dyDescent="0.4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1" s="24" customFormat="1" x14ac:dyDescent="0.4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1" s="24" customFormat="1" x14ac:dyDescent="0.4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1" s="24" customFormat="1" x14ac:dyDescent="0.4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1" s="24" customFormat="1" x14ac:dyDescent="0.4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1" s="24" customFormat="1" x14ac:dyDescent="0.4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1" s="24" customFormat="1" x14ac:dyDescent="0.4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1" s="24" customFormat="1" x14ac:dyDescent="0.4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1" s="24" customFormat="1" x14ac:dyDescent="0.4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  <c r="AE541" s="5"/>
    </row>
    <row r="542" spans="1:31" s="24" customFormat="1" x14ac:dyDescent="0.4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  <c r="AE542" s="5"/>
    </row>
    <row r="543" spans="1:31" s="24" customFormat="1" x14ac:dyDescent="0.4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  <c r="AE543" s="5"/>
    </row>
    <row r="544" spans="1:31" s="24" customFormat="1" x14ac:dyDescent="0.4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  <c r="AE544" s="5"/>
    </row>
    <row r="545" spans="1:31" s="24" customFormat="1" x14ac:dyDescent="0.4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  <c r="AE545" s="5"/>
    </row>
    <row r="546" spans="1:31" s="24" customFormat="1" x14ac:dyDescent="0.4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  <c r="AE546" s="5"/>
    </row>
    <row r="547" spans="1:31" s="24" customFormat="1" x14ac:dyDescent="0.4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  <c r="AE547" s="5"/>
    </row>
    <row r="548" spans="1:31" s="24" customFormat="1" x14ac:dyDescent="0.4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  <c r="AE548" s="5"/>
    </row>
    <row r="549" spans="1:31" s="24" customFormat="1" x14ac:dyDescent="0.4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  <c r="AE549" s="5"/>
    </row>
    <row r="550" spans="1:31" s="24" customFormat="1" x14ac:dyDescent="0.4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  <c r="AE550" s="5"/>
    </row>
    <row r="551" spans="1:31" s="24" customFormat="1" x14ac:dyDescent="0.4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  <c r="AE551" s="5"/>
    </row>
    <row r="552" spans="1:31" s="24" customFormat="1" x14ac:dyDescent="0.4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  <c r="AE552" s="5"/>
    </row>
    <row r="553" spans="1:31" s="24" customFormat="1" x14ac:dyDescent="0.4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  <c r="AE553" s="5"/>
    </row>
    <row r="554" spans="1:31" s="24" customFormat="1" x14ac:dyDescent="0.4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  <c r="AE554" s="5"/>
    </row>
    <row r="555" spans="1:31" s="24" customFormat="1" x14ac:dyDescent="0.4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  <c r="AE555" s="5"/>
    </row>
    <row r="556" spans="1:31" s="24" customFormat="1" x14ac:dyDescent="0.4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  <c r="AE556" s="5"/>
    </row>
    <row r="557" spans="1:31" s="24" customFormat="1" x14ac:dyDescent="0.4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  <c r="AE557" s="5"/>
    </row>
    <row r="558" spans="1:31" s="24" customFormat="1" x14ac:dyDescent="0.4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  <c r="AE558" s="5"/>
    </row>
    <row r="559" spans="1:31" s="24" customFormat="1" x14ac:dyDescent="0.4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  <c r="AE559" s="5"/>
    </row>
    <row r="560" spans="1:31" s="24" customFormat="1" x14ac:dyDescent="0.4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  <c r="AE560" s="5"/>
    </row>
    <row r="561" spans="1:31" s="24" customFormat="1" x14ac:dyDescent="0.4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  <c r="AE561" s="5"/>
    </row>
    <row r="562" spans="1:31" s="24" customFormat="1" x14ac:dyDescent="0.4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  <c r="AE562" s="5"/>
    </row>
    <row r="563" spans="1:31" s="24" customFormat="1" x14ac:dyDescent="0.4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  <c r="AE563" s="5"/>
    </row>
    <row r="564" spans="1:31" s="24" customFormat="1" x14ac:dyDescent="0.4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  <c r="AE564" s="5"/>
    </row>
    <row r="565" spans="1:31" s="24" customFormat="1" x14ac:dyDescent="0.4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  <c r="AE565" s="5"/>
    </row>
    <row r="566" spans="1:31" s="24" customFormat="1" x14ac:dyDescent="0.4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  <c r="AE566" s="5"/>
    </row>
    <row r="567" spans="1:31" s="24" customFormat="1" x14ac:dyDescent="0.4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  <c r="AE567" s="5"/>
    </row>
    <row r="568" spans="1:31" s="24" customFormat="1" x14ac:dyDescent="0.4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  <c r="AE568" s="5"/>
    </row>
    <row r="569" spans="1:31" s="24" customFormat="1" x14ac:dyDescent="0.4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  <c r="AE569" s="5"/>
    </row>
    <row r="570" spans="1:31" s="24" customFormat="1" x14ac:dyDescent="0.4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  <c r="AE570" s="5"/>
    </row>
    <row r="571" spans="1:31" s="24" customFormat="1" x14ac:dyDescent="0.4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  <c r="AE571" s="5"/>
    </row>
    <row r="572" spans="1:31" s="24" customFormat="1" x14ac:dyDescent="0.4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  <c r="AE572" s="5"/>
    </row>
    <row r="573" spans="1:31" s="24" customFormat="1" x14ac:dyDescent="0.4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  <c r="AE573" s="5"/>
    </row>
    <row r="574" spans="1:31" s="24" customFormat="1" x14ac:dyDescent="0.4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  <c r="AE574" s="5"/>
    </row>
    <row r="575" spans="1:31" s="24" customFormat="1" x14ac:dyDescent="0.4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  <c r="AE575" s="5"/>
    </row>
    <row r="576" spans="1:31" s="24" customFormat="1" x14ac:dyDescent="0.4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  <c r="AE576" s="5"/>
    </row>
    <row r="577" spans="1:31" s="24" customFormat="1" x14ac:dyDescent="0.4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  <c r="AE577" s="5"/>
    </row>
    <row r="578" spans="1:31" s="24" customFormat="1" x14ac:dyDescent="0.4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  <c r="AE578" s="5"/>
    </row>
    <row r="579" spans="1:31" s="24" customFormat="1" x14ac:dyDescent="0.4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  <c r="AE579" s="5"/>
    </row>
    <row r="580" spans="1:31" s="24" customFormat="1" x14ac:dyDescent="0.4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  <c r="AE580" s="5"/>
    </row>
    <row r="581" spans="1:31" s="24" customFormat="1" x14ac:dyDescent="0.4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  <c r="AE581" s="5"/>
    </row>
    <row r="582" spans="1:31" s="24" customFormat="1" x14ac:dyDescent="0.4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  <c r="AE582" s="5"/>
    </row>
    <row r="583" spans="1:31" s="24" customFormat="1" x14ac:dyDescent="0.4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4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4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4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4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4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4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4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4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4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4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4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4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4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4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4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4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4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4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4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4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4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4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4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4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4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4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4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4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4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4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4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4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4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4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4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4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4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4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4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4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4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4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4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4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4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4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4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4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4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4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4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4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4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4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4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4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4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4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4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4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4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4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4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4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4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4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4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4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4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4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4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4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4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4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4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4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4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4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4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4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4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4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4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4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4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4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4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4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4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4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4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4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4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4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4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4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4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4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4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4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4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4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4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4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4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4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4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4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4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4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4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4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4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4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4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4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4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4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4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4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4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4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4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4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4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4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4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4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4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4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4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4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4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4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4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4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4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4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4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4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4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4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4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4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4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4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4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4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4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4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4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4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4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4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4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4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4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4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4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4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4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4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4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4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4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4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4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4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4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4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4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4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4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4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4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4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4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4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4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4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4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4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4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4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4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4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4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4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4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4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4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4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4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4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4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4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4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4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4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4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4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4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4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4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4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4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4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4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4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4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4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4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4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4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4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4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4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3" s="24" customFormat="1" x14ac:dyDescent="0.4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3" s="24" customFormat="1" x14ac:dyDescent="0.4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  <c r="AF802" s="5"/>
      <c r="AG802" s="5"/>
    </row>
    <row r="803" spans="1:33" s="24" customFormat="1" x14ac:dyDescent="0.4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  <c r="AF803" s="5"/>
      <c r="AG803" s="5"/>
    </row>
    <row r="804" spans="1:33" s="24" customFormat="1" x14ac:dyDescent="0.4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  <c r="AF804" s="5"/>
      <c r="AG804" s="5"/>
    </row>
    <row r="805" spans="1:33" s="24" customFormat="1" x14ac:dyDescent="0.4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  <c r="AF805" s="5"/>
      <c r="AG805" s="5"/>
    </row>
    <row r="806" spans="1:33" s="24" customFormat="1" x14ac:dyDescent="0.4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  <c r="AF806" s="5"/>
      <c r="AG806" s="5"/>
    </row>
    <row r="807" spans="1:33" s="24" customFormat="1" x14ac:dyDescent="0.4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  <c r="AF807" s="5"/>
      <c r="AG807" s="5"/>
    </row>
    <row r="808" spans="1:33" s="24" customFormat="1" x14ac:dyDescent="0.4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  <c r="AF808" s="5"/>
      <c r="AG808" s="5"/>
    </row>
    <row r="809" spans="1:33" s="24" customFormat="1" x14ac:dyDescent="0.4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  <c r="AF809" s="5"/>
      <c r="AG809" s="5"/>
    </row>
    <row r="810" spans="1:33" s="24" customFormat="1" x14ac:dyDescent="0.4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  <c r="AF810" s="5"/>
      <c r="AG810" s="5"/>
    </row>
    <row r="811" spans="1:33" s="24" customFormat="1" x14ac:dyDescent="0.4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  <c r="AF811" s="5"/>
      <c r="AG811" s="5"/>
    </row>
    <row r="812" spans="1:33" s="24" customFormat="1" x14ac:dyDescent="0.4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  <c r="AF812" s="5"/>
      <c r="AG812" s="5"/>
    </row>
    <row r="813" spans="1:33" s="24" customFormat="1" x14ac:dyDescent="0.4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  <c r="AF813" s="5"/>
      <c r="AG813" s="5"/>
    </row>
    <row r="814" spans="1:33" s="24" customFormat="1" x14ac:dyDescent="0.4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  <c r="AF814" s="5"/>
      <c r="AG814" s="5"/>
    </row>
    <row r="815" spans="1:33" s="24" customFormat="1" x14ac:dyDescent="0.4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  <c r="AF815" s="5"/>
      <c r="AG815" s="5"/>
    </row>
    <row r="816" spans="1:33" s="24" customFormat="1" x14ac:dyDescent="0.4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  <c r="AF816" s="5"/>
      <c r="AG816" s="5"/>
    </row>
    <row r="817" spans="1:33" s="24" customFormat="1" x14ac:dyDescent="0.4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  <c r="AF817" s="5"/>
      <c r="AG817" s="5"/>
    </row>
    <row r="818" spans="1:33" s="24" customFormat="1" x14ac:dyDescent="0.4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  <c r="AF818" s="5"/>
      <c r="AG818" s="5"/>
    </row>
    <row r="819" spans="1:33" s="24" customFormat="1" x14ac:dyDescent="0.4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  <c r="AF819" s="5"/>
      <c r="AG819" s="5"/>
    </row>
    <row r="820" spans="1:33" s="24" customFormat="1" x14ac:dyDescent="0.4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  <c r="AF820" s="5"/>
      <c r="AG820" s="5"/>
    </row>
    <row r="821" spans="1:33" s="24" customFormat="1" x14ac:dyDescent="0.4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  <c r="AF821" s="5"/>
      <c r="AG821" s="5"/>
    </row>
    <row r="822" spans="1:33" s="24" customFormat="1" x14ac:dyDescent="0.4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  <c r="AF822" s="5"/>
      <c r="AG822" s="5"/>
    </row>
    <row r="823" spans="1:33" s="24" customFormat="1" x14ac:dyDescent="0.4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  <c r="AF823" s="5"/>
      <c r="AG823" s="5"/>
    </row>
    <row r="824" spans="1:33" s="24" customFormat="1" x14ac:dyDescent="0.4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  <c r="AF824" s="5"/>
      <c r="AG824" s="5"/>
    </row>
    <row r="825" spans="1:33" s="24" customFormat="1" x14ac:dyDescent="0.4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  <c r="AF825" s="5"/>
      <c r="AG825" s="5"/>
    </row>
    <row r="826" spans="1:33" s="24" customFormat="1" x14ac:dyDescent="0.4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  <c r="AF826" s="5"/>
      <c r="AG826" s="5"/>
    </row>
    <row r="827" spans="1:33" s="24" customFormat="1" x14ac:dyDescent="0.4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  <c r="AF827" s="5"/>
      <c r="AG827" s="5"/>
    </row>
    <row r="828" spans="1:33" s="24" customFormat="1" x14ac:dyDescent="0.4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  <c r="AF828" s="5"/>
      <c r="AG828" s="5"/>
    </row>
    <row r="829" spans="1:33" s="24" customFormat="1" x14ac:dyDescent="0.4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  <c r="AF829" s="5"/>
      <c r="AG829" s="5"/>
    </row>
    <row r="830" spans="1:33" s="24" customFormat="1" x14ac:dyDescent="0.4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  <c r="AF830" s="5"/>
      <c r="AG830" s="5"/>
    </row>
    <row r="831" spans="1:33" s="24" customFormat="1" x14ac:dyDescent="0.4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  <c r="AF831" s="5"/>
      <c r="AG831" s="5"/>
    </row>
    <row r="832" spans="1:33" s="24" customFormat="1" x14ac:dyDescent="0.4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  <c r="AF832" s="5"/>
      <c r="AG832" s="5"/>
    </row>
    <row r="833" spans="1:35" s="24" customFormat="1" x14ac:dyDescent="0.4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  <c r="AF833" s="5"/>
      <c r="AG833" s="5"/>
    </row>
    <row r="834" spans="1:35" s="24" customFormat="1" x14ac:dyDescent="0.4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  <c r="AF834" s="5"/>
      <c r="AG834" s="5"/>
    </row>
    <row r="835" spans="1:35" s="24" customFormat="1" x14ac:dyDescent="0.4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  <c r="AF835" s="5"/>
      <c r="AG835" s="5"/>
    </row>
    <row r="836" spans="1:35" s="24" customFormat="1" x14ac:dyDescent="0.4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  <c r="AF836" s="5"/>
      <c r="AG836" s="5"/>
    </row>
    <row r="837" spans="1:35" s="24" customFormat="1" x14ac:dyDescent="0.4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  <c r="AF837" s="5"/>
      <c r="AG837" s="5"/>
    </row>
    <row r="838" spans="1:35" s="24" customFormat="1" x14ac:dyDescent="0.4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  <c r="AF838" s="5"/>
      <c r="AG838" s="5"/>
    </row>
    <row r="839" spans="1:35" s="24" customFormat="1" x14ac:dyDescent="0.4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s="24" customFormat="1" x14ac:dyDescent="0.4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s="24" customFormat="1" x14ac:dyDescent="0.4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s="24" customFormat="1" x14ac:dyDescent="0.4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s="24" customFormat="1" x14ac:dyDescent="0.4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s="24" customFormat="1" x14ac:dyDescent="0.4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s="24" customFormat="1" x14ac:dyDescent="0.4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s="24" customFormat="1" x14ac:dyDescent="0.4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s="24" customFormat="1" x14ac:dyDescent="0.4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s="24" customFormat="1" x14ac:dyDescent="0.4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s="24" customFormat="1" x14ac:dyDescent="0.4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s="24" customFormat="1" x14ac:dyDescent="0.4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s="24" customFormat="1" x14ac:dyDescent="0.4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s="24" customFormat="1" x14ac:dyDescent="0.4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s="24" customFormat="1" x14ac:dyDescent="0.4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s="24" customFormat="1" x14ac:dyDescent="0.4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s="24" customFormat="1" x14ac:dyDescent="0.4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s="24" customFormat="1" x14ac:dyDescent="0.4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s="24" customFormat="1" x14ac:dyDescent="0.4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s="24" customFormat="1" x14ac:dyDescent="0.4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s="24" customFormat="1" x14ac:dyDescent="0.4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s="24" customFormat="1" x14ac:dyDescent="0.4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s="24" customFormat="1" x14ac:dyDescent="0.4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s="24" customFormat="1" x14ac:dyDescent="0.4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s="24" customFormat="1" x14ac:dyDescent="0.4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s="24" customFormat="1" x14ac:dyDescent="0.4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7" s="24" customFormat="1" x14ac:dyDescent="0.4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7" s="24" customFormat="1" x14ac:dyDescent="0.4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s="24" customFormat="1" x14ac:dyDescent="0.4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s="24" customFormat="1" x14ac:dyDescent="0.4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s="24" customFormat="1" x14ac:dyDescent="0.4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s="24" customFormat="1" x14ac:dyDescent="0.4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s="24" customFormat="1" x14ac:dyDescent="0.4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s="24" customFormat="1" x14ac:dyDescent="0.4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s="24" customFormat="1" x14ac:dyDescent="0.4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s="24" customFormat="1" x14ac:dyDescent="0.4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s="24" customFormat="1" x14ac:dyDescent="0.4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s="24" customFormat="1" x14ac:dyDescent="0.4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s="24" customFormat="1" x14ac:dyDescent="0.4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s="24" customFormat="1" x14ac:dyDescent="0.4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s="24" customFormat="1" x14ac:dyDescent="0.4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s="24" customFormat="1" x14ac:dyDescent="0.4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s="24" customFormat="1" x14ac:dyDescent="0.4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s="24" customFormat="1" x14ac:dyDescent="0.4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s="24" customFormat="1" x14ac:dyDescent="0.4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s="24" customFormat="1" x14ac:dyDescent="0.4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s="24" customFormat="1" x14ac:dyDescent="0.4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s="24" customFormat="1" x14ac:dyDescent="0.4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s="24" customFormat="1" x14ac:dyDescent="0.4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s="24" customFormat="1" x14ac:dyDescent="0.4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s="24" customFormat="1" x14ac:dyDescent="0.4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s="24" customFormat="1" x14ac:dyDescent="0.4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s="24" customFormat="1" x14ac:dyDescent="0.4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s="24" customFormat="1" x14ac:dyDescent="0.4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s="24" customFormat="1" x14ac:dyDescent="0.4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s="24" customFormat="1" x14ac:dyDescent="0.4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s="24" customFormat="1" x14ac:dyDescent="0.4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s="24" customFormat="1" x14ac:dyDescent="0.4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s="24" customFormat="1" x14ac:dyDescent="0.4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s="24" customFormat="1" x14ac:dyDescent="0.4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s="24" customFormat="1" x14ac:dyDescent="0.4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s="24" customFormat="1" x14ac:dyDescent="0.4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s="24" customFormat="1" x14ac:dyDescent="0.4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s="24" customFormat="1" x14ac:dyDescent="0.4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s="24" customFormat="1" x14ac:dyDescent="0.4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s="24" customFormat="1" x14ac:dyDescent="0.4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s="24" customFormat="1" x14ac:dyDescent="0.4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s="24" customFormat="1" x14ac:dyDescent="0.4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s="24" customFormat="1" x14ac:dyDescent="0.4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s="24" customFormat="1" x14ac:dyDescent="0.4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4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4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4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4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4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25"/>
      <c r="AF913" s="5"/>
      <c r="AG913" s="5"/>
      <c r="AH913" s="5"/>
      <c r="AI913" s="5"/>
      <c r="AJ913" s="5"/>
      <c r="AK913" s="5"/>
    </row>
    <row r="914" spans="1:37" s="24" customFormat="1" x14ac:dyDescent="0.4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4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4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4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4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4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4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4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4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4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4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4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4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4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4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4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4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4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4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4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4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4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4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4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4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4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1174" spans="32:33" x14ac:dyDescent="0.4">
      <c r="AF1174" s="25"/>
      <c r="AG1174" s="25"/>
    </row>
    <row r="1175" spans="32:33" ht="13.2" customHeight="1" x14ac:dyDescent="0.4"/>
    <row r="1211" spans="34:35" x14ac:dyDescent="0.4">
      <c r="AH1211" s="25"/>
      <c r="AI1211" s="25"/>
    </row>
    <row r="1238" spans="36:37" x14ac:dyDescent="0.4">
      <c r="AJ1238" s="25"/>
      <c r="AK1238" s="25"/>
    </row>
    <row r="1312" spans="1:37" s="25" customFormat="1" x14ac:dyDescent="0.4">
      <c r="A1312" s="5"/>
      <c r="B1312" s="4"/>
      <c r="C1312" s="4"/>
      <c r="D1312" s="4"/>
      <c r="E1312" s="4"/>
      <c r="F1312" s="4"/>
      <c r="G1312" s="4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23"/>
      <c r="Y1312" s="23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</row>
  </sheetData>
  <mergeCells count="317">
    <mergeCell ref="B71:B74"/>
    <mergeCell ref="A71:A74"/>
    <mergeCell ref="B67:B68"/>
    <mergeCell ref="A62:A64"/>
    <mergeCell ref="B62:B64"/>
    <mergeCell ref="B80:B82"/>
    <mergeCell ref="O96:V96"/>
    <mergeCell ref="O95:V95"/>
    <mergeCell ref="O94:V94"/>
    <mergeCell ref="O93:V93"/>
    <mergeCell ref="O92:V92"/>
    <mergeCell ref="O91:V91"/>
    <mergeCell ref="O90:V90"/>
    <mergeCell ref="O89:V89"/>
    <mergeCell ref="F89:N89"/>
    <mergeCell ref="F90:N90"/>
    <mergeCell ref="F91:N91"/>
    <mergeCell ref="F92:N92"/>
    <mergeCell ref="F93:N93"/>
    <mergeCell ref="F94:N94"/>
    <mergeCell ref="F96:N96"/>
    <mergeCell ref="F95:N95"/>
    <mergeCell ref="O85:V85"/>
    <mergeCell ref="O86:V86"/>
    <mergeCell ref="F97:N97"/>
    <mergeCell ref="O97:V97"/>
    <mergeCell ref="O84:V84"/>
    <mergeCell ref="B83:B84"/>
    <mergeCell ref="A83:A84"/>
    <mergeCell ref="A87:A89"/>
    <mergeCell ref="Z97:AA97"/>
    <mergeCell ref="AC97:AD97"/>
    <mergeCell ref="AE97:AH97"/>
    <mergeCell ref="X97:Y97"/>
    <mergeCell ref="O87:V87"/>
    <mergeCell ref="O88:V88"/>
    <mergeCell ref="B87:B89"/>
    <mergeCell ref="A93:A96"/>
    <mergeCell ref="B93:B96"/>
    <mergeCell ref="C93:C96"/>
    <mergeCell ref="F86:N86"/>
    <mergeCell ref="F87:N87"/>
    <mergeCell ref="F88:N88"/>
    <mergeCell ref="AC71:AD71"/>
    <mergeCell ref="AE65:AH65"/>
    <mergeCell ref="Z67:AA67"/>
    <mergeCell ref="Z57:AA57"/>
    <mergeCell ref="AE63:AH63"/>
    <mergeCell ref="Z66:AA66"/>
    <mergeCell ref="AC66:AD66"/>
    <mergeCell ref="AE66:AH66"/>
    <mergeCell ref="AE60:AH60"/>
    <mergeCell ref="AC81:AD81"/>
    <mergeCell ref="O83:V83"/>
    <mergeCell ref="Z83:AA83"/>
    <mergeCell ref="AC83:AD83"/>
    <mergeCell ref="AE83:AH83"/>
    <mergeCell ref="X96:Y96"/>
    <mergeCell ref="X95:Y95"/>
    <mergeCell ref="X94:Y94"/>
    <mergeCell ref="X93:Y93"/>
    <mergeCell ref="X92:Y92"/>
    <mergeCell ref="X91:Y91"/>
    <mergeCell ref="X90:Y90"/>
    <mergeCell ref="X89:Y89"/>
    <mergeCell ref="X83:Y83"/>
    <mergeCell ref="X86:Y86"/>
    <mergeCell ref="X87:Y87"/>
    <mergeCell ref="X88:Y88"/>
    <mergeCell ref="AE81:AH81"/>
    <mergeCell ref="X84:Y84"/>
    <mergeCell ref="AC84:AD84"/>
    <mergeCell ref="AE84:AH84"/>
    <mergeCell ref="X81:Y81"/>
    <mergeCell ref="Z84:AA84"/>
    <mergeCell ref="O67:V67"/>
    <mergeCell ref="X67:Y67"/>
    <mergeCell ref="O57:V57"/>
    <mergeCell ref="X57:Y57"/>
    <mergeCell ref="O66:V66"/>
    <mergeCell ref="X66:Y66"/>
    <mergeCell ref="X64:Y64"/>
    <mergeCell ref="O58:V58"/>
    <mergeCell ref="X58:Y58"/>
    <mergeCell ref="O82:V82"/>
    <mergeCell ref="X82:Y82"/>
    <mergeCell ref="O74:V74"/>
    <mergeCell ref="X74:Y74"/>
    <mergeCell ref="X75:Y75"/>
    <mergeCell ref="O68:V68"/>
    <mergeCell ref="X68:Y68"/>
    <mergeCell ref="O76:V76"/>
    <mergeCell ref="X76:Y76"/>
    <mergeCell ref="O77:V77"/>
    <mergeCell ref="X77:Y77"/>
    <mergeCell ref="O72:V72"/>
    <mergeCell ref="X72:Y72"/>
    <mergeCell ref="O73:V73"/>
    <mergeCell ref="X73:Y73"/>
    <mergeCell ref="O71:V71"/>
    <mergeCell ref="X71:Y71"/>
    <mergeCell ref="Z82:AA82"/>
    <mergeCell ref="AC82:AD82"/>
    <mergeCell ref="AE82:AH82"/>
    <mergeCell ref="A80:A82"/>
    <mergeCell ref="AI24:AJ24"/>
    <mergeCell ref="AJ21:AJ23"/>
    <mergeCell ref="Z81:AA81"/>
    <mergeCell ref="O81:V81"/>
    <mergeCell ref="O80:V80"/>
    <mergeCell ref="X80:Y80"/>
    <mergeCell ref="Z80:AA80"/>
    <mergeCell ref="AC80:AD80"/>
    <mergeCell ref="AE80:AH80"/>
    <mergeCell ref="AE71:AH71"/>
    <mergeCell ref="X79:Y79"/>
    <mergeCell ref="Z79:AA79"/>
    <mergeCell ref="AC79:AD79"/>
    <mergeCell ref="AE79:AH79"/>
    <mergeCell ref="X78:Y78"/>
    <mergeCell ref="AH21:AH23"/>
    <mergeCell ref="O56:V56"/>
    <mergeCell ref="O79:V79"/>
    <mergeCell ref="A24:B24"/>
    <mergeCell ref="A37:B37"/>
    <mergeCell ref="Z77:AA77"/>
    <mergeCell ref="AC77:AD77"/>
    <mergeCell ref="AE77:AH77"/>
    <mergeCell ref="Z78:AA78"/>
    <mergeCell ref="O78:V78"/>
    <mergeCell ref="AC78:AD78"/>
    <mergeCell ref="AE78:AH78"/>
    <mergeCell ref="AE74:AH74"/>
    <mergeCell ref="Z68:AA68"/>
    <mergeCell ref="AC68:AD68"/>
    <mergeCell ref="AE68:AH68"/>
    <mergeCell ref="Z69:AA69"/>
    <mergeCell ref="O69:V69"/>
    <mergeCell ref="X69:Y69"/>
    <mergeCell ref="O70:V70"/>
    <mergeCell ref="X70:Y70"/>
    <mergeCell ref="Z70:AA70"/>
    <mergeCell ref="AC70:AD70"/>
    <mergeCell ref="O75:V75"/>
    <mergeCell ref="Z76:AA76"/>
    <mergeCell ref="AC76:AD76"/>
    <mergeCell ref="AE76:AH76"/>
    <mergeCell ref="AE73:AH73"/>
    <mergeCell ref="Z72:AA72"/>
    <mergeCell ref="O59:V59"/>
    <mergeCell ref="X59:Y59"/>
    <mergeCell ref="Z59:AA59"/>
    <mergeCell ref="AC59:AD59"/>
    <mergeCell ref="AE59:AH59"/>
    <mergeCell ref="Z55:AA55"/>
    <mergeCell ref="AC55:AD55"/>
    <mergeCell ref="AE55:AH55"/>
    <mergeCell ref="Z64:AA64"/>
    <mergeCell ref="AC64:AD64"/>
    <mergeCell ref="AE64:AH64"/>
    <mergeCell ref="X62:Y62"/>
    <mergeCell ref="Z62:AA62"/>
    <mergeCell ref="AC62:AD62"/>
    <mergeCell ref="AE62:AH62"/>
    <mergeCell ref="AE61:AH61"/>
    <mergeCell ref="AC61:AD61"/>
    <mergeCell ref="X56:Y56"/>
    <mergeCell ref="AE56:AH56"/>
    <mergeCell ref="O42:V42"/>
    <mergeCell ref="X42:Y42"/>
    <mergeCell ref="Z42:AA42"/>
    <mergeCell ref="AC42:AD42"/>
    <mergeCell ref="AE44:AH44"/>
    <mergeCell ref="O45:V45"/>
    <mergeCell ref="AE51:AH51"/>
    <mergeCell ref="O51:V51"/>
    <mergeCell ref="X51:Y51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O50:V50"/>
    <mergeCell ref="X50:Y50"/>
    <mergeCell ref="AE50:AH50"/>
    <mergeCell ref="O46:V46"/>
    <mergeCell ref="AC57:AD57"/>
    <mergeCell ref="O48:V48"/>
    <mergeCell ref="X46:Y46"/>
    <mergeCell ref="Z46:AA46"/>
    <mergeCell ref="AC46:AD46"/>
    <mergeCell ref="AC53:AD53"/>
    <mergeCell ref="Z56:AA56"/>
    <mergeCell ref="AC56:AD56"/>
    <mergeCell ref="Z53:AA53"/>
    <mergeCell ref="O55:V55"/>
    <mergeCell ref="X55:Y55"/>
    <mergeCell ref="O54:V54"/>
    <mergeCell ref="O53:V53"/>
    <mergeCell ref="X53:Y53"/>
    <mergeCell ref="AC54:AD54"/>
    <mergeCell ref="X54:Y54"/>
    <mergeCell ref="Z54:AA54"/>
    <mergeCell ref="AE42:AH42"/>
    <mergeCell ref="AE53:AH53"/>
    <mergeCell ref="AE54:AH54"/>
    <mergeCell ref="AE57:AH57"/>
    <mergeCell ref="Z61:AA61"/>
    <mergeCell ref="X61:Y61"/>
    <mergeCell ref="Z75:AA75"/>
    <mergeCell ref="AE67:AH67"/>
    <mergeCell ref="Z74:AA74"/>
    <mergeCell ref="AC74:AD74"/>
    <mergeCell ref="AE46:AH46"/>
    <mergeCell ref="X47:Y47"/>
    <mergeCell ref="Z47:AA47"/>
    <mergeCell ref="AC47:AD47"/>
    <mergeCell ref="AE47:AH47"/>
    <mergeCell ref="X52:Y52"/>
    <mergeCell ref="Z52:AA52"/>
    <mergeCell ref="AC52:AD52"/>
    <mergeCell ref="AE52:AH52"/>
    <mergeCell ref="Z50:AA50"/>
    <mergeCell ref="AC50:AD50"/>
    <mergeCell ref="Z51:AA51"/>
    <mergeCell ref="AC51:AD51"/>
    <mergeCell ref="X48:Y48"/>
    <mergeCell ref="AC69:AD69"/>
    <mergeCell ref="AE69:AH69"/>
    <mergeCell ref="AC75:AD75"/>
    <mergeCell ref="AE75:AH75"/>
    <mergeCell ref="X44:Y44"/>
    <mergeCell ref="Z44:AA44"/>
    <mergeCell ref="AC44:AD44"/>
    <mergeCell ref="AE48:AH48"/>
    <mergeCell ref="X49:Y49"/>
    <mergeCell ref="Z49:AA49"/>
    <mergeCell ref="AC49:AD49"/>
    <mergeCell ref="AE49:AH49"/>
    <mergeCell ref="AC67:AD67"/>
    <mergeCell ref="Z48:AA48"/>
    <mergeCell ref="AC48:AD48"/>
    <mergeCell ref="Z58:AA58"/>
    <mergeCell ref="AC58:AD58"/>
    <mergeCell ref="AE58:AH58"/>
    <mergeCell ref="Z73:AA73"/>
    <mergeCell ref="AC73:AD73"/>
    <mergeCell ref="AC72:AD72"/>
    <mergeCell ref="AE72:AH72"/>
    <mergeCell ref="AE70:AH70"/>
    <mergeCell ref="Z71:AA71"/>
    <mergeCell ref="AC60:AD60"/>
    <mergeCell ref="O65:V65"/>
    <mergeCell ref="X65:Y65"/>
    <mergeCell ref="Z65:AA65"/>
    <mergeCell ref="AC65:AD65"/>
    <mergeCell ref="AC63:AD63"/>
    <mergeCell ref="X63:Y63"/>
    <mergeCell ref="Z63:AA63"/>
    <mergeCell ref="O60:V60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E40:AH41"/>
    <mergeCell ref="A32:B32"/>
    <mergeCell ref="A30:B30"/>
    <mergeCell ref="A26:B26"/>
    <mergeCell ref="A27:B27"/>
    <mergeCell ref="A28:B28"/>
    <mergeCell ref="A29:B29"/>
    <mergeCell ref="F98:N98"/>
    <mergeCell ref="O98:V98"/>
    <mergeCell ref="Z98:AA98"/>
    <mergeCell ref="O64:V64"/>
    <mergeCell ref="O63:V63"/>
    <mergeCell ref="O62:V62"/>
    <mergeCell ref="O61:V61"/>
    <mergeCell ref="A33:B33"/>
    <mergeCell ref="A34:B34"/>
    <mergeCell ref="A40:A41"/>
    <mergeCell ref="B40:B41"/>
    <mergeCell ref="F43:N43"/>
    <mergeCell ref="F42:N42"/>
    <mergeCell ref="X60:Y60"/>
    <mergeCell ref="Z60:AA60"/>
    <mergeCell ref="O47:V47"/>
    <mergeCell ref="O52:V52"/>
    <mergeCell ref="O49:V49"/>
    <mergeCell ref="AC98:AD98"/>
    <mergeCell ref="AE98:AH98"/>
    <mergeCell ref="F99:N99"/>
    <mergeCell ref="Z99:AA99"/>
    <mergeCell ref="AC99:AD99"/>
    <mergeCell ref="AE99:AH99"/>
    <mergeCell ref="O99:V99"/>
    <mergeCell ref="X98:Y98"/>
    <mergeCell ref="X99:Y99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724" workbookViewId="0">
      <selection activeCell="C735" sqref="C735"/>
    </sheetView>
  </sheetViews>
  <sheetFormatPr defaultRowHeight="17.399999999999999" x14ac:dyDescent="0.4"/>
  <cols>
    <col min="2" max="2" width="19" bestFit="1" customWidth="1"/>
  </cols>
  <sheetData>
    <row r="1" spans="1:3" x14ac:dyDescent="0.4">
      <c r="A1">
        <v>32</v>
      </c>
      <c r="B1" t="s">
        <v>1749</v>
      </c>
      <c r="C1" t="s">
        <v>2309</v>
      </c>
    </row>
    <row r="2" spans="1:3" x14ac:dyDescent="0.4">
      <c r="A2">
        <v>33</v>
      </c>
      <c r="B2" t="s">
        <v>1749</v>
      </c>
      <c r="C2" t="s">
        <v>2308</v>
      </c>
    </row>
    <row r="3" spans="1:3" x14ac:dyDescent="0.4">
      <c r="A3">
        <v>34</v>
      </c>
      <c r="B3" t="s">
        <v>1749</v>
      </c>
      <c r="C3" t="s">
        <v>2307</v>
      </c>
    </row>
    <row r="4" spans="1:3" x14ac:dyDescent="0.4">
      <c r="A4">
        <v>35</v>
      </c>
      <c r="B4" t="s">
        <v>1749</v>
      </c>
      <c r="C4" t="s">
        <v>2306</v>
      </c>
    </row>
    <row r="5" spans="1:3" x14ac:dyDescent="0.4">
      <c r="A5">
        <v>36</v>
      </c>
      <c r="B5" t="s">
        <v>1749</v>
      </c>
      <c r="C5" t="s">
        <v>2305</v>
      </c>
    </row>
    <row r="6" spans="1:3" x14ac:dyDescent="0.4">
      <c r="A6">
        <v>37</v>
      </c>
      <c r="B6" t="s">
        <v>1749</v>
      </c>
      <c r="C6" t="s">
        <v>2304</v>
      </c>
    </row>
    <row r="7" spans="1:3" x14ac:dyDescent="0.4">
      <c r="A7">
        <v>38</v>
      </c>
      <c r="B7" t="s">
        <v>1749</v>
      </c>
      <c r="C7" t="s">
        <v>2303</v>
      </c>
    </row>
    <row r="8" spans="1:3" x14ac:dyDescent="0.4">
      <c r="A8">
        <v>39</v>
      </c>
      <c r="B8" t="s">
        <v>1749</v>
      </c>
      <c r="C8" t="s">
        <v>2302</v>
      </c>
    </row>
    <row r="9" spans="1:3" x14ac:dyDescent="0.4">
      <c r="A9">
        <v>40</v>
      </c>
      <c r="B9" t="s">
        <v>1749</v>
      </c>
      <c r="C9" t="s">
        <v>2301</v>
      </c>
    </row>
    <row r="10" spans="1:3" x14ac:dyDescent="0.4">
      <c r="A10">
        <v>41</v>
      </c>
      <c r="B10" t="s">
        <v>1749</v>
      </c>
      <c r="C10" t="s">
        <v>2300</v>
      </c>
    </row>
    <row r="11" spans="1:3" x14ac:dyDescent="0.4">
      <c r="A11">
        <v>42</v>
      </c>
      <c r="B11" t="s">
        <v>1749</v>
      </c>
      <c r="C11" t="s">
        <v>2299</v>
      </c>
    </row>
    <row r="12" spans="1:3" x14ac:dyDescent="0.4">
      <c r="A12">
        <v>43</v>
      </c>
      <c r="B12" t="s">
        <v>1749</v>
      </c>
      <c r="C12" t="s">
        <v>2298</v>
      </c>
    </row>
    <row r="13" spans="1:3" x14ac:dyDescent="0.4">
      <c r="A13">
        <v>44</v>
      </c>
      <c r="B13" t="s">
        <v>1749</v>
      </c>
      <c r="C13" t="s">
        <v>2297</v>
      </c>
    </row>
    <row r="14" spans="1:3" x14ac:dyDescent="0.4">
      <c r="A14">
        <v>45</v>
      </c>
      <c r="B14" t="s">
        <v>1749</v>
      </c>
      <c r="C14" t="s">
        <v>2296</v>
      </c>
    </row>
    <row r="15" spans="1:3" x14ac:dyDescent="0.4">
      <c r="A15">
        <v>46</v>
      </c>
      <c r="B15" t="s">
        <v>1749</v>
      </c>
      <c r="C15" t="s">
        <v>2295</v>
      </c>
    </row>
    <row r="16" spans="1:3" x14ac:dyDescent="0.4">
      <c r="A16">
        <v>47</v>
      </c>
      <c r="B16" t="s">
        <v>1749</v>
      </c>
      <c r="C16" t="s">
        <v>2294</v>
      </c>
    </row>
    <row r="17" spans="1:3" x14ac:dyDescent="0.4">
      <c r="A17">
        <v>48</v>
      </c>
      <c r="B17" t="s">
        <v>1749</v>
      </c>
      <c r="C17" t="s">
        <v>2293</v>
      </c>
    </row>
    <row r="18" spans="1:3" x14ac:dyDescent="0.4">
      <c r="A18">
        <v>49</v>
      </c>
      <c r="B18" t="s">
        <v>1749</v>
      </c>
      <c r="C18" t="s">
        <v>2292</v>
      </c>
    </row>
    <row r="19" spans="1:3" x14ac:dyDescent="0.4">
      <c r="A19">
        <v>50</v>
      </c>
      <c r="B19" t="s">
        <v>1749</v>
      </c>
      <c r="C19" t="s">
        <v>2291</v>
      </c>
    </row>
    <row r="20" spans="1:3" x14ac:dyDescent="0.4">
      <c r="A20">
        <v>51</v>
      </c>
      <c r="B20" t="s">
        <v>1749</v>
      </c>
      <c r="C20" t="s">
        <v>2290</v>
      </c>
    </row>
    <row r="21" spans="1:3" x14ac:dyDescent="0.4">
      <c r="A21">
        <v>52</v>
      </c>
      <c r="B21" t="s">
        <v>1749</v>
      </c>
      <c r="C21" t="s">
        <v>2289</v>
      </c>
    </row>
    <row r="22" spans="1:3" x14ac:dyDescent="0.4">
      <c r="A22">
        <v>53</v>
      </c>
      <c r="B22" t="s">
        <v>1749</v>
      </c>
      <c r="C22" t="s">
        <v>2288</v>
      </c>
    </row>
    <row r="23" spans="1:3" x14ac:dyDescent="0.4">
      <c r="A23">
        <v>54</v>
      </c>
      <c r="B23" t="s">
        <v>1749</v>
      </c>
      <c r="C23" t="s">
        <v>2287</v>
      </c>
    </row>
    <row r="24" spans="1:3" x14ac:dyDescent="0.4">
      <c r="A24">
        <v>55</v>
      </c>
      <c r="B24" t="s">
        <v>1749</v>
      </c>
      <c r="C24" t="s">
        <v>2286</v>
      </c>
    </row>
    <row r="25" spans="1:3" x14ac:dyDescent="0.4">
      <c r="A25">
        <v>56</v>
      </c>
      <c r="B25" t="s">
        <v>1749</v>
      </c>
      <c r="C25" t="s">
        <v>2285</v>
      </c>
    </row>
    <row r="26" spans="1:3" x14ac:dyDescent="0.4">
      <c r="A26">
        <v>57</v>
      </c>
      <c r="B26" t="s">
        <v>1749</v>
      </c>
      <c r="C26" t="s">
        <v>2284</v>
      </c>
    </row>
    <row r="27" spans="1:3" x14ac:dyDescent="0.4">
      <c r="A27">
        <v>58</v>
      </c>
      <c r="B27" t="s">
        <v>1749</v>
      </c>
      <c r="C27" t="s">
        <v>2283</v>
      </c>
    </row>
    <row r="28" spans="1:3" x14ac:dyDescent="0.4">
      <c r="A28">
        <v>59</v>
      </c>
      <c r="B28" t="s">
        <v>1749</v>
      </c>
      <c r="C28" t="s">
        <v>2282</v>
      </c>
    </row>
    <row r="29" spans="1:3" x14ac:dyDescent="0.4">
      <c r="A29">
        <v>60</v>
      </c>
      <c r="B29" t="s">
        <v>1749</v>
      </c>
      <c r="C29" t="s">
        <v>2281</v>
      </c>
    </row>
    <row r="30" spans="1:3" x14ac:dyDescent="0.4">
      <c r="A30">
        <v>61</v>
      </c>
      <c r="B30" t="s">
        <v>1749</v>
      </c>
      <c r="C30" t="s">
        <v>2280</v>
      </c>
    </row>
    <row r="31" spans="1:3" x14ac:dyDescent="0.4">
      <c r="A31">
        <v>62</v>
      </c>
      <c r="B31" t="s">
        <v>1749</v>
      </c>
      <c r="C31" t="s">
        <v>2279</v>
      </c>
    </row>
    <row r="32" spans="1:3" x14ac:dyDescent="0.4">
      <c r="A32">
        <v>63</v>
      </c>
      <c r="B32" t="s">
        <v>1749</v>
      </c>
      <c r="C32" t="s">
        <v>2278</v>
      </c>
    </row>
    <row r="33" spans="1:3" x14ac:dyDescent="0.4">
      <c r="A33">
        <v>96</v>
      </c>
      <c r="B33" t="s">
        <v>1749</v>
      </c>
      <c r="C33" t="s">
        <v>2277</v>
      </c>
    </row>
    <row r="34" spans="1:3" x14ac:dyDescent="0.4">
      <c r="A34">
        <v>97</v>
      </c>
      <c r="B34" t="s">
        <v>1749</v>
      </c>
      <c r="C34" t="s">
        <v>2276</v>
      </c>
    </row>
    <row r="35" spans="1:3" x14ac:dyDescent="0.4">
      <c r="A35">
        <v>98</v>
      </c>
      <c r="B35" t="s">
        <v>1749</v>
      </c>
      <c r="C35" t="s">
        <v>2275</v>
      </c>
    </row>
    <row r="36" spans="1:3" x14ac:dyDescent="0.4">
      <c r="A36">
        <v>99</v>
      </c>
      <c r="B36" t="s">
        <v>1749</v>
      </c>
      <c r="C36" t="s">
        <v>2274</v>
      </c>
    </row>
    <row r="37" spans="1:3" x14ac:dyDescent="0.4">
      <c r="A37">
        <v>100</v>
      </c>
      <c r="B37" t="s">
        <v>1749</v>
      </c>
      <c r="C37" t="s">
        <v>2273</v>
      </c>
    </row>
    <row r="38" spans="1:3" x14ac:dyDescent="0.4">
      <c r="A38">
        <v>101</v>
      </c>
      <c r="B38" t="s">
        <v>1749</v>
      </c>
      <c r="C38" t="s">
        <v>2272</v>
      </c>
    </row>
    <row r="39" spans="1:3" x14ac:dyDescent="0.4">
      <c r="A39">
        <v>102</v>
      </c>
      <c r="B39" t="s">
        <v>1749</v>
      </c>
      <c r="C39" t="s">
        <v>2271</v>
      </c>
    </row>
    <row r="40" spans="1:3" x14ac:dyDescent="0.4">
      <c r="A40">
        <v>103</v>
      </c>
      <c r="B40" t="s">
        <v>1749</v>
      </c>
      <c r="C40" t="s">
        <v>2270</v>
      </c>
    </row>
    <row r="41" spans="1:3" x14ac:dyDescent="0.4">
      <c r="A41">
        <v>108</v>
      </c>
      <c r="B41" t="s">
        <v>1749</v>
      </c>
      <c r="C41" t="s">
        <v>2269</v>
      </c>
    </row>
    <row r="42" spans="1:3" x14ac:dyDescent="0.4">
      <c r="A42">
        <v>109</v>
      </c>
      <c r="B42" t="s">
        <v>1749</v>
      </c>
      <c r="C42" t="s">
        <v>2268</v>
      </c>
    </row>
    <row r="43" spans="1:3" x14ac:dyDescent="0.4">
      <c r="A43">
        <v>128</v>
      </c>
      <c r="B43" t="s">
        <v>1749</v>
      </c>
      <c r="C43" t="s">
        <v>2267</v>
      </c>
    </row>
    <row r="44" spans="1:3" x14ac:dyDescent="0.4">
      <c r="A44">
        <v>129</v>
      </c>
      <c r="B44" t="s">
        <v>1749</v>
      </c>
      <c r="C44" t="s">
        <v>2266</v>
      </c>
    </row>
    <row r="45" spans="1:3" x14ac:dyDescent="0.4">
      <c r="A45">
        <v>130</v>
      </c>
      <c r="B45" t="s">
        <v>1749</v>
      </c>
      <c r="C45" t="s">
        <v>2265</v>
      </c>
    </row>
    <row r="46" spans="1:3" x14ac:dyDescent="0.4">
      <c r="A46">
        <v>132</v>
      </c>
      <c r="B46" t="s">
        <v>1749</v>
      </c>
      <c r="C46" t="s">
        <v>2264</v>
      </c>
    </row>
    <row r="47" spans="1:3" x14ac:dyDescent="0.4">
      <c r="A47">
        <v>133</v>
      </c>
      <c r="B47" t="s">
        <v>1749</v>
      </c>
      <c r="C47" t="s">
        <v>2263</v>
      </c>
    </row>
    <row r="48" spans="1:3" x14ac:dyDescent="0.4">
      <c r="A48">
        <v>134</v>
      </c>
      <c r="B48" t="s">
        <v>1749</v>
      </c>
      <c r="C48" t="s">
        <v>2262</v>
      </c>
    </row>
    <row r="49" spans="1:3" x14ac:dyDescent="0.4">
      <c r="A49">
        <v>136</v>
      </c>
      <c r="B49" t="s">
        <v>1749</v>
      </c>
      <c r="C49" t="s">
        <v>2261</v>
      </c>
    </row>
    <row r="50" spans="1:3" x14ac:dyDescent="0.4">
      <c r="A50">
        <v>137</v>
      </c>
      <c r="B50" t="s">
        <v>1749</v>
      </c>
      <c r="C50" t="s">
        <v>2260</v>
      </c>
    </row>
    <row r="51" spans="1:3" x14ac:dyDescent="0.4">
      <c r="A51">
        <v>138</v>
      </c>
      <c r="B51" t="s">
        <v>1749</v>
      </c>
      <c r="C51" t="s">
        <v>2259</v>
      </c>
    </row>
    <row r="52" spans="1:3" x14ac:dyDescent="0.4">
      <c r="A52">
        <v>139</v>
      </c>
      <c r="B52" t="s">
        <v>1749</v>
      </c>
      <c r="C52" t="s">
        <v>2258</v>
      </c>
    </row>
    <row r="53" spans="1:3" x14ac:dyDescent="0.4">
      <c r="A53">
        <v>140</v>
      </c>
      <c r="B53" t="s">
        <v>1749</v>
      </c>
      <c r="C53" t="s">
        <v>2257</v>
      </c>
    </row>
    <row r="54" spans="1:3" x14ac:dyDescent="0.4">
      <c r="A54">
        <v>144</v>
      </c>
      <c r="B54" t="s">
        <v>1749</v>
      </c>
      <c r="C54" t="s">
        <v>2256</v>
      </c>
    </row>
    <row r="55" spans="1:3" x14ac:dyDescent="0.4">
      <c r="A55">
        <v>145</v>
      </c>
      <c r="B55" t="s">
        <v>1749</v>
      </c>
      <c r="C55" t="s">
        <v>2255</v>
      </c>
    </row>
    <row r="56" spans="1:3" x14ac:dyDescent="0.4">
      <c r="A56">
        <v>146</v>
      </c>
      <c r="B56" t="s">
        <v>1749</v>
      </c>
      <c r="C56" t="s">
        <v>2254</v>
      </c>
    </row>
    <row r="57" spans="1:3" x14ac:dyDescent="0.4">
      <c r="A57">
        <v>147</v>
      </c>
      <c r="B57" t="s">
        <v>1749</v>
      </c>
      <c r="C57" t="s">
        <v>2253</v>
      </c>
    </row>
    <row r="58" spans="1:3" x14ac:dyDescent="0.4">
      <c r="A58">
        <v>150</v>
      </c>
      <c r="B58" t="s">
        <v>1749</v>
      </c>
      <c r="C58" t="s">
        <v>2252</v>
      </c>
    </row>
    <row r="59" spans="1:3" x14ac:dyDescent="0.4">
      <c r="A59">
        <v>151</v>
      </c>
      <c r="B59" t="s">
        <v>1749</v>
      </c>
      <c r="C59" t="s">
        <v>2251</v>
      </c>
    </row>
    <row r="60" spans="1:3" x14ac:dyDescent="0.4">
      <c r="A60">
        <v>152</v>
      </c>
      <c r="B60" t="s">
        <v>1749</v>
      </c>
      <c r="C60" t="s">
        <v>2250</v>
      </c>
    </row>
    <row r="61" spans="1:3" x14ac:dyDescent="0.4">
      <c r="A61">
        <v>153</v>
      </c>
      <c r="B61" t="s">
        <v>1749</v>
      </c>
      <c r="C61" t="s">
        <v>2249</v>
      </c>
    </row>
    <row r="62" spans="1:3" x14ac:dyDescent="0.4">
      <c r="A62">
        <v>154</v>
      </c>
      <c r="B62" t="s">
        <v>1749</v>
      </c>
      <c r="C62" t="s">
        <v>2248</v>
      </c>
    </row>
    <row r="63" spans="1:3" x14ac:dyDescent="0.4">
      <c r="A63">
        <v>156</v>
      </c>
      <c r="B63" t="s">
        <v>1749</v>
      </c>
      <c r="C63" t="s">
        <v>2247</v>
      </c>
    </row>
    <row r="64" spans="1:3" x14ac:dyDescent="0.4">
      <c r="A64">
        <v>157</v>
      </c>
      <c r="B64" t="s">
        <v>1749</v>
      </c>
      <c r="C64" t="s">
        <v>2246</v>
      </c>
    </row>
    <row r="65" spans="1:3" x14ac:dyDescent="0.4">
      <c r="A65">
        <v>160</v>
      </c>
      <c r="B65" t="s">
        <v>1749</v>
      </c>
      <c r="C65" t="s">
        <v>2245</v>
      </c>
    </row>
    <row r="66" spans="1:3" x14ac:dyDescent="0.4">
      <c r="A66">
        <v>161</v>
      </c>
      <c r="B66" t="s">
        <v>1749</v>
      </c>
      <c r="C66" t="s">
        <v>2244</v>
      </c>
    </row>
    <row r="67" spans="1:3" x14ac:dyDescent="0.4">
      <c r="A67">
        <v>162</v>
      </c>
      <c r="B67" t="s">
        <v>1749</v>
      </c>
      <c r="C67" t="s">
        <v>2243</v>
      </c>
    </row>
    <row r="68" spans="1:3" x14ac:dyDescent="0.4">
      <c r="A68">
        <v>163</v>
      </c>
      <c r="B68" t="s">
        <v>1749</v>
      </c>
      <c r="C68" t="s">
        <v>2242</v>
      </c>
    </row>
    <row r="69" spans="1:3" x14ac:dyDescent="0.4">
      <c r="A69">
        <v>166</v>
      </c>
      <c r="B69" t="s">
        <v>1749</v>
      </c>
      <c r="C69" t="s">
        <v>2241</v>
      </c>
    </row>
    <row r="70" spans="1:3" x14ac:dyDescent="0.4">
      <c r="A70">
        <v>167</v>
      </c>
      <c r="B70" t="s">
        <v>1749</v>
      </c>
      <c r="C70" t="s">
        <v>2240</v>
      </c>
    </row>
    <row r="71" spans="1:3" x14ac:dyDescent="0.4">
      <c r="A71">
        <v>168</v>
      </c>
      <c r="B71" t="s">
        <v>1749</v>
      </c>
      <c r="C71" t="s">
        <v>2239</v>
      </c>
    </row>
    <row r="72" spans="1:3" x14ac:dyDescent="0.4">
      <c r="A72">
        <v>169</v>
      </c>
      <c r="B72" t="s">
        <v>1749</v>
      </c>
      <c r="C72" t="s">
        <v>2238</v>
      </c>
    </row>
    <row r="73" spans="1:3" x14ac:dyDescent="0.4">
      <c r="A73">
        <v>170</v>
      </c>
      <c r="B73" t="s">
        <v>1749</v>
      </c>
      <c r="C73" t="s">
        <v>2237</v>
      </c>
    </row>
    <row r="74" spans="1:3" x14ac:dyDescent="0.4">
      <c r="A74">
        <v>171</v>
      </c>
      <c r="B74" t="s">
        <v>1749</v>
      </c>
      <c r="C74" t="s">
        <v>2236</v>
      </c>
    </row>
    <row r="75" spans="1:3" x14ac:dyDescent="0.4">
      <c r="A75">
        <v>172</v>
      </c>
      <c r="B75" t="s">
        <v>1749</v>
      </c>
      <c r="C75" t="s">
        <v>2235</v>
      </c>
    </row>
    <row r="76" spans="1:3" x14ac:dyDescent="0.4">
      <c r="A76">
        <v>173</v>
      </c>
      <c r="B76" t="s">
        <v>1749</v>
      </c>
      <c r="C76" t="s">
        <v>2234</v>
      </c>
    </row>
    <row r="77" spans="1:3" x14ac:dyDescent="0.4">
      <c r="A77">
        <v>174</v>
      </c>
      <c r="B77" t="s">
        <v>1749</v>
      </c>
      <c r="C77" t="s">
        <v>2233</v>
      </c>
    </row>
    <row r="78" spans="1:3" x14ac:dyDescent="0.4">
      <c r="A78">
        <v>175</v>
      </c>
      <c r="B78" t="s">
        <v>1749</v>
      </c>
      <c r="C78" t="s">
        <v>2232</v>
      </c>
    </row>
    <row r="79" spans="1:3" x14ac:dyDescent="0.4">
      <c r="A79">
        <v>176</v>
      </c>
      <c r="B79" t="s">
        <v>1749</v>
      </c>
      <c r="C79" t="s">
        <v>2231</v>
      </c>
    </row>
    <row r="80" spans="1:3" x14ac:dyDescent="0.4">
      <c r="A80">
        <v>177</v>
      </c>
      <c r="B80" t="s">
        <v>1749</v>
      </c>
      <c r="C80" t="s">
        <v>2230</v>
      </c>
    </row>
    <row r="81" spans="1:3" x14ac:dyDescent="0.4">
      <c r="A81">
        <v>178</v>
      </c>
      <c r="B81" t="s">
        <v>1749</v>
      </c>
      <c r="C81" t="s">
        <v>2229</v>
      </c>
    </row>
    <row r="82" spans="1:3" x14ac:dyDescent="0.4">
      <c r="A82">
        <v>180</v>
      </c>
      <c r="B82" t="s">
        <v>1749</v>
      </c>
      <c r="C82" t="s">
        <v>2228</v>
      </c>
    </row>
    <row r="83" spans="1:3" x14ac:dyDescent="0.4">
      <c r="A83">
        <v>181</v>
      </c>
      <c r="B83" t="s">
        <v>1749</v>
      </c>
      <c r="C83" t="s">
        <v>2227</v>
      </c>
    </row>
    <row r="84" spans="1:3" x14ac:dyDescent="0.4">
      <c r="A84">
        <v>182</v>
      </c>
      <c r="B84" t="s">
        <v>1749</v>
      </c>
      <c r="C84" t="s">
        <v>2226</v>
      </c>
    </row>
    <row r="85" spans="1:3" x14ac:dyDescent="0.4">
      <c r="A85">
        <v>184</v>
      </c>
      <c r="B85" t="s">
        <v>1749</v>
      </c>
      <c r="C85" t="s">
        <v>2225</v>
      </c>
    </row>
    <row r="86" spans="1:3" x14ac:dyDescent="0.4">
      <c r="A86">
        <v>185</v>
      </c>
      <c r="B86" t="s">
        <v>1749</v>
      </c>
      <c r="C86" t="s">
        <v>2224</v>
      </c>
    </row>
    <row r="87" spans="1:3" x14ac:dyDescent="0.4">
      <c r="A87">
        <v>186</v>
      </c>
      <c r="B87" t="s">
        <v>1749</v>
      </c>
      <c r="C87" t="s">
        <v>2223</v>
      </c>
    </row>
    <row r="88" spans="1:3" x14ac:dyDescent="0.4">
      <c r="A88">
        <v>187</v>
      </c>
      <c r="B88" t="s">
        <v>1749</v>
      </c>
      <c r="C88" t="s">
        <v>2222</v>
      </c>
    </row>
    <row r="89" spans="1:3" x14ac:dyDescent="0.4">
      <c r="A89">
        <v>188</v>
      </c>
      <c r="B89" t="s">
        <v>1749</v>
      </c>
      <c r="C89" t="s">
        <v>2221</v>
      </c>
    </row>
    <row r="90" spans="1:3" x14ac:dyDescent="0.4">
      <c r="A90">
        <v>192</v>
      </c>
      <c r="B90" t="s">
        <v>1749</v>
      </c>
      <c r="C90" t="s">
        <v>2220</v>
      </c>
    </row>
    <row r="91" spans="1:3" x14ac:dyDescent="0.4">
      <c r="A91">
        <v>193</v>
      </c>
      <c r="B91" t="s">
        <v>1749</v>
      </c>
      <c r="C91" t="s">
        <v>2219</v>
      </c>
    </row>
    <row r="92" spans="1:3" x14ac:dyDescent="0.4">
      <c r="A92">
        <v>194</v>
      </c>
      <c r="B92" t="s">
        <v>1749</v>
      </c>
      <c r="C92" t="s">
        <v>2218</v>
      </c>
    </row>
    <row r="93" spans="1:3" x14ac:dyDescent="0.4">
      <c r="A93">
        <v>195</v>
      </c>
      <c r="B93" t="s">
        <v>1749</v>
      </c>
      <c r="C93" t="s">
        <v>2217</v>
      </c>
    </row>
    <row r="94" spans="1:3" x14ac:dyDescent="0.4">
      <c r="A94">
        <v>198</v>
      </c>
      <c r="B94" t="s">
        <v>1749</v>
      </c>
      <c r="C94" t="s">
        <v>2216</v>
      </c>
    </row>
    <row r="95" spans="1:3" x14ac:dyDescent="0.4">
      <c r="A95">
        <v>199</v>
      </c>
      <c r="B95" t="s">
        <v>1749</v>
      </c>
      <c r="C95" t="s">
        <v>2215</v>
      </c>
    </row>
    <row r="96" spans="1:3" x14ac:dyDescent="0.4">
      <c r="A96">
        <v>200</v>
      </c>
      <c r="B96" t="s">
        <v>1749</v>
      </c>
      <c r="C96" t="s">
        <v>2214</v>
      </c>
    </row>
    <row r="97" spans="1:3" x14ac:dyDescent="0.4">
      <c r="A97">
        <v>201</v>
      </c>
      <c r="B97" t="s">
        <v>1749</v>
      </c>
      <c r="C97" t="s">
        <v>2213</v>
      </c>
    </row>
    <row r="98" spans="1:3" x14ac:dyDescent="0.4">
      <c r="A98">
        <v>202</v>
      </c>
      <c r="B98" t="s">
        <v>1749</v>
      </c>
      <c r="C98" t="s">
        <v>2212</v>
      </c>
    </row>
    <row r="99" spans="1:3" x14ac:dyDescent="0.4">
      <c r="A99">
        <v>204</v>
      </c>
      <c r="B99" t="s">
        <v>1749</v>
      </c>
      <c r="C99" t="s">
        <v>2211</v>
      </c>
    </row>
    <row r="100" spans="1:3" x14ac:dyDescent="0.4">
      <c r="A100">
        <v>205</v>
      </c>
      <c r="B100" t="s">
        <v>1749</v>
      </c>
      <c r="C100" t="s">
        <v>2210</v>
      </c>
    </row>
    <row r="101" spans="1:3" x14ac:dyDescent="0.4">
      <c r="A101">
        <v>208</v>
      </c>
      <c r="B101" t="s">
        <v>1749</v>
      </c>
      <c r="C101" t="s">
        <v>2209</v>
      </c>
    </row>
    <row r="102" spans="1:3" x14ac:dyDescent="0.4">
      <c r="A102">
        <v>209</v>
      </c>
      <c r="B102" t="s">
        <v>1749</v>
      </c>
      <c r="C102" t="s">
        <v>2208</v>
      </c>
    </row>
    <row r="103" spans="1:3" x14ac:dyDescent="0.4">
      <c r="A103">
        <v>210</v>
      </c>
      <c r="B103" t="s">
        <v>1749</v>
      </c>
      <c r="C103" t="s">
        <v>2207</v>
      </c>
    </row>
    <row r="104" spans="1:3" x14ac:dyDescent="0.4">
      <c r="A104">
        <v>211</v>
      </c>
      <c r="B104" t="s">
        <v>1749</v>
      </c>
      <c r="C104" t="s">
        <v>2206</v>
      </c>
    </row>
    <row r="105" spans="1:3" x14ac:dyDescent="0.4">
      <c r="A105">
        <v>213</v>
      </c>
      <c r="B105" t="s">
        <v>1749</v>
      </c>
      <c r="C105" t="s">
        <v>2205</v>
      </c>
    </row>
    <row r="106" spans="1:3" x14ac:dyDescent="0.4">
      <c r="A106">
        <v>214</v>
      </c>
      <c r="B106" t="s">
        <v>1749</v>
      </c>
      <c r="C106" t="s">
        <v>2204</v>
      </c>
    </row>
    <row r="107" spans="1:3" x14ac:dyDescent="0.4">
      <c r="A107">
        <v>215</v>
      </c>
      <c r="B107" t="s">
        <v>1749</v>
      </c>
      <c r="C107" t="s">
        <v>2203</v>
      </c>
    </row>
    <row r="108" spans="1:3" x14ac:dyDescent="0.4">
      <c r="A108">
        <v>216</v>
      </c>
      <c r="B108" t="s">
        <v>1749</v>
      </c>
      <c r="C108" t="s">
        <v>2202</v>
      </c>
    </row>
    <row r="109" spans="1:3" x14ac:dyDescent="0.4">
      <c r="A109">
        <v>217</v>
      </c>
      <c r="B109" t="s">
        <v>1749</v>
      </c>
      <c r="C109" t="s">
        <v>2201</v>
      </c>
    </row>
    <row r="110" spans="1:3" x14ac:dyDescent="0.4">
      <c r="A110">
        <v>218</v>
      </c>
      <c r="B110" t="s">
        <v>1749</v>
      </c>
      <c r="C110" t="s">
        <v>2200</v>
      </c>
    </row>
    <row r="111" spans="1:3" x14ac:dyDescent="0.4">
      <c r="A111">
        <v>219</v>
      </c>
      <c r="B111" t="s">
        <v>1749</v>
      </c>
      <c r="C111" t="s">
        <v>2199</v>
      </c>
    </row>
    <row r="112" spans="1:3" x14ac:dyDescent="0.4">
      <c r="A112">
        <v>220</v>
      </c>
      <c r="B112" t="s">
        <v>1749</v>
      </c>
      <c r="C112" t="s">
        <v>2198</v>
      </c>
    </row>
    <row r="113" spans="1:3" x14ac:dyDescent="0.4">
      <c r="A113">
        <v>221</v>
      </c>
      <c r="B113" t="s">
        <v>1749</v>
      </c>
      <c r="C113" t="s">
        <v>2197</v>
      </c>
    </row>
    <row r="114" spans="1:3" x14ac:dyDescent="0.4">
      <c r="A114">
        <v>222</v>
      </c>
      <c r="B114" t="s">
        <v>1749</v>
      </c>
      <c r="C114" t="s">
        <v>2196</v>
      </c>
    </row>
    <row r="115" spans="1:3" x14ac:dyDescent="0.4">
      <c r="A115">
        <v>223</v>
      </c>
      <c r="B115" t="s">
        <v>1749</v>
      </c>
      <c r="C115" t="s">
        <v>2195</v>
      </c>
    </row>
    <row r="116" spans="1:3" x14ac:dyDescent="0.4">
      <c r="A116">
        <v>224</v>
      </c>
      <c r="B116" t="s">
        <v>1749</v>
      </c>
      <c r="C116" t="s">
        <v>2194</v>
      </c>
    </row>
    <row r="117" spans="1:3" x14ac:dyDescent="0.4">
      <c r="A117">
        <v>225</v>
      </c>
      <c r="B117" t="s">
        <v>1749</v>
      </c>
      <c r="C117" t="s">
        <v>2193</v>
      </c>
    </row>
    <row r="118" spans="1:3" x14ac:dyDescent="0.4">
      <c r="A118">
        <v>226</v>
      </c>
      <c r="B118" t="s">
        <v>1749</v>
      </c>
      <c r="C118" t="s">
        <v>2192</v>
      </c>
    </row>
    <row r="119" spans="1:3" x14ac:dyDescent="0.4">
      <c r="A119">
        <v>228</v>
      </c>
      <c r="B119" t="s">
        <v>1749</v>
      </c>
      <c r="C119" t="s">
        <v>2191</v>
      </c>
    </row>
    <row r="120" spans="1:3" x14ac:dyDescent="0.4">
      <c r="A120">
        <v>229</v>
      </c>
      <c r="B120" t="s">
        <v>1749</v>
      </c>
      <c r="C120" t="s">
        <v>2190</v>
      </c>
    </row>
    <row r="121" spans="1:3" x14ac:dyDescent="0.4">
      <c r="A121">
        <v>230</v>
      </c>
      <c r="B121" t="s">
        <v>1749</v>
      </c>
      <c r="C121" t="s">
        <v>2189</v>
      </c>
    </row>
    <row r="122" spans="1:3" x14ac:dyDescent="0.4">
      <c r="A122">
        <v>232</v>
      </c>
      <c r="B122" t="s">
        <v>1749</v>
      </c>
      <c r="C122" t="s">
        <v>2188</v>
      </c>
    </row>
    <row r="123" spans="1:3" x14ac:dyDescent="0.4">
      <c r="A123">
        <v>233</v>
      </c>
      <c r="B123" t="s">
        <v>1749</v>
      </c>
      <c r="C123" t="s">
        <v>2187</v>
      </c>
    </row>
    <row r="124" spans="1:3" x14ac:dyDescent="0.4">
      <c r="A124">
        <v>235</v>
      </c>
      <c r="B124" t="s">
        <v>1749</v>
      </c>
      <c r="C124" t="s">
        <v>2186</v>
      </c>
    </row>
    <row r="125" spans="1:3" x14ac:dyDescent="0.4">
      <c r="A125">
        <v>236</v>
      </c>
      <c r="B125" t="s">
        <v>1749</v>
      </c>
      <c r="C125" t="s">
        <v>2185</v>
      </c>
    </row>
    <row r="126" spans="1:3" x14ac:dyDescent="0.4">
      <c r="A126">
        <v>237</v>
      </c>
      <c r="B126" t="s">
        <v>1749</v>
      </c>
      <c r="C126" t="s">
        <v>2184</v>
      </c>
    </row>
    <row r="127" spans="1:3" x14ac:dyDescent="0.4">
      <c r="A127">
        <v>238</v>
      </c>
      <c r="B127" t="s">
        <v>1749</v>
      </c>
      <c r="C127" t="s">
        <v>2183</v>
      </c>
    </row>
    <row r="128" spans="1:3" x14ac:dyDescent="0.4">
      <c r="A128">
        <v>239</v>
      </c>
      <c r="B128" t="s">
        <v>1749</v>
      </c>
      <c r="C128" t="s">
        <v>2182</v>
      </c>
    </row>
    <row r="129" spans="1:3" x14ac:dyDescent="0.4">
      <c r="A129">
        <v>240</v>
      </c>
      <c r="B129" t="s">
        <v>1749</v>
      </c>
      <c r="C129" t="s">
        <v>2181</v>
      </c>
    </row>
    <row r="130" spans="1:3" x14ac:dyDescent="0.4">
      <c r="A130">
        <v>241</v>
      </c>
      <c r="B130" t="s">
        <v>1749</v>
      </c>
      <c r="C130" t="s">
        <v>2180</v>
      </c>
    </row>
    <row r="131" spans="1:3" x14ac:dyDescent="0.4">
      <c r="A131">
        <v>242</v>
      </c>
      <c r="B131" t="s">
        <v>1749</v>
      </c>
      <c r="C131" t="s">
        <v>2179</v>
      </c>
    </row>
    <row r="132" spans="1:3" x14ac:dyDescent="0.4">
      <c r="A132">
        <v>243</v>
      </c>
      <c r="B132" t="s">
        <v>1749</v>
      </c>
      <c r="C132" t="s">
        <v>2178</v>
      </c>
    </row>
    <row r="133" spans="1:3" x14ac:dyDescent="0.4">
      <c r="A133">
        <v>248</v>
      </c>
      <c r="B133" t="s">
        <v>1749</v>
      </c>
      <c r="C133" t="s">
        <v>2177</v>
      </c>
    </row>
    <row r="134" spans="1:3" x14ac:dyDescent="0.4">
      <c r="A134">
        <v>249</v>
      </c>
      <c r="B134" t="s">
        <v>1749</v>
      </c>
      <c r="C134" t="s">
        <v>2176</v>
      </c>
    </row>
    <row r="135" spans="1:3" x14ac:dyDescent="0.4">
      <c r="A135">
        <v>251</v>
      </c>
      <c r="B135" t="s">
        <v>1749</v>
      </c>
      <c r="C135" t="s">
        <v>2175</v>
      </c>
    </row>
    <row r="136" spans="1:3" x14ac:dyDescent="0.4">
      <c r="A136">
        <v>252</v>
      </c>
      <c r="B136" t="s">
        <v>1749</v>
      </c>
      <c r="C136" t="s">
        <v>2174</v>
      </c>
    </row>
    <row r="137" spans="1:3" x14ac:dyDescent="0.4">
      <c r="A137">
        <v>253</v>
      </c>
      <c r="B137" t="s">
        <v>1749</v>
      </c>
      <c r="C137" t="s">
        <v>2173</v>
      </c>
    </row>
    <row r="138" spans="1:3" x14ac:dyDescent="0.4">
      <c r="A138">
        <v>254</v>
      </c>
      <c r="B138" t="s">
        <v>1749</v>
      </c>
      <c r="C138" t="s">
        <v>2172</v>
      </c>
    </row>
    <row r="139" spans="1:3" x14ac:dyDescent="0.4">
      <c r="A139">
        <v>255</v>
      </c>
      <c r="B139" t="s">
        <v>1749</v>
      </c>
      <c r="C139" t="s">
        <v>2171</v>
      </c>
    </row>
    <row r="140" spans="1:3" x14ac:dyDescent="0.4">
      <c r="A140">
        <v>256</v>
      </c>
      <c r="B140" t="s">
        <v>1749</v>
      </c>
      <c r="C140" t="s">
        <v>2170</v>
      </c>
    </row>
    <row r="141" spans="1:3" x14ac:dyDescent="0.4">
      <c r="A141">
        <v>257</v>
      </c>
      <c r="B141" t="s">
        <v>1749</v>
      </c>
      <c r="C141" t="s">
        <v>2169</v>
      </c>
    </row>
    <row r="142" spans="1:3" x14ac:dyDescent="0.4">
      <c r="A142">
        <v>258</v>
      </c>
      <c r="B142" t="s">
        <v>1749</v>
      </c>
      <c r="C142" t="s">
        <v>2168</v>
      </c>
    </row>
    <row r="143" spans="1:3" x14ac:dyDescent="0.4">
      <c r="A143">
        <v>259</v>
      </c>
      <c r="B143" t="s">
        <v>1749</v>
      </c>
      <c r="C143" t="s">
        <v>2167</v>
      </c>
    </row>
    <row r="144" spans="1:3" x14ac:dyDescent="0.4">
      <c r="A144">
        <v>260</v>
      </c>
      <c r="B144" t="s">
        <v>1749</v>
      </c>
      <c r="C144" t="s">
        <v>2166</v>
      </c>
    </row>
    <row r="145" spans="1:3" x14ac:dyDescent="0.4">
      <c r="A145">
        <v>261</v>
      </c>
      <c r="B145" t="s">
        <v>1749</v>
      </c>
      <c r="C145" t="s">
        <v>2165</v>
      </c>
    </row>
    <row r="146" spans="1:3" x14ac:dyDescent="0.4">
      <c r="A146">
        <v>262</v>
      </c>
      <c r="B146" t="s">
        <v>1749</v>
      </c>
      <c r="C146" t="s">
        <v>2164</v>
      </c>
    </row>
    <row r="147" spans="1:3" x14ac:dyDescent="0.4">
      <c r="A147">
        <v>263</v>
      </c>
      <c r="B147" t="s">
        <v>1749</v>
      </c>
      <c r="C147" t="s">
        <v>2163</v>
      </c>
    </row>
    <row r="148" spans="1:3" x14ac:dyDescent="0.4">
      <c r="A148">
        <v>264</v>
      </c>
      <c r="B148" t="s">
        <v>1749</v>
      </c>
      <c r="C148" t="s">
        <v>2162</v>
      </c>
    </row>
    <row r="149" spans="1:3" x14ac:dyDescent="0.4">
      <c r="A149">
        <v>265</v>
      </c>
      <c r="B149" t="s">
        <v>1749</v>
      </c>
      <c r="C149" t="s">
        <v>2161</v>
      </c>
    </row>
    <row r="150" spans="1:3" x14ac:dyDescent="0.4">
      <c r="A150">
        <v>267</v>
      </c>
      <c r="B150" t="s">
        <v>1749</v>
      </c>
      <c r="C150" t="s">
        <v>2160</v>
      </c>
    </row>
    <row r="151" spans="1:3" x14ac:dyDescent="0.4">
      <c r="A151">
        <v>268</v>
      </c>
      <c r="B151" t="s">
        <v>1749</v>
      </c>
      <c r="C151" t="s">
        <v>2159</v>
      </c>
    </row>
    <row r="152" spans="1:3" x14ac:dyDescent="0.4">
      <c r="A152">
        <v>269</v>
      </c>
      <c r="B152" t="s">
        <v>1749</v>
      </c>
      <c r="C152" t="s">
        <v>2158</v>
      </c>
    </row>
    <row r="153" spans="1:3" x14ac:dyDescent="0.4">
      <c r="A153">
        <v>270</v>
      </c>
      <c r="B153" t="s">
        <v>1749</v>
      </c>
      <c r="C153" t="s">
        <v>2157</v>
      </c>
    </row>
    <row r="154" spans="1:3" x14ac:dyDescent="0.4">
      <c r="A154">
        <v>272</v>
      </c>
      <c r="B154" t="s">
        <v>1749</v>
      </c>
      <c r="C154" t="s">
        <v>2156</v>
      </c>
    </row>
    <row r="155" spans="1:3" x14ac:dyDescent="0.4">
      <c r="A155">
        <v>273</v>
      </c>
      <c r="B155" t="s">
        <v>1749</v>
      </c>
      <c r="C155" t="s">
        <v>2155</v>
      </c>
    </row>
    <row r="156" spans="1:3" x14ac:dyDescent="0.4">
      <c r="A156">
        <v>275</v>
      </c>
      <c r="B156" t="s">
        <v>1749</v>
      </c>
      <c r="C156" t="s">
        <v>2154</v>
      </c>
    </row>
    <row r="157" spans="1:3" x14ac:dyDescent="0.4">
      <c r="A157">
        <v>276</v>
      </c>
      <c r="B157" t="s">
        <v>1749</v>
      </c>
      <c r="C157" t="s">
        <v>2153</v>
      </c>
    </row>
    <row r="158" spans="1:3" x14ac:dyDescent="0.4">
      <c r="A158">
        <v>277</v>
      </c>
      <c r="B158" t="s">
        <v>1749</v>
      </c>
      <c r="C158" t="s">
        <v>2152</v>
      </c>
    </row>
    <row r="159" spans="1:3" x14ac:dyDescent="0.4">
      <c r="A159">
        <v>278</v>
      </c>
      <c r="B159" t="s">
        <v>1749</v>
      </c>
      <c r="C159" t="s">
        <v>2151</v>
      </c>
    </row>
    <row r="160" spans="1:3" x14ac:dyDescent="0.4">
      <c r="A160">
        <v>279</v>
      </c>
      <c r="B160" t="s">
        <v>1749</v>
      </c>
      <c r="C160" t="s">
        <v>2150</v>
      </c>
    </row>
    <row r="161" spans="1:3" x14ac:dyDescent="0.4">
      <c r="A161">
        <v>280</v>
      </c>
      <c r="B161" t="s">
        <v>1749</v>
      </c>
      <c r="C161" t="s">
        <v>2149</v>
      </c>
    </row>
    <row r="162" spans="1:3" x14ac:dyDescent="0.4">
      <c r="A162">
        <v>281</v>
      </c>
      <c r="B162" t="s">
        <v>1749</v>
      </c>
      <c r="C162" t="s">
        <v>2148</v>
      </c>
    </row>
    <row r="163" spans="1:3" x14ac:dyDescent="0.4">
      <c r="A163">
        <v>283</v>
      </c>
      <c r="B163" t="s">
        <v>1749</v>
      </c>
      <c r="C163" t="s">
        <v>2147</v>
      </c>
    </row>
    <row r="164" spans="1:3" x14ac:dyDescent="0.4">
      <c r="A164">
        <v>284</v>
      </c>
      <c r="B164" t="s">
        <v>1749</v>
      </c>
      <c r="C164" t="s">
        <v>2146</v>
      </c>
    </row>
    <row r="165" spans="1:3" x14ac:dyDescent="0.4">
      <c r="A165">
        <v>285</v>
      </c>
      <c r="B165" t="s">
        <v>1749</v>
      </c>
      <c r="C165" t="s">
        <v>2145</v>
      </c>
    </row>
    <row r="166" spans="1:3" x14ac:dyDescent="0.4">
      <c r="A166">
        <v>288</v>
      </c>
      <c r="B166" t="s">
        <v>1749</v>
      </c>
      <c r="C166" t="s">
        <v>2144</v>
      </c>
    </row>
    <row r="167" spans="1:3" x14ac:dyDescent="0.4">
      <c r="A167">
        <v>291</v>
      </c>
      <c r="B167" t="s">
        <v>1749</v>
      </c>
      <c r="C167" t="s">
        <v>2143</v>
      </c>
    </row>
    <row r="168" spans="1:3" x14ac:dyDescent="0.4">
      <c r="A168">
        <v>292</v>
      </c>
      <c r="B168" t="s">
        <v>1749</v>
      </c>
      <c r="C168" t="s">
        <v>2142</v>
      </c>
    </row>
    <row r="169" spans="1:3" x14ac:dyDescent="0.4">
      <c r="A169">
        <v>293</v>
      </c>
      <c r="B169" t="s">
        <v>1749</v>
      </c>
      <c r="C169" t="s">
        <v>2141</v>
      </c>
    </row>
    <row r="170" spans="1:3" x14ac:dyDescent="0.4">
      <c r="A170">
        <v>295</v>
      </c>
      <c r="B170" t="s">
        <v>1749</v>
      </c>
      <c r="C170" t="s">
        <v>2140</v>
      </c>
    </row>
    <row r="171" spans="1:3" x14ac:dyDescent="0.4">
      <c r="A171">
        <v>296</v>
      </c>
      <c r="B171" t="s">
        <v>1749</v>
      </c>
      <c r="C171" t="s">
        <v>2139</v>
      </c>
    </row>
    <row r="172" spans="1:3" x14ac:dyDescent="0.4">
      <c r="A172">
        <v>297</v>
      </c>
      <c r="B172" t="s">
        <v>1749</v>
      </c>
      <c r="C172" t="s">
        <v>2138</v>
      </c>
    </row>
    <row r="173" spans="1:3" x14ac:dyDescent="0.4">
      <c r="A173">
        <v>299</v>
      </c>
      <c r="B173" t="s">
        <v>1749</v>
      </c>
      <c r="C173" t="s">
        <v>2137</v>
      </c>
    </row>
    <row r="174" spans="1:3" x14ac:dyDescent="0.4">
      <c r="A174">
        <v>300</v>
      </c>
      <c r="B174" t="s">
        <v>1749</v>
      </c>
      <c r="C174" t="s">
        <v>2136</v>
      </c>
    </row>
    <row r="175" spans="1:3" x14ac:dyDescent="0.4">
      <c r="A175">
        <v>301</v>
      </c>
      <c r="B175" t="s">
        <v>1749</v>
      </c>
      <c r="C175" t="s">
        <v>2135</v>
      </c>
    </row>
    <row r="176" spans="1:3" x14ac:dyDescent="0.4">
      <c r="A176">
        <v>302</v>
      </c>
      <c r="B176" t="s">
        <v>1749</v>
      </c>
      <c r="C176" t="s">
        <v>2134</v>
      </c>
    </row>
    <row r="177" spans="1:3" x14ac:dyDescent="0.4">
      <c r="A177">
        <v>303</v>
      </c>
      <c r="B177" t="s">
        <v>1749</v>
      </c>
      <c r="C177" t="s">
        <v>2133</v>
      </c>
    </row>
    <row r="178" spans="1:3" x14ac:dyDescent="0.4">
      <c r="A178">
        <v>304</v>
      </c>
      <c r="B178" t="s">
        <v>1749</v>
      </c>
      <c r="C178" t="s">
        <v>2132</v>
      </c>
    </row>
    <row r="179" spans="1:3" x14ac:dyDescent="0.4">
      <c r="A179">
        <v>305</v>
      </c>
      <c r="B179" t="s">
        <v>1749</v>
      </c>
      <c r="C179" t="s">
        <v>2131</v>
      </c>
    </row>
    <row r="180" spans="1:3" x14ac:dyDescent="0.4">
      <c r="A180">
        <v>306</v>
      </c>
      <c r="B180" t="s">
        <v>1749</v>
      </c>
      <c r="C180" t="s">
        <v>2130</v>
      </c>
    </row>
    <row r="181" spans="1:3" x14ac:dyDescent="0.4">
      <c r="A181">
        <v>307</v>
      </c>
      <c r="B181" t="s">
        <v>1749</v>
      </c>
      <c r="C181" t="s">
        <v>2129</v>
      </c>
    </row>
    <row r="182" spans="1:3" x14ac:dyDescent="0.4">
      <c r="A182">
        <v>308</v>
      </c>
      <c r="B182" t="s">
        <v>1749</v>
      </c>
      <c r="C182" t="s">
        <v>2128</v>
      </c>
    </row>
    <row r="183" spans="1:3" x14ac:dyDescent="0.4">
      <c r="A183">
        <v>309</v>
      </c>
      <c r="B183" t="s">
        <v>1749</v>
      </c>
      <c r="C183" t="s">
        <v>2127</v>
      </c>
    </row>
    <row r="184" spans="1:3" x14ac:dyDescent="0.4">
      <c r="A184">
        <v>312</v>
      </c>
      <c r="B184" t="s">
        <v>1749</v>
      </c>
      <c r="C184" t="s">
        <v>2126</v>
      </c>
    </row>
    <row r="185" spans="1:3" x14ac:dyDescent="0.4">
      <c r="A185">
        <v>313</v>
      </c>
      <c r="B185" t="s">
        <v>1749</v>
      </c>
      <c r="C185" t="s">
        <v>2125</v>
      </c>
    </row>
    <row r="186" spans="1:3" x14ac:dyDescent="0.4">
      <c r="A186">
        <v>316</v>
      </c>
      <c r="B186" t="s">
        <v>1749</v>
      </c>
      <c r="C186" t="s">
        <v>2124</v>
      </c>
    </row>
    <row r="187" spans="1:3" x14ac:dyDescent="0.4">
      <c r="A187">
        <v>317</v>
      </c>
      <c r="B187" t="s">
        <v>1749</v>
      </c>
      <c r="C187" t="s">
        <v>2123</v>
      </c>
    </row>
    <row r="188" spans="1:3" x14ac:dyDescent="0.4">
      <c r="A188">
        <v>320</v>
      </c>
      <c r="B188" t="s">
        <v>1749</v>
      </c>
      <c r="C188" t="s">
        <v>2122</v>
      </c>
    </row>
    <row r="189" spans="1:3" x14ac:dyDescent="0.4">
      <c r="A189">
        <v>321</v>
      </c>
      <c r="B189" t="s">
        <v>1749</v>
      </c>
      <c r="C189" t="s">
        <v>2121</v>
      </c>
    </row>
    <row r="190" spans="1:3" x14ac:dyDescent="0.4">
      <c r="A190">
        <v>322</v>
      </c>
      <c r="B190" t="s">
        <v>1749</v>
      </c>
      <c r="C190" t="s">
        <v>2120</v>
      </c>
    </row>
    <row r="191" spans="1:3" x14ac:dyDescent="0.4">
      <c r="A191">
        <v>323</v>
      </c>
      <c r="B191" t="s">
        <v>1749</v>
      </c>
      <c r="C191" t="s">
        <v>2119</v>
      </c>
    </row>
    <row r="192" spans="1:3" x14ac:dyDescent="0.4">
      <c r="A192">
        <v>324</v>
      </c>
      <c r="B192" t="s">
        <v>1749</v>
      </c>
      <c r="C192" t="s">
        <v>2118</v>
      </c>
    </row>
    <row r="193" spans="1:3" x14ac:dyDescent="0.4">
      <c r="A193">
        <v>325</v>
      </c>
      <c r="B193" t="s">
        <v>1749</v>
      </c>
      <c r="C193" t="s">
        <v>2117</v>
      </c>
    </row>
    <row r="194" spans="1:3" x14ac:dyDescent="0.4">
      <c r="A194">
        <v>328</v>
      </c>
      <c r="B194" t="s">
        <v>1749</v>
      </c>
      <c r="C194" t="s">
        <v>2116</v>
      </c>
    </row>
    <row r="195" spans="1:3" x14ac:dyDescent="0.4">
      <c r="A195">
        <v>329</v>
      </c>
      <c r="B195" t="s">
        <v>1749</v>
      </c>
      <c r="C195" t="s">
        <v>2115</v>
      </c>
    </row>
    <row r="196" spans="1:3" x14ac:dyDescent="0.4">
      <c r="A196">
        <v>332</v>
      </c>
      <c r="B196" t="s">
        <v>1749</v>
      </c>
      <c r="C196" t="s">
        <v>2114</v>
      </c>
    </row>
    <row r="197" spans="1:3" x14ac:dyDescent="0.4">
      <c r="A197">
        <v>333</v>
      </c>
      <c r="B197" t="s">
        <v>1749</v>
      </c>
      <c r="C197" t="s">
        <v>2113</v>
      </c>
    </row>
    <row r="198" spans="1:3" x14ac:dyDescent="0.4">
      <c r="A198">
        <v>334</v>
      </c>
      <c r="B198" t="s">
        <v>1749</v>
      </c>
      <c r="C198" t="s">
        <v>2112</v>
      </c>
    </row>
    <row r="199" spans="1:3" x14ac:dyDescent="0.4">
      <c r="A199">
        <v>336</v>
      </c>
      <c r="B199" t="s">
        <v>1749</v>
      </c>
      <c r="C199" t="s">
        <v>2111</v>
      </c>
    </row>
    <row r="200" spans="1:3" x14ac:dyDescent="0.4">
      <c r="A200">
        <v>339</v>
      </c>
      <c r="B200" t="s">
        <v>1749</v>
      </c>
      <c r="C200" t="s">
        <v>2110</v>
      </c>
    </row>
    <row r="201" spans="1:3" x14ac:dyDescent="0.4">
      <c r="A201">
        <v>340</v>
      </c>
      <c r="B201" t="s">
        <v>1749</v>
      </c>
      <c r="C201" t="s">
        <v>2109</v>
      </c>
    </row>
    <row r="202" spans="1:3" x14ac:dyDescent="0.4">
      <c r="A202">
        <v>341</v>
      </c>
      <c r="B202" t="s">
        <v>1749</v>
      </c>
      <c r="C202" t="s">
        <v>2108</v>
      </c>
    </row>
    <row r="203" spans="1:3" x14ac:dyDescent="0.4">
      <c r="A203">
        <v>343</v>
      </c>
      <c r="B203" t="s">
        <v>1749</v>
      </c>
      <c r="C203" t="s">
        <v>2107</v>
      </c>
    </row>
    <row r="204" spans="1:3" x14ac:dyDescent="0.4">
      <c r="A204">
        <v>344</v>
      </c>
      <c r="B204" t="s">
        <v>1749</v>
      </c>
      <c r="C204" t="s">
        <v>2106</v>
      </c>
    </row>
    <row r="205" spans="1:3" x14ac:dyDescent="0.4">
      <c r="A205">
        <v>345</v>
      </c>
      <c r="B205" t="s">
        <v>1749</v>
      </c>
      <c r="C205" t="s">
        <v>2105</v>
      </c>
    </row>
    <row r="206" spans="1:3" x14ac:dyDescent="0.4">
      <c r="A206">
        <v>347</v>
      </c>
      <c r="B206" t="s">
        <v>1749</v>
      </c>
      <c r="C206" t="s">
        <v>2104</v>
      </c>
    </row>
    <row r="207" spans="1:3" x14ac:dyDescent="0.4">
      <c r="A207">
        <v>348</v>
      </c>
      <c r="B207" t="s">
        <v>1749</v>
      </c>
      <c r="C207" t="s">
        <v>2103</v>
      </c>
    </row>
    <row r="208" spans="1:3" x14ac:dyDescent="0.4">
      <c r="A208">
        <v>349</v>
      </c>
      <c r="B208" t="s">
        <v>1749</v>
      </c>
      <c r="C208" t="s">
        <v>2102</v>
      </c>
    </row>
    <row r="209" spans="1:3" x14ac:dyDescent="0.4">
      <c r="A209">
        <v>350</v>
      </c>
      <c r="B209" t="s">
        <v>1749</v>
      </c>
      <c r="C209" t="s">
        <v>2101</v>
      </c>
    </row>
    <row r="210" spans="1:3" x14ac:dyDescent="0.4">
      <c r="A210">
        <v>351</v>
      </c>
      <c r="B210" t="s">
        <v>1749</v>
      </c>
      <c r="C210" t="s">
        <v>2100</v>
      </c>
    </row>
    <row r="211" spans="1:3" x14ac:dyDescent="0.4">
      <c r="A211">
        <v>352</v>
      </c>
      <c r="B211" t="s">
        <v>1749</v>
      </c>
      <c r="C211" t="s">
        <v>2099</v>
      </c>
    </row>
    <row r="212" spans="1:3" x14ac:dyDescent="0.4">
      <c r="A212">
        <v>353</v>
      </c>
      <c r="B212" t="s">
        <v>1749</v>
      </c>
      <c r="C212" t="s">
        <v>2098</v>
      </c>
    </row>
    <row r="213" spans="1:3" x14ac:dyDescent="0.4">
      <c r="A213">
        <v>354</v>
      </c>
      <c r="B213" t="s">
        <v>1749</v>
      </c>
      <c r="C213" t="s">
        <v>2097</v>
      </c>
    </row>
    <row r="214" spans="1:3" x14ac:dyDescent="0.4">
      <c r="A214">
        <v>355</v>
      </c>
      <c r="B214" t="s">
        <v>1749</v>
      </c>
      <c r="C214" t="s">
        <v>2096</v>
      </c>
    </row>
    <row r="215" spans="1:3" x14ac:dyDescent="0.4">
      <c r="A215">
        <v>356</v>
      </c>
      <c r="B215" t="s">
        <v>1749</v>
      </c>
      <c r="C215" t="s">
        <v>2095</v>
      </c>
    </row>
    <row r="216" spans="1:3" x14ac:dyDescent="0.4">
      <c r="A216">
        <v>357</v>
      </c>
      <c r="B216" t="s">
        <v>1749</v>
      </c>
      <c r="C216" t="s">
        <v>2094</v>
      </c>
    </row>
    <row r="217" spans="1:3" x14ac:dyDescent="0.4">
      <c r="A217">
        <v>360</v>
      </c>
      <c r="B217" t="s">
        <v>1749</v>
      </c>
      <c r="C217" t="s">
        <v>2093</v>
      </c>
    </row>
    <row r="218" spans="1:3" x14ac:dyDescent="0.4">
      <c r="A218">
        <v>361</v>
      </c>
      <c r="B218" t="s">
        <v>1749</v>
      </c>
      <c r="C218" t="s">
        <v>2092</v>
      </c>
    </row>
    <row r="219" spans="1:3" x14ac:dyDescent="0.4">
      <c r="A219">
        <v>364</v>
      </c>
      <c r="B219" t="s">
        <v>1749</v>
      </c>
      <c r="C219" t="s">
        <v>2091</v>
      </c>
    </row>
    <row r="220" spans="1:3" x14ac:dyDescent="0.4">
      <c r="A220">
        <v>365</v>
      </c>
      <c r="B220" t="s">
        <v>1749</v>
      </c>
      <c r="C220" t="s">
        <v>2090</v>
      </c>
    </row>
    <row r="221" spans="1:3" x14ac:dyDescent="0.4">
      <c r="A221">
        <v>368</v>
      </c>
      <c r="B221" t="s">
        <v>1749</v>
      </c>
      <c r="C221" t="s">
        <v>2089</v>
      </c>
    </row>
    <row r="222" spans="1:3" x14ac:dyDescent="0.4">
      <c r="A222">
        <v>369</v>
      </c>
      <c r="B222" t="s">
        <v>1749</v>
      </c>
      <c r="C222" t="s">
        <v>2088</v>
      </c>
    </row>
    <row r="223" spans="1:3" x14ac:dyDescent="0.4">
      <c r="A223">
        <v>370</v>
      </c>
      <c r="B223" t="s">
        <v>1749</v>
      </c>
      <c r="C223" t="s">
        <v>2087</v>
      </c>
    </row>
    <row r="224" spans="1:3" x14ac:dyDescent="0.4">
      <c r="A224">
        <v>371</v>
      </c>
      <c r="B224" t="s">
        <v>1749</v>
      </c>
      <c r="C224" t="s">
        <v>2086</v>
      </c>
    </row>
    <row r="225" spans="1:3" x14ac:dyDescent="0.4">
      <c r="A225">
        <v>372</v>
      </c>
      <c r="B225" t="s">
        <v>1749</v>
      </c>
      <c r="C225" t="s">
        <v>2085</v>
      </c>
    </row>
    <row r="226" spans="1:3" x14ac:dyDescent="0.4">
      <c r="A226">
        <v>373</v>
      </c>
      <c r="B226" t="s">
        <v>1749</v>
      </c>
      <c r="C226" t="s">
        <v>2084</v>
      </c>
    </row>
    <row r="227" spans="1:3" x14ac:dyDescent="0.4">
      <c r="A227">
        <v>376</v>
      </c>
      <c r="B227" t="s">
        <v>1749</v>
      </c>
      <c r="C227" t="s">
        <v>2083</v>
      </c>
    </row>
    <row r="228" spans="1:3" x14ac:dyDescent="0.4">
      <c r="A228">
        <v>377</v>
      </c>
      <c r="B228" t="s">
        <v>1749</v>
      </c>
      <c r="C228" t="s">
        <v>2082</v>
      </c>
    </row>
    <row r="229" spans="1:3" x14ac:dyDescent="0.4">
      <c r="A229">
        <v>380</v>
      </c>
      <c r="B229" t="s">
        <v>1749</v>
      </c>
      <c r="C229" t="s">
        <v>2081</v>
      </c>
    </row>
    <row r="230" spans="1:3" x14ac:dyDescent="0.4">
      <c r="A230">
        <v>381</v>
      </c>
      <c r="B230" t="s">
        <v>1749</v>
      </c>
      <c r="C230" t="s">
        <v>2080</v>
      </c>
    </row>
    <row r="231" spans="1:3" x14ac:dyDescent="0.4">
      <c r="A231">
        <v>382</v>
      </c>
      <c r="B231" t="s">
        <v>1749</v>
      </c>
      <c r="C231" t="s">
        <v>2079</v>
      </c>
    </row>
    <row r="232" spans="1:3" x14ac:dyDescent="0.4">
      <c r="A232">
        <v>2032</v>
      </c>
      <c r="B232" t="s">
        <v>1749</v>
      </c>
      <c r="C232" t="s">
        <v>2078</v>
      </c>
    </row>
    <row r="233" spans="1:3" x14ac:dyDescent="0.4">
      <c r="A233">
        <v>2033</v>
      </c>
      <c r="B233" t="s">
        <v>1749</v>
      </c>
      <c r="C233" t="s">
        <v>2077</v>
      </c>
    </row>
    <row r="234" spans="1:3" x14ac:dyDescent="0.4">
      <c r="A234">
        <v>2034</v>
      </c>
      <c r="B234" t="s">
        <v>1749</v>
      </c>
      <c r="C234" t="s">
        <v>2076</v>
      </c>
    </row>
    <row r="235" spans="1:3" x14ac:dyDescent="0.4">
      <c r="A235">
        <v>2035</v>
      </c>
      <c r="B235" t="s">
        <v>1749</v>
      </c>
      <c r="C235" t="s">
        <v>2075</v>
      </c>
    </row>
    <row r="236" spans="1:3" x14ac:dyDescent="0.4">
      <c r="A236">
        <v>2036</v>
      </c>
      <c r="B236" t="s">
        <v>1749</v>
      </c>
      <c r="C236" t="s">
        <v>2074</v>
      </c>
    </row>
    <row r="237" spans="1:3" x14ac:dyDescent="0.4">
      <c r="A237">
        <v>2037</v>
      </c>
      <c r="B237" t="s">
        <v>1749</v>
      </c>
      <c r="C237" t="s">
        <v>2073</v>
      </c>
    </row>
    <row r="238" spans="1:3" x14ac:dyDescent="0.4">
      <c r="A238">
        <v>2038</v>
      </c>
      <c r="B238" t="s">
        <v>1749</v>
      </c>
      <c r="C238" t="s">
        <v>2072</v>
      </c>
    </row>
    <row r="239" spans="1:3" x14ac:dyDescent="0.4">
      <c r="A239">
        <v>2039</v>
      </c>
      <c r="B239" t="s">
        <v>1749</v>
      </c>
      <c r="C239" t="s">
        <v>2071</v>
      </c>
    </row>
    <row r="240" spans="1:3" x14ac:dyDescent="0.4">
      <c r="A240">
        <v>2040</v>
      </c>
      <c r="B240" t="s">
        <v>1749</v>
      </c>
      <c r="C240" t="s">
        <v>2070</v>
      </c>
    </row>
    <row r="241" spans="1:3" x14ac:dyDescent="0.4">
      <c r="A241">
        <v>2041</v>
      </c>
      <c r="B241" t="s">
        <v>1749</v>
      </c>
      <c r="C241" t="s">
        <v>2069</v>
      </c>
    </row>
    <row r="242" spans="1:3" x14ac:dyDescent="0.4">
      <c r="A242">
        <v>2042</v>
      </c>
      <c r="B242" t="s">
        <v>1749</v>
      </c>
      <c r="C242" t="s">
        <v>2068</v>
      </c>
    </row>
    <row r="243" spans="1:3" x14ac:dyDescent="0.4">
      <c r="A243">
        <v>2043</v>
      </c>
      <c r="B243" t="s">
        <v>1749</v>
      </c>
      <c r="C243" t="s">
        <v>2067</v>
      </c>
    </row>
    <row r="244" spans="1:3" x14ac:dyDescent="0.4">
      <c r="A244">
        <v>2044</v>
      </c>
      <c r="B244" t="s">
        <v>1749</v>
      </c>
      <c r="C244" t="s">
        <v>2066</v>
      </c>
    </row>
    <row r="245" spans="1:3" x14ac:dyDescent="0.4">
      <c r="A245">
        <v>2045</v>
      </c>
      <c r="B245" t="s">
        <v>1749</v>
      </c>
      <c r="C245" t="s">
        <v>2065</v>
      </c>
    </row>
    <row r="246" spans="1:3" x14ac:dyDescent="0.4">
      <c r="A246">
        <v>2046</v>
      </c>
      <c r="B246" t="s">
        <v>1749</v>
      </c>
      <c r="C246" t="s">
        <v>2064</v>
      </c>
    </row>
    <row r="247" spans="1:3" x14ac:dyDescent="0.4">
      <c r="A247">
        <v>2047</v>
      </c>
      <c r="B247" t="s">
        <v>1749</v>
      </c>
      <c r="C247" t="s">
        <v>2063</v>
      </c>
    </row>
    <row r="248" spans="1:3" x14ac:dyDescent="0.4">
      <c r="A248">
        <v>2048</v>
      </c>
      <c r="B248" t="s">
        <v>1749</v>
      </c>
      <c r="C248" t="s">
        <v>2062</v>
      </c>
    </row>
    <row r="249" spans="1:3" x14ac:dyDescent="0.4">
      <c r="A249">
        <v>2049</v>
      </c>
      <c r="B249" t="s">
        <v>1749</v>
      </c>
      <c r="C249" t="s">
        <v>2061</v>
      </c>
    </row>
    <row r="250" spans="1:3" x14ac:dyDescent="0.4">
      <c r="A250">
        <v>2050</v>
      </c>
      <c r="B250" t="s">
        <v>1749</v>
      </c>
      <c r="C250" t="s">
        <v>2060</v>
      </c>
    </row>
    <row r="251" spans="1:3" x14ac:dyDescent="0.4">
      <c r="A251">
        <v>2051</v>
      </c>
      <c r="B251" t="s">
        <v>1749</v>
      </c>
      <c r="C251" t="s">
        <v>2059</v>
      </c>
    </row>
    <row r="252" spans="1:3" x14ac:dyDescent="0.4">
      <c r="A252">
        <v>2052</v>
      </c>
      <c r="B252" t="s">
        <v>1749</v>
      </c>
      <c r="C252" t="s">
        <v>2058</v>
      </c>
    </row>
    <row r="253" spans="1:3" x14ac:dyDescent="0.4">
      <c r="A253">
        <v>2053</v>
      </c>
      <c r="B253" t="s">
        <v>1749</v>
      </c>
      <c r="C253" t="s">
        <v>2057</v>
      </c>
    </row>
    <row r="254" spans="1:3" x14ac:dyDescent="0.4">
      <c r="A254">
        <v>2054</v>
      </c>
      <c r="B254" t="s">
        <v>1749</v>
      </c>
      <c r="C254" t="s">
        <v>2056</v>
      </c>
    </row>
    <row r="255" spans="1:3" x14ac:dyDescent="0.4">
      <c r="A255">
        <v>2055</v>
      </c>
      <c r="B255" t="s">
        <v>1749</v>
      </c>
      <c r="C255" t="s">
        <v>2055</v>
      </c>
    </row>
    <row r="256" spans="1:3" x14ac:dyDescent="0.4">
      <c r="A256">
        <v>2056</v>
      </c>
      <c r="B256" t="s">
        <v>1749</v>
      </c>
      <c r="C256" t="s">
        <v>2054</v>
      </c>
    </row>
    <row r="257" spans="1:3" x14ac:dyDescent="0.4">
      <c r="A257">
        <v>2057</v>
      </c>
      <c r="B257" t="s">
        <v>1749</v>
      </c>
      <c r="C257" t="s">
        <v>2053</v>
      </c>
    </row>
    <row r="258" spans="1:3" x14ac:dyDescent="0.4">
      <c r="A258">
        <v>2058</v>
      </c>
      <c r="B258" t="s">
        <v>1749</v>
      </c>
      <c r="C258" t="s">
        <v>2052</v>
      </c>
    </row>
    <row r="259" spans="1:3" x14ac:dyDescent="0.4">
      <c r="A259">
        <v>2059</v>
      </c>
      <c r="B259" t="s">
        <v>1749</v>
      </c>
      <c r="C259" t="s">
        <v>2051</v>
      </c>
    </row>
    <row r="260" spans="1:3" x14ac:dyDescent="0.4">
      <c r="A260">
        <v>2060</v>
      </c>
      <c r="B260" t="s">
        <v>1749</v>
      </c>
      <c r="C260" t="s">
        <v>2050</v>
      </c>
    </row>
    <row r="261" spans="1:3" x14ac:dyDescent="0.4">
      <c r="A261">
        <v>2061</v>
      </c>
      <c r="B261" t="s">
        <v>1749</v>
      </c>
      <c r="C261" t="s">
        <v>2049</v>
      </c>
    </row>
    <row r="262" spans="1:3" x14ac:dyDescent="0.4">
      <c r="A262">
        <v>2062</v>
      </c>
      <c r="B262" t="s">
        <v>1749</v>
      </c>
      <c r="C262" t="s">
        <v>2048</v>
      </c>
    </row>
    <row r="263" spans="1:3" x14ac:dyDescent="0.4">
      <c r="A263">
        <v>2063</v>
      </c>
      <c r="B263" t="s">
        <v>1749</v>
      </c>
      <c r="C263" t="s">
        <v>2047</v>
      </c>
    </row>
    <row r="264" spans="1:3" x14ac:dyDescent="0.4">
      <c r="A264">
        <v>2096</v>
      </c>
      <c r="B264" t="s">
        <v>1749</v>
      </c>
      <c r="C264" t="s">
        <v>2046</v>
      </c>
    </row>
    <row r="265" spans="1:3" x14ac:dyDescent="0.4">
      <c r="A265">
        <v>2097</v>
      </c>
      <c r="B265" t="s">
        <v>1749</v>
      </c>
      <c r="C265" t="s">
        <v>2045</v>
      </c>
    </row>
    <row r="266" spans="1:3" x14ac:dyDescent="0.4">
      <c r="A266">
        <v>2098</v>
      </c>
      <c r="B266" t="s">
        <v>1749</v>
      </c>
      <c r="C266" t="s">
        <v>2044</v>
      </c>
    </row>
    <row r="267" spans="1:3" x14ac:dyDescent="0.4">
      <c r="A267">
        <v>2099</v>
      </c>
      <c r="B267" t="s">
        <v>1749</v>
      </c>
      <c r="C267" t="s">
        <v>2043</v>
      </c>
    </row>
    <row r="268" spans="1:3" x14ac:dyDescent="0.4">
      <c r="A268">
        <v>2100</v>
      </c>
      <c r="B268" t="s">
        <v>1749</v>
      </c>
      <c r="C268" t="s">
        <v>2042</v>
      </c>
    </row>
    <row r="269" spans="1:3" x14ac:dyDescent="0.4">
      <c r="A269">
        <v>2101</v>
      </c>
      <c r="B269" t="s">
        <v>1749</v>
      </c>
      <c r="C269" t="s">
        <v>2041</v>
      </c>
    </row>
    <row r="270" spans="1:3" x14ac:dyDescent="0.4">
      <c r="A270">
        <v>2102</v>
      </c>
      <c r="B270" t="s">
        <v>1749</v>
      </c>
      <c r="C270" t="s">
        <v>2040</v>
      </c>
    </row>
    <row r="271" spans="1:3" x14ac:dyDescent="0.4">
      <c r="A271">
        <v>2103</v>
      </c>
      <c r="B271" t="s">
        <v>1749</v>
      </c>
      <c r="C271" t="s">
        <v>2039</v>
      </c>
    </row>
    <row r="272" spans="1:3" x14ac:dyDescent="0.4">
      <c r="A272">
        <v>2108</v>
      </c>
      <c r="B272" t="s">
        <v>1749</v>
      </c>
      <c r="C272" t="s">
        <v>2038</v>
      </c>
    </row>
    <row r="273" spans="1:3" x14ac:dyDescent="0.4">
      <c r="A273">
        <v>2109</v>
      </c>
      <c r="B273" t="s">
        <v>1749</v>
      </c>
      <c r="C273" t="s">
        <v>2037</v>
      </c>
    </row>
    <row r="274" spans="1:3" x14ac:dyDescent="0.4">
      <c r="A274">
        <v>2128</v>
      </c>
      <c r="B274" t="s">
        <v>1749</v>
      </c>
      <c r="C274" t="s">
        <v>2036</v>
      </c>
    </row>
    <row r="275" spans="1:3" x14ac:dyDescent="0.4">
      <c r="A275">
        <v>2129</v>
      </c>
      <c r="B275" t="s">
        <v>1749</v>
      </c>
      <c r="C275" t="s">
        <v>2035</v>
      </c>
    </row>
    <row r="276" spans="1:3" x14ac:dyDescent="0.4">
      <c r="A276">
        <v>2130</v>
      </c>
      <c r="B276" t="s">
        <v>1749</v>
      </c>
      <c r="C276" t="s">
        <v>2034</v>
      </c>
    </row>
    <row r="277" spans="1:3" x14ac:dyDescent="0.4">
      <c r="A277">
        <v>2132</v>
      </c>
      <c r="B277" t="s">
        <v>1749</v>
      </c>
      <c r="C277" t="s">
        <v>2033</v>
      </c>
    </row>
    <row r="278" spans="1:3" x14ac:dyDescent="0.4">
      <c r="A278">
        <v>2133</v>
      </c>
      <c r="B278" t="s">
        <v>1749</v>
      </c>
      <c r="C278" t="s">
        <v>2032</v>
      </c>
    </row>
    <row r="279" spans="1:3" x14ac:dyDescent="0.4">
      <c r="A279">
        <v>2134</v>
      </c>
      <c r="B279" t="s">
        <v>1749</v>
      </c>
      <c r="C279" t="s">
        <v>2031</v>
      </c>
    </row>
    <row r="280" spans="1:3" x14ac:dyDescent="0.4">
      <c r="A280">
        <v>2136</v>
      </c>
      <c r="B280" t="s">
        <v>1749</v>
      </c>
      <c r="C280" t="s">
        <v>2030</v>
      </c>
    </row>
    <row r="281" spans="1:3" x14ac:dyDescent="0.4">
      <c r="A281">
        <v>2137</v>
      </c>
      <c r="B281" t="s">
        <v>1749</v>
      </c>
      <c r="C281" t="s">
        <v>2029</v>
      </c>
    </row>
    <row r="282" spans="1:3" x14ac:dyDescent="0.4">
      <c r="A282">
        <v>2138</v>
      </c>
      <c r="B282" t="s">
        <v>1749</v>
      </c>
      <c r="C282" t="s">
        <v>2028</v>
      </c>
    </row>
    <row r="283" spans="1:3" x14ac:dyDescent="0.4">
      <c r="A283">
        <v>2139</v>
      </c>
      <c r="B283" t="s">
        <v>1749</v>
      </c>
      <c r="C283" t="s">
        <v>2027</v>
      </c>
    </row>
    <row r="284" spans="1:3" x14ac:dyDescent="0.4">
      <c r="A284">
        <v>2140</v>
      </c>
      <c r="B284" t="s">
        <v>1749</v>
      </c>
      <c r="C284" t="s">
        <v>2026</v>
      </c>
    </row>
    <row r="285" spans="1:3" x14ac:dyDescent="0.4">
      <c r="A285">
        <v>2144</v>
      </c>
      <c r="B285" t="s">
        <v>1749</v>
      </c>
      <c r="C285" t="s">
        <v>2025</v>
      </c>
    </row>
    <row r="286" spans="1:3" x14ac:dyDescent="0.4">
      <c r="A286">
        <v>2145</v>
      </c>
      <c r="B286" t="s">
        <v>1749</v>
      </c>
      <c r="C286" t="s">
        <v>2024</v>
      </c>
    </row>
    <row r="287" spans="1:3" x14ac:dyDescent="0.4">
      <c r="A287">
        <v>2146</v>
      </c>
      <c r="B287" t="s">
        <v>1749</v>
      </c>
      <c r="C287" t="s">
        <v>2023</v>
      </c>
    </row>
    <row r="288" spans="1:3" x14ac:dyDescent="0.4">
      <c r="A288">
        <v>2147</v>
      </c>
      <c r="B288" t="s">
        <v>1749</v>
      </c>
      <c r="C288" t="s">
        <v>2022</v>
      </c>
    </row>
    <row r="289" spans="1:3" x14ac:dyDescent="0.4">
      <c r="A289">
        <v>2150</v>
      </c>
      <c r="B289" t="s">
        <v>1749</v>
      </c>
      <c r="C289" t="s">
        <v>2021</v>
      </c>
    </row>
    <row r="290" spans="1:3" x14ac:dyDescent="0.4">
      <c r="A290">
        <v>2151</v>
      </c>
      <c r="B290" t="s">
        <v>1749</v>
      </c>
      <c r="C290" t="s">
        <v>2020</v>
      </c>
    </row>
    <row r="291" spans="1:3" x14ac:dyDescent="0.4">
      <c r="A291">
        <v>2152</v>
      </c>
      <c r="B291" t="s">
        <v>1749</v>
      </c>
      <c r="C291" t="s">
        <v>2019</v>
      </c>
    </row>
    <row r="292" spans="1:3" x14ac:dyDescent="0.4">
      <c r="A292">
        <v>2153</v>
      </c>
      <c r="B292" t="s">
        <v>1749</v>
      </c>
      <c r="C292" t="s">
        <v>2018</v>
      </c>
    </row>
    <row r="293" spans="1:3" x14ac:dyDescent="0.4">
      <c r="A293">
        <v>2154</v>
      </c>
      <c r="B293" t="s">
        <v>1749</v>
      </c>
      <c r="C293" t="s">
        <v>2017</v>
      </c>
    </row>
    <row r="294" spans="1:3" x14ac:dyDescent="0.4">
      <c r="A294">
        <v>2156</v>
      </c>
      <c r="B294" t="s">
        <v>1749</v>
      </c>
      <c r="C294" t="s">
        <v>2016</v>
      </c>
    </row>
    <row r="295" spans="1:3" x14ac:dyDescent="0.4">
      <c r="A295">
        <v>2157</v>
      </c>
      <c r="B295" t="s">
        <v>1749</v>
      </c>
      <c r="C295" t="s">
        <v>2015</v>
      </c>
    </row>
    <row r="296" spans="1:3" x14ac:dyDescent="0.4">
      <c r="A296">
        <v>2160</v>
      </c>
      <c r="B296" t="s">
        <v>1749</v>
      </c>
      <c r="C296" t="s">
        <v>2014</v>
      </c>
    </row>
    <row r="297" spans="1:3" x14ac:dyDescent="0.4">
      <c r="A297">
        <v>2161</v>
      </c>
      <c r="B297" t="s">
        <v>1749</v>
      </c>
      <c r="C297" t="s">
        <v>2013</v>
      </c>
    </row>
    <row r="298" spans="1:3" x14ac:dyDescent="0.4">
      <c r="A298">
        <v>2162</v>
      </c>
      <c r="B298" t="s">
        <v>1749</v>
      </c>
      <c r="C298" t="s">
        <v>2012</v>
      </c>
    </row>
    <row r="299" spans="1:3" x14ac:dyDescent="0.4">
      <c r="A299">
        <v>2163</v>
      </c>
      <c r="B299" t="s">
        <v>1749</v>
      </c>
      <c r="C299" t="s">
        <v>2011</v>
      </c>
    </row>
    <row r="300" spans="1:3" x14ac:dyDescent="0.4">
      <c r="A300">
        <v>2166</v>
      </c>
      <c r="B300" t="s">
        <v>1749</v>
      </c>
      <c r="C300" t="s">
        <v>2010</v>
      </c>
    </row>
    <row r="301" spans="1:3" x14ac:dyDescent="0.4">
      <c r="A301">
        <v>2167</v>
      </c>
      <c r="B301" t="s">
        <v>1749</v>
      </c>
      <c r="C301" t="s">
        <v>2009</v>
      </c>
    </row>
    <row r="302" spans="1:3" x14ac:dyDescent="0.4">
      <c r="A302">
        <v>2168</v>
      </c>
      <c r="B302" t="s">
        <v>1749</v>
      </c>
      <c r="C302" t="s">
        <v>2008</v>
      </c>
    </row>
    <row r="303" spans="1:3" x14ac:dyDescent="0.4">
      <c r="A303">
        <v>2169</v>
      </c>
      <c r="B303" t="s">
        <v>1749</v>
      </c>
      <c r="C303" t="s">
        <v>2007</v>
      </c>
    </row>
    <row r="304" spans="1:3" x14ac:dyDescent="0.4">
      <c r="A304">
        <v>2170</v>
      </c>
      <c r="B304" t="s">
        <v>1749</v>
      </c>
      <c r="C304" t="s">
        <v>2006</v>
      </c>
    </row>
    <row r="305" spans="1:3" x14ac:dyDescent="0.4">
      <c r="A305">
        <v>2171</v>
      </c>
      <c r="B305" t="s">
        <v>1749</v>
      </c>
      <c r="C305" t="s">
        <v>2005</v>
      </c>
    </row>
    <row r="306" spans="1:3" x14ac:dyDescent="0.4">
      <c r="A306">
        <v>2172</v>
      </c>
      <c r="B306" t="s">
        <v>1749</v>
      </c>
      <c r="C306" t="s">
        <v>2004</v>
      </c>
    </row>
    <row r="307" spans="1:3" x14ac:dyDescent="0.4">
      <c r="A307">
        <v>2173</v>
      </c>
      <c r="B307" t="s">
        <v>1749</v>
      </c>
      <c r="C307" t="s">
        <v>2003</v>
      </c>
    </row>
    <row r="308" spans="1:3" x14ac:dyDescent="0.4">
      <c r="A308">
        <v>2174</v>
      </c>
      <c r="B308" t="s">
        <v>1749</v>
      </c>
      <c r="C308" t="s">
        <v>2002</v>
      </c>
    </row>
    <row r="309" spans="1:3" x14ac:dyDescent="0.4">
      <c r="A309">
        <v>2175</v>
      </c>
      <c r="B309" t="s">
        <v>1749</v>
      </c>
      <c r="C309" t="s">
        <v>2001</v>
      </c>
    </row>
    <row r="310" spans="1:3" x14ac:dyDescent="0.4">
      <c r="A310">
        <v>2176</v>
      </c>
      <c r="B310" t="s">
        <v>1749</v>
      </c>
      <c r="C310" t="s">
        <v>2000</v>
      </c>
    </row>
    <row r="311" spans="1:3" x14ac:dyDescent="0.4">
      <c r="A311">
        <v>2177</v>
      </c>
      <c r="B311" t="s">
        <v>1749</v>
      </c>
      <c r="C311" t="s">
        <v>1999</v>
      </c>
    </row>
    <row r="312" spans="1:3" x14ac:dyDescent="0.4">
      <c r="A312">
        <v>2178</v>
      </c>
      <c r="B312" t="s">
        <v>1749</v>
      </c>
      <c r="C312" t="s">
        <v>1998</v>
      </c>
    </row>
    <row r="313" spans="1:3" x14ac:dyDescent="0.4">
      <c r="A313">
        <v>2180</v>
      </c>
      <c r="B313" t="s">
        <v>1749</v>
      </c>
      <c r="C313" t="s">
        <v>1997</v>
      </c>
    </row>
    <row r="314" spans="1:3" x14ac:dyDescent="0.4">
      <c r="A314">
        <v>2181</v>
      </c>
      <c r="B314" t="s">
        <v>1749</v>
      </c>
      <c r="C314" t="s">
        <v>1996</v>
      </c>
    </row>
    <row r="315" spans="1:3" x14ac:dyDescent="0.4">
      <c r="A315">
        <v>2182</v>
      </c>
      <c r="B315" t="s">
        <v>1749</v>
      </c>
      <c r="C315" t="s">
        <v>1995</v>
      </c>
    </row>
    <row r="316" spans="1:3" x14ac:dyDescent="0.4">
      <c r="A316">
        <v>2184</v>
      </c>
      <c r="B316" t="s">
        <v>1749</v>
      </c>
      <c r="C316" t="s">
        <v>1994</v>
      </c>
    </row>
    <row r="317" spans="1:3" x14ac:dyDescent="0.4">
      <c r="A317">
        <v>2185</v>
      </c>
      <c r="B317" t="s">
        <v>1749</v>
      </c>
      <c r="C317" t="s">
        <v>1993</v>
      </c>
    </row>
    <row r="318" spans="1:3" x14ac:dyDescent="0.4">
      <c r="A318">
        <v>2186</v>
      </c>
      <c r="B318" t="s">
        <v>1749</v>
      </c>
      <c r="C318" t="s">
        <v>1992</v>
      </c>
    </row>
    <row r="319" spans="1:3" x14ac:dyDescent="0.4">
      <c r="A319">
        <v>2187</v>
      </c>
      <c r="B319" t="s">
        <v>1749</v>
      </c>
      <c r="C319" t="s">
        <v>1991</v>
      </c>
    </row>
    <row r="320" spans="1:3" x14ac:dyDescent="0.4">
      <c r="A320">
        <v>2188</v>
      </c>
      <c r="B320" t="s">
        <v>1749</v>
      </c>
      <c r="C320" t="s">
        <v>1990</v>
      </c>
    </row>
    <row r="321" spans="1:3" x14ac:dyDescent="0.4">
      <c r="A321">
        <v>2192</v>
      </c>
      <c r="B321" t="s">
        <v>1749</v>
      </c>
      <c r="C321" t="s">
        <v>1989</v>
      </c>
    </row>
    <row r="322" spans="1:3" x14ac:dyDescent="0.4">
      <c r="A322">
        <v>2193</v>
      </c>
      <c r="B322" t="s">
        <v>1749</v>
      </c>
      <c r="C322" t="s">
        <v>1988</v>
      </c>
    </row>
    <row r="323" spans="1:3" x14ac:dyDescent="0.4">
      <c r="A323">
        <v>2194</v>
      </c>
      <c r="B323" t="s">
        <v>1749</v>
      </c>
      <c r="C323" t="s">
        <v>1987</v>
      </c>
    </row>
    <row r="324" spans="1:3" x14ac:dyDescent="0.4">
      <c r="A324">
        <v>2195</v>
      </c>
      <c r="B324" t="s">
        <v>1749</v>
      </c>
      <c r="C324" t="s">
        <v>1986</v>
      </c>
    </row>
    <row r="325" spans="1:3" x14ac:dyDescent="0.4">
      <c r="A325">
        <v>2198</v>
      </c>
      <c r="B325" t="s">
        <v>1749</v>
      </c>
      <c r="C325" t="s">
        <v>1985</v>
      </c>
    </row>
    <row r="326" spans="1:3" x14ac:dyDescent="0.4">
      <c r="A326">
        <v>2199</v>
      </c>
      <c r="B326" t="s">
        <v>1749</v>
      </c>
      <c r="C326" t="s">
        <v>1984</v>
      </c>
    </row>
    <row r="327" spans="1:3" x14ac:dyDescent="0.4">
      <c r="A327">
        <v>2200</v>
      </c>
      <c r="B327" t="s">
        <v>1749</v>
      </c>
      <c r="C327" t="s">
        <v>1983</v>
      </c>
    </row>
    <row r="328" spans="1:3" x14ac:dyDescent="0.4">
      <c r="A328">
        <v>2201</v>
      </c>
      <c r="B328" t="s">
        <v>1749</v>
      </c>
      <c r="C328" t="s">
        <v>1982</v>
      </c>
    </row>
    <row r="329" spans="1:3" x14ac:dyDescent="0.4">
      <c r="A329">
        <v>2202</v>
      </c>
      <c r="B329" t="s">
        <v>1749</v>
      </c>
      <c r="C329" t="s">
        <v>1981</v>
      </c>
    </row>
    <row r="330" spans="1:3" x14ac:dyDescent="0.4">
      <c r="A330">
        <v>2204</v>
      </c>
      <c r="B330" t="s">
        <v>1749</v>
      </c>
      <c r="C330" t="s">
        <v>1980</v>
      </c>
    </row>
    <row r="331" spans="1:3" x14ac:dyDescent="0.4">
      <c r="A331">
        <v>2205</v>
      </c>
      <c r="B331" t="s">
        <v>1749</v>
      </c>
      <c r="C331" t="s">
        <v>1979</v>
      </c>
    </row>
    <row r="332" spans="1:3" x14ac:dyDescent="0.4">
      <c r="A332">
        <v>2208</v>
      </c>
      <c r="B332" t="s">
        <v>1749</v>
      </c>
      <c r="C332" t="s">
        <v>1978</v>
      </c>
    </row>
    <row r="333" spans="1:3" x14ac:dyDescent="0.4">
      <c r="A333">
        <v>2209</v>
      </c>
      <c r="B333" t="s">
        <v>1749</v>
      </c>
      <c r="C333" t="s">
        <v>1977</v>
      </c>
    </row>
    <row r="334" spans="1:3" x14ac:dyDescent="0.4">
      <c r="A334">
        <v>2210</v>
      </c>
      <c r="B334" t="s">
        <v>1749</v>
      </c>
      <c r="C334" t="s">
        <v>1976</v>
      </c>
    </row>
    <row r="335" spans="1:3" x14ac:dyDescent="0.4">
      <c r="A335">
        <v>2211</v>
      </c>
      <c r="B335" t="s">
        <v>1749</v>
      </c>
      <c r="C335" t="s">
        <v>1975</v>
      </c>
    </row>
    <row r="336" spans="1:3" x14ac:dyDescent="0.4">
      <c r="A336">
        <v>2213</v>
      </c>
      <c r="B336" t="s">
        <v>1749</v>
      </c>
      <c r="C336" t="s">
        <v>1974</v>
      </c>
    </row>
    <row r="337" spans="1:3" x14ac:dyDescent="0.4">
      <c r="A337">
        <v>2214</v>
      </c>
      <c r="B337" t="s">
        <v>1749</v>
      </c>
      <c r="C337" t="s">
        <v>1973</v>
      </c>
    </row>
    <row r="338" spans="1:3" x14ac:dyDescent="0.4">
      <c r="A338">
        <v>2215</v>
      </c>
      <c r="B338" t="s">
        <v>1749</v>
      </c>
      <c r="C338" t="s">
        <v>1972</v>
      </c>
    </row>
    <row r="339" spans="1:3" x14ac:dyDescent="0.4">
      <c r="A339">
        <v>2216</v>
      </c>
      <c r="B339" t="s">
        <v>1749</v>
      </c>
      <c r="C339" t="s">
        <v>1971</v>
      </c>
    </row>
    <row r="340" spans="1:3" x14ac:dyDescent="0.4">
      <c r="A340">
        <v>2217</v>
      </c>
      <c r="B340" t="s">
        <v>1749</v>
      </c>
      <c r="C340" t="s">
        <v>1970</v>
      </c>
    </row>
    <row r="341" spans="1:3" x14ac:dyDescent="0.4">
      <c r="A341">
        <v>2218</v>
      </c>
      <c r="B341" t="s">
        <v>1749</v>
      </c>
      <c r="C341" t="s">
        <v>1969</v>
      </c>
    </row>
    <row r="342" spans="1:3" x14ac:dyDescent="0.4">
      <c r="A342">
        <v>2219</v>
      </c>
      <c r="B342" t="s">
        <v>1749</v>
      </c>
      <c r="C342" t="s">
        <v>1968</v>
      </c>
    </row>
    <row r="343" spans="1:3" x14ac:dyDescent="0.4">
      <c r="A343">
        <v>2220</v>
      </c>
      <c r="B343" t="s">
        <v>1749</v>
      </c>
      <c r="C343" t="s">
        <v>1967</v>
      </c>
    </row>
    <row r="344" spans="1:3" x14ac:dyDescent="0.4">
      <c r="A344">
        <v>2221</v>
      </c>
      <c r="B344" t="s">
        <v>1749</v>
      </c>
      <c r="C344" t="s">
        <v>1966</v>
      </c>
    </row>
    <row r="345" spans="1:3" x14ac:dyDescent="0.4">
      <c r="A345">
        <v>2222</v>
      </c>
      <c r="B345" t="s">
        <v>1749</v>
      </c>
      <c r="C345" t="s">
        <v>1965</v>
      </c>
    </row>
    <row r="346" spans="1:3" x14ac:dyDescent="0.4">
      <c r="A346">
        <v>2223</v>
      </c>
      <c r="B346" t="s">
        <v>1749</v>
      </c>
      <c r="C346" t="s">
        <v>1964</v>
      </c>
    </row>
    <row r="347" spans="1:3" x14ac:dyDescent="0.4">
      <c r="A347">
        <v>2224</v>
      </c>
      <c r="B347" t="s">
        <v>1749</v>
      </c>
      <c r="C347" t="s">
        <v>1963</v>
      </c>
    </row>
    <row r="348" spans="1:3" x14ac:dyDescent="0.4">
      <c r="A348">
        <v>2225</v>
      </c>
      <c r="B348" t="s">
        <v>1749</v>
      </c>
      <c r="C348" t="s">
        <v>1962</v>
      </c>
    </row>
    <row r="349" spans="1:3" x14ac:dyDescent="0.4">
      <c r="A349">
        <v>2226</v>
      </c>
      <c r="B349" t="s">
        <v>1749</v>
      </c>
      <c r="C349" t="s">
        <v>1961</v>
      </c>
    </row>
    <row r="350" spans="1:3" x14ac:dyDescent="0.4">
      <c r="A350">
        <v>2228</v>
      </c>
      <c r="B350" t="s">
        <v>1749</v>
      </c>
      <c r="C350" t="s">
        <v>1960</v>
      </c>
    </row>
    <row r="351" spans="1:3" x14ac:dyDescent="0.4">
      <c r="A351">
        <v>2229</v>
      </c>
      <c r="B351" t="s">
        <v>1749</v>
      </c>
      <c r="C351" t="s">
        <v>1959</v>
      </c>
    </row>
    <row r="352" spans="1:3" x14ac:dyDescent="0.4">
      <c r="A352">
        <v>2230</v>
      </c>
      <c r="B352" t="s">
        <v>1749</v>
      </c>
      <c r="C352" t="s">
        <v>1958</v>
      </c>
    </row>
    <row r="353" spans="1:3" x14ac:dyDescent="0.4">
      <c r="A353">
        <v>2232</v>
      </c>
      <c r="B353" t="s">
        <v>1749</v>
      </c>
      <c r="C353" t="s">
        <v>1957</v>
      </c>
    </row>
    <row r="354" spans="1:3" x14ac:dyDescent="0.4">
      <c r="A354">
        <v>2233</v>
      </c>
      <c r="B354" t="s">
        <v>1749</v>
      </c>
      <c r="C354" t="s">
        <v>1956</v>
      </c>
    </row>
    <row r="355" spans="1:3" x14ac:dyDescent="0.4">
      <c r="A355">
        <v>2235</v>
      </c>
      <c r="B355" t="s">
        <v>1749</v>
      </c>
      <c r="C355" t="s">
        <v>1955</v>
      </c>
    </row>
    <row r="356" spans="1:3" x14ac:dyDescent="0.4">
      <c r="A356">
        <v>2236</v>
      </c>
      <c r="B356" t="s">
        <v>1749</v>
      </c>
      <c r="C356" t="s">
        <v>1954</v>
      </c>
    </row>
    <row r="357" spans="1:3" x14ac:dyDescent="0.4">
      <c r="A357">
        <v>2237</v>
      </c>
      <c r="B357" t="s">
        <v>1749</v>
      </c>
      <c r="C357" t="s">
        <v>1953</v>
      </c>
    </row>
    <row r="358" spans="1:3" x14ac:dyDescent="0.4">
      <c r="A358">
        <v>2238</v>
      </c>
      <c r="B358" t="s">
        <v>1749</v>
      </c>
      <c r="C358" t="s">
        <v>1952</v>
      </c>
    </row>
    <row r="359" spans="1:3" x14ac:dyDescent="0.4">
      <c r="A359">
        <v>2239</v>
      </c>
      <c r="B359" t="s">
        <v>1749</v>
      </c>
      <c r="C359" t="s">
        <v>1951</v>
      </c>
    </row>
    <row r="360" spans="1:3" x14ac:dyDescent="0.4">
      <c r="A360">
        <v>2240</v>
      </c>
      <c r="B360" t="s">
        <v>1749</v>
      </c>
      <c r="C360" t="s">
        <v>1950</v>
      </c>
    </row>
    <row r="361" spans="1:3" x14ac:dyDescent="0.4">
      <c r="A361">
        <v>2241</v>
      </c>
      <c r="B361" t="s">
        <v>1749</v>
      </c>
      <c r="C361" t="s">
        <v>1949</v>
      </c>
    </row>
    <row r="362" spans="1:3" x14ac:dyDescent="0.4">
      <c r="A362">
        <v>2242</v>
      </c>
      <c r="B362" t="s">
        <v>1749</v>
      </c>
      <c r="C362" t="s">
        <v>1948</v>
      </c>
    </row>
    <row r="363" spans="1:3" x14ac:dyDescent="0.4">
      <c r="A363">
        <v>2243</v>
      </c>
      <c r="B363" t="s">
        <v>1749</v>
      </c>
      <c r="C363" t="s">
        <v>1947</v>
      </c>
    </row>
    <row r="364" spans="1:3" x14ac:dyDescent="0.4">
      <c r="A364">
        <v>2248</v>
      </c>
      <c r="B364" t="s">
        <v>1749</v>
      </c>
      <c r="C364" t="s">
        <v>1946</v>
      </c>
    </row>
    <row r="365" spans="1:3" x14ac:dyDescent="0.4">
      <c r="A365">
        <v>2249</v>
      </c>
      <c r="B365" t="s">
        <v>1749</v>
      </c>
      <c r="C365" t="s">
        <v>1945</v>
      </c>
    </row>
    <row r="366" spans="1:3" x14ac:dyDescent="0.4">
      <c r="A366">
        <v>2251</v>
      </c>
      <c r="B366" t="s">
        <v>1749</v>
      </c>
      <c r="C366" t="s">
        <v>1944</v>
      </c>
    </row>
    <row r="367" spans="1:3" x14ac:dyDescent="0.4">
      <c r="A367">
        <v>2252</v>
      </c>
      <c r="B367" t="s">
        <v>1749</v>
      </c>
      <c r="C367" t="s">
        <v>1943</v>
      </c>
    </row>
    <row r="368" spans="1:3" x14ac:dyDescent="0.4">
      <c r="A368">
        <v>2253</v>
      </c>
      <c r="B368" t="s">
        <v>1749</v>
      </c>
      <c r="C368" t="s">
        <v>1942</v>
      </c>
    </row>
    <row r="369" spans="1:3" x14ac:dyDescent="0.4">
      <c r="A369">
        <v>2254</v>
      </c>
      <c r="B369" t="s">
        <v>1749</v>
      </c>
      <c r="C369" t="s">
        <v>1941</v>
      </c>
    </row>
    <row r="370" spans="1:3" x14ac:dyDescent="0.4">
      <c r="A370">
        <v>2255</v>
      </c>
      <c r="B370" t="s">
        <v>1749</v>
      </c>
      <c r="C370" t="s">
        <v>1940</v>
      </c>
    </row>
    <row r="371" spans="1:3" x14ac:dyDescent="0.4">
      <c r="A371">
        <v>2256</v>
      </c>
      <c r="B371" t="s">
        <v>1749</v>
      </c>
      <c r="C371" t="s">
        <v>1939</v>
      </c>
    </row>
    <row r="372" spans="1:3" x14ac:dyDescent="0.4">
      <c r="A372">
        <v>2257</v>
      </c>
      <c r="B372" t="s">
        <v>1749</v>
      </c>
      <c r="C372" t="s">
        <v>1938</v>
      </c>
    </row>
    <row r="373" spans="1:3" x14ac:dyDescent="0.4">
      <c r="A373">
        <v>2258</v>
      </c>
      <c r="B373" t="s">
        <v>1749</v>
      </c>
      <c r="C373" t="s">
        <v>1937</v>
      </c>
    </row>
    <row r="374" spans="1:3" x14ac:dyDescent="0.4">
      <c r="A374">
        <v>2259</v>
      </c>
      <c r="B374" t="s">
        <v>1749</v>
      </c>
      <c r="C374" t="s">
        <v>1936</v>
      </c>
    </row>
    <row r="375" spans="1:3" x14ac:dyDescent="0.4">
      <c r="A375">
        <v>2260</v>
      </c>
      <c r="B375" t="s">
        <v>1749</v>
      </c>
      <c r="C375" t="s">
        <v>1935</v>
      </c>
    </row>
    <row r="376" spans="1:3" x14ac:dyDescent="0.4">
      <c r="A376">
        <v>2261</v>
      </c>
      <c r="B376" t="s">
        <v>1749</v>
      </c>
      <c r="C376" t="s">
        <v>1934</v>
      </c>
    </row>
    <row r="377" spans="1:3" x14ac:dyDescent="0.4">
      <c r="A377">
        <v>2262</v>
      </c>
      <c r="B377" t="s">
        <v>1749</v>
      </c>
      <c r="C377" t="s">
        <v>1933</v>
      </c>
    </row>
    <row r="378" spans="1:3" x14ac:dyDescent="0.4">
      <c r="A378">
        <v>2263</v>
      </c>
      <c r="B378" t="s">
        <v>1749</v>
      </c>
      <c r="C378" t="s">
        <v>1932</v>
      </c>
    </row>
    <row r="379" spans="1:3" x14ac:dyDescent="0.4">
      <c r="A379">
        <v>2264</v>
      </c>
      <c r="B379" t="s">
        <v>1749</v>
      </c>
      <c r="C379" t="s">
        <v>1931</v>
      </c>
    </row>
    <row r="380" spans="1:3" x14ac:dyDescent="0.4">
      <c r="A380">
        <v>2265</v>
      </c>
      <c r="B380" t="s">
        <v>1749</v>
      </c>
      <c r="C380" t="s">
        <v>1930</v>
      </c>
    </row>
    <row r="381" spans="1:3" x14ac:dyDescent="0.4">
      <c r="A381">
        <v>2267</v>
      </c>
      <c r="B381" t="s">
        <v>1749</v>
      </c>
      <c r="C381" t="s">
        <v>1929</v>
      </c>
    </row>
    <row r="382" spans="1:3" x14ac:dyDescent="0.4">
      <c r="A382">
        <v>2268</v>
      </c>
      <c r="B382" t="s">
        <v>1749</v>
      </c>
      <c r="C382" t="s">
        <v>1928</v>
      </c>
    </row>
    <row r="383" spans="1:3" x14ac:dyDescent="0.4">
      <c r="A383">
        <v>2269</v>
      </c>
      <c r="B383" t="s">
        <v>1749</v>
      </c>
      <c r="C383" t="s">
        <v>1927</v>
      </c>
    </row>
    <row r="384" spans="1:3" x14ac:dyDescent="0.4">
      <c r="A384">
        <v>2270</v>
      </c>
      <c r="B384" t="s">
        <v>1749</v>
      </c>
      <c r="C384" t="s">
        <v>1926</v>
      </c>
    </row>
    <row r="385" spans="1:3" x14ac:dyDescent="0.4">
      <c r="A385">
        <v>2272</v>
      </c>
      <c r="B385" t="s">
        <v>1749</v>
      </c>
      <c r="C385" t="s">
        <v>1925</v>
      </c>
    </row>
    <row r="386" spans="1:3" x14ac:dyDescent="0.4">
      <c r="A386">
        <v>2273</v>
      </c>
      <c r="B386" t="s">
        <v>1749</v>
      </c>
      <c r="C386" t="s">
        <v>1924</v>
      </c>
    </row>
    <row r="387" spans="1:3" x14ac:dyDescent="0.4">
      <c r="A387">
        <v>2275</v>
      </c>
      <c r="B387" t="s">
        <v>1749</v>
      </c>
      <c r="C387" t="s">
        <v>1923</v>
      </c>
    </row>
    <row r="388" spans="1:3" x14ac:dyDescent="0.4">
      <c r="A388">
        <v>2276</v>
      </c>
      <c r="B388" t="s">
        <v>1749</v>
      </c>
      <c r="C388" t="s">
        <v>1922</v>
      </c>
    </row>
    <row r="389" spans="1:3" x14ac:dyDescent="0.4">
      <c r="A389">
        <v>2277</v>
      </c>
      <c r="B389" t="s">
        <v>1749</v>
      </c>
      <c r="C389" t="s">
        <v>1921</v>
      </c>
    </row>
    <row r="390" spans="1:3" x14ac:dyDescent="0.4">
      <c r="A390">
        <v>2278</v>
      </c>
      <c r="B390" t="s">
        <v>1749</v>
      </c>
      <c r="C390" t="s">
        <v>1920</v>
      </c>
    </row>
    <row r="391" spans="1:3" x14ac:dyDescent="0.4">
      <c r="A391">
        <v>2279</v>
      </c>
      <c r="B391" t="s">
        <v>1749</v>
      </c>
      <c r="C391" t="s">
        <v>1919</v>
      </c>
    </row>
    <row r="392" spans="1:3" x14ac:dyDescent="0.4">
      <c r="A392">
        <v>2280</v>
      </c>
      <c r="B392" t="s">
        <v>1749</v>
      </c>
      <c r="C392" t="s">
        <v>1918</v>
      </c>
    </row>
    <row r="393" spans="1:3" x14ac:dyDescent="0.4">
      <c r="A393">
        <v>2281</v>
      </c>
      <c r="B393" t="s">
        <v>1749</v>
      </c>
      <c r="C393" t="s">
        <v>1917</v>
      </c>
    </row>
    <row r="394" spans="1:3" x14ac:dyDescent="0.4">
      <c r="A394">
        <v>2283</v>
      </c>
      <c r="B394" t="s">
        <v>1749</v>
      </c>
      <c r="C394" t="s">
        <v>1916</v>
      </c>
    </row>
    <row r="395" spans="1:3" x14ac:dyDescent="0.4">
      <c r="A395">
        <v>2284</v>
      </c>
      <c r="B395" t="s">
        <v>1749</v>
      </c>
      <c r="C395" t="s">
        <v>1915</v>
      </c>
    </row>
    <row r="396" spans="1:3" x14ac:dyDescent="0.4">
      <c r="A396">
        <v>2285</v>
      </c>
      <c r="B396" t="s">
        <v>1749</v>
      </c>
      <c r="C396" t="s">
        <v>1914</v>
      </c>
    </row>
    <row r="397" spans="1:3" x14ac:dyDescent="0.4">
      <c r="A397">
        <v>2288</v>
      </c>
      <c r="B397" t="s">
        <v>1749</v>
      </c>
      <c r="C397" t="s">
        <v>1913</v>
      </c>
    </row>
    <row r="398" spans="1:3" x14ac:dyDescent="0.4">
      <c r="A398">
        <v>2291</v>
      </c>
      <c r="B398" t="s">
        <v>1749</v>
      </c>
      <c r="C398" t="s">
        <v>1912</v>
      </c>
    </row>
    <row r="399" spans="1:3" x14ac:dyDescent="0.4">
      <c r="A399">
        <v>2292</v>
      </c>
      <c r="B399" t="s">
        <v>1749</v>
      </c>
      <c r="C399" t="s">
        <v>1911</v>
      </c>
    </row>
    <row r="400" spans="1:3" x14ac:dyDescent="0.4">
      <c r="A400">
        <v>2293</v>
      </c>
      <c r="B400" t="s">
        <v>1749</v>
      </c>
      <c r="C400" t="s">
        <v>1910</v>
      </c>
    </row>
    <row r="401" spans="1:3" x14ac:dyDescent="0.4">
      <c r="A401">
        <v>2295</v>
      </c>
      <c r="B401" t="s">
        <v>1749</v>
      </c>
      <c r="C401" t="s">
        <v>1909</v>
      </c>
    </row>
    <row r="402" spans="1:3" x14ac:dyDescent="0.4">
      <c r="A402">
        <v>2296</v>
      </c>
      <c r="B402" t="s">
        <v>1749</v>
      </c>
      <c r="C402" t="s">
        <v>1908</v>
      </c>
    </row>
    <row r="403" spans="1:3" x14ac:dyDescent="0.4">
      <c r="A403">
        <v>2297</v>
      </c>
      <c r="B403" t="s">
        <v>1749</v>
      </c>
      <c r="C403" t="s">
        <v>1907</v>
      </c>
    </row>
    <row r="404" spans="1:3" x14ac:dyDescent="0.4">
      <c r="A404">
        <v>2299</v>
      </c>
      <c r="B404" t="s">
        <v>1749</v>
      </c>
      <c r="C404" t="s">
        <v>1906</v>
      </c>
    </row>
    <row r="405" spans="1:3" x14ac:dyDescent="0.4">
      <c r="A405">
        <v>2300</v>
      </c>
      <c r="B405" t="s">
        <v>1749</v>
      </c>
      <c r="C405" t="s">
        <v>1905</v>
      </c>
    </row>
    <row r="406" spans="1:3" x14ac:dyDescent="0.4">
      <c r="A406">
        <v>2301</v>
      </c>
      <c r="B406" t="s">
        <v>1749</v>
      </c>
      <c r="C406" t="s">
        <v>1904</v>
      </c>
    </row>
    <row r="407" spans="1:3" x14ac:dyDescent="0.4">
      <c r="A407">
        <v>2302</v>
      </c>
      <c r="B407" t="s">
        <v>1749</v>
      </c>
      <c r="C407" t="s">
        <v>1903</v>
      </c>
    </row>
    <row r="408" spans="1:3" x14ac:dyDescent="0.4">
      <c r="A408">
        <v>2303</v>
      </c>
      <c r="B408" t="s">
        <v>1749</v>
      </c>
      <c r="C408" t="s">
        <v>1902</v>
      </c>
    </row>
    <row r="409" spans="1:3" x14ac:dyDescent="0.4">
      <c r="A409">
        <v>2304</v>
      </c>
      <c r="B409" t="s">
        <v>1749</v>
      </c>
      <c r="C409" t="s">
        <v>1901</v>
      </c>
    </row>
    <row r="410" spans="1:3" x14ac:dyDescent="0.4">
      <c r="A410">
        <v>2305</v>
      </c>
      <c r="B410" t="s">
        <v>1749</v>
      </c>
      <c r="C410" t="s">
        <v>1900</v>
      </c>
    </row>
    <row r="411" spans="1:3" x14ac:dyDescent="0.4">
      <c r="A411">
        <v>2306</v>
      </c>
      <c r="B411" t="s">
        <v>1749</v>
      </c>
      <c r="C411" t="s">
        <v>1899</v>
      </c>
    </row>
    <row r="412" spans="1:3" x14ac:dyDescent="0.4">
      <c r="A412">
        <v>2307</v>
      </c>
      <c r="B412" t="s">
        <v>1749</v>
      </c>
      <c r="C412" t="s">
        <v>1898</v>
      </c>
    </row>
    <row r="413" spans="1:3" x14ac:dyDescent="0.4">
      <c r="A413">
        <v>2308</v>
      </c>
      <c r="B413" t="s">
        <v>1749</v>
      </c>
      <c r="C413" t="s">
        <v>1897</v>
      </c>
    </row>
    <row r="414" spans="1:3" x14ac:dyDescent="0.4">
      <c r="A414">
        <v>2309</v>
      </c>
      <c r="B414" t="s">
        <v>1749</v>
      </c>
      <c r="C414" t="s">
        <v>1896</v>
      </c>
    </row>
    <row r="415" spans="1:3" x14ac:dyDescent="0.4">
      <c r="A415">
        <v>2312</v>
      </c>
      <c r="B415" t="s">
        <v>1749</v>
      </c>
      <c r="C415" t="s">
        <v>1895</v>
      </c>
    </row>
    <row r="416" spans="1:3" x14ac:dyDescent="0.4">
      <c r="A416">
        <v>2313</v>
      </c>
      <c r="B416" t="s">
        <v>1749</v>
      </c>
      <c r="C416" t="s">
        <v>1894</v>
      </c>
    </row>
    <row r="417" spans="1:3" x14ac:dyDescent="0.4">
      <c r="A417">
        <v>2316</v>
      </c>
      <c r="B417" t="s">
        <v>1749</v>
      </c>
      <c r="C417" t="s">
        <v>1893</v>
      </c>
    </row>
    <row r="418" spans="1:3" x14ac:dyDescent="0.4">
      <c r="A418">
        <v>2317</v>
      </c>
      <c r="B418" t="s">
        <v>1749</v>
      </c>
      <c r="C418" t="s">
        <v>1892</v>
      </c>
    </row>
    <row r="419" spans="1:3" x14ac:dyDescent="0.4">
      <c r="A419">
        <v>2320</v>
      </c>
      <c r="B419" t="s">
        <v>1749</v>
      </c>
      <c r="C419" t="s">
        <v>1891</v>
      </c>
    </row>
    <row r="420" spans="1:3" x14ac:dyDescent="0.4">
      <c r="A420">
        <v>2321</v>
      </c>
      <c r="B420" t="s">
        <v>1749</v>
      </c>
      <c r="C420" t="s">
        <v>1890</v>
      </c>
    </row>
    <row r="421" spans="1:3" x14ac:dyDescent="0.4">
      <c r="A421">
        <v>2322</v>
      </c>
      <c r="B421" t="s">
        <v>1749</v>
      </c>
      <c r="C421" t="s">
        <v>1889</v>
      </c>
    </row>
    <row r="422" spans="1:3" x14ac:dyDescent="0.4">
      <c r="A422">
        <v>2323</v>
      </c>
      <c r="B422" t="s">
        <v>1749</v>
      </c>
      <c r="C422" t="s">
        <v>1888</v>
      </c>
    </row>
    <row r="423" spans="1:3" x14ac:dyDescent="0.4">
      <c r="A423">
        <v>2324</v>
      </c>
      <c r="B423" t="s">
        <v>1749</v>
      </c>
      <c r="C423" t="s">
        <v>1887</v>
      </c>
    </row>
    <row r="424" spans="1:3" x14ac:dyDescent="0.4">
      <c r="A424">
        <v>2325</v>
      </c>
      <c r="B424" t="s">
        <v>1749</v>
      </c>
      <c r="C424" t="s">
        <v>1886</v>
      </c>
    </row>
    <row r="425" spans="1:3" x14ac:dyDescent="0.4">
      <c r="A425">
        <v>2328</v>
      </c>
      <c r="B425" t="s">
        <v>1749</v>
      </c>
      <c r="C425" t="s">
        <v>1885</v>
      </c>
    </row>
    <row r="426" spans="1:3" x14ac:dyDescent="0.4">
      <c r="A426">
        <v>2329</v>
      </c>
      <c r="B426" t="s">
        <v>1749</v>
      </c>
      <c r="C426" t="s">
        <v>1884</v>
      </c>
    </row>
    <row r="427" spans="1:3" x14ac:dyDescent="0.4">
      <c r="A427">
        <v>2332</v>
      </c>
      <c r="B427" t="s">
        <v>1749</v>
      </c>
      <c r="C427" t="s">
        <v>1883</v>
      </c>
    </row>
    <row r="428" spans="1:3" x14ac:dyDescent="0.4">
      <c r="A428">
        <v>2333</v>
      </c>
      <c r="B428" t="s">
        <v>1749</v>
      </c>
      <c r="C428" t="s">
        <v>1882</v>
      </c>
    </row>
    <row r="429" spans="1:3" x14ac:dyDescent="0.4">
      <c r="A429">
        <v>2334</v>
      </c>
      <c r="B429" t="s">
        <v>1749</v>
      </c>
      <c r="C429" t="s">
        <v>1881</v>
      </c>
    </row>
    <row r="430" spans="1:3" x14ac:dyDescent="0.4">
      <c r="A430">
        <v>2336</v>
      </c>
      <c r="B430" t="s">
        <v>1749</v>
      </c>
      <c r="C430" t="s">
        <v>1880</v>
      </c>
    </row>
    <row r="431" spans="1:3" x14ac:dyDescent="0.4">
      <c r="A431">
        <v>2339</v>
      </c>
      <c r="B431" t="s">
        <v>1749</v>
      </c>
      <c r="C431" t="s">
        <v>1879</v>
      </c>
    </row>
    <row r="432" spans="1:3" x14ac:dyDescent="0.4">
      <c r="A432">
        <v>2340</v>
      </c>
      <c r="B432" t="s">
        <v>1749</v>
      </c>
      <c r="C432" t="s">
        <v>1878</v>
      </c>
    </row>
    <row r="433" spans="1:3" x14ac:dyDescent="0.4">
      <c r="A433">
        <v>2341</v>
      </c>
      <c r="B433" t="s">
        <v>1749</v>
      </c>
      <c r="C433" t="s">
        <v>1877</v>
      </c>
    </row>
    <row r="434" spans="1:3" x14ac:dyDescent="0.4">
      <c r="A434">
        <v>2343</v>
      </c>
      <c r="B434" t="s">
        <v>1749</v>
      </c>
      <c r="C434" t="s">
        <v>1876</v>
      </c>
    </row>
    <row r="435" spans="1:3" x14ac:dyDescent="0.4">
      <c r="A435">
        <v>2344</v>
      </c>
      <c r="B435" t="s">
        <v>1749</v>
      </c>
      <c r="C435" t="s">
        <v>1875</v>
      </c>
    </row>
    <row r="436" spans="1:3" x14ac:dyDescent="0.4">
      <c r="A436">
        <v>2345</v>
      </c>
      <c r="B436" t="s">
        <v>1749</v>
      </c>
      <c r="C436" t="s">
        <v>1874</v>
      </c>
    </row>
    <row r="437" spans="1:3" x14ac:dyDescent="0.4">
      <c r="A437">
        <v>2347</v>
      </c>
      <c r="B437" t="s">
        <v>1749</v>
      </c>
      <c r="C437" t="s">
        <v>1873</v>
      </c>
    </row>
    <row r="438" spans="1:3" x14ac:dyDescent="0.4">
      <c r="A438">
        <v>2348</v>
      </c>
      <c r="B438" t="s">
        <v>1749</v>
      </c>
      <c r="C438" t="s">
        <v>1872</v>
      </c>
    </row>
    <row r="439" spans="1:3" x14ac:dyDescent="0.4">
      <c r="A439">
        <v>2349</v>
      </c>
      <c r="B439" t="s">
        <v>1749</v>
      </c>
      <c r="C439" t="s">
        <v>1871</v>
      </c>
    </row>
    <row r="440" spans="1:3" x14ac:dyDescent="0.4">
      <c r="A440">
        <v>2350</v>
      </c>
      <c r="B440" t="s">
        <v>1749</v>
      </c>
      <c r="C440" t="s">
        <v>1870</v>
      </c>
    </row>
    <row r="441" spans="1:3" x14ac:dyDescent="0.4">
      <c r="A441">
        <v>2351</v>
      </c>
      <c r="B441" t="s">
        <v>1749</v>
      </c>
      <c r="C441" t="s">
        <v>1869</v>
      </c>
    </row>
    <row r="442" spans="1:3" x14ac:dyDescent="0.4">
      <c r="A442">
        <v>2352</v>
      </c>
      <c r="B442" t="s">
        <v>1749</v>
      </c>
      <c r="C442" t="s">
        <v>1868</v>
      </c>
    </row>
    <row r="443" spans="1:3" x14ac:dyDescent="0.4">
      <c r="A443">
        <v>2353</v>
      </c>
      <c r="B443" t="s">
        <v>1749</v>
      </c>
      <c r="C443" t="s">
        <v>1867</v>
      </c>
    </row>
    <row r="444" spans="1:3" x14ac:dyDescent="0.4">
      <c r="A444">
        <v>2354</v>
      </c>
      <c r="B444" t="s">
        <v>1749</v>
      </c>
      <c r="C444" t="s">
        <v>1866</v>
      </c>
    </row>
    <row r="445" spans="1:3" x14ac:dyDescent="0.4">
      <c r="A445">
        <v>2355</v>
      </c>
      <c r="B445" t="s">
        <v>1749</v>
      </c>
      <c r="C445" t="s">
        <v>1865</v>
      </c>
    </row>
    <row r="446" spans="1:3" x14ac:dyDescent="0.4">
      <c r="A446">
        <v>2356</v>
      </c>
      <c r="B446" t="s">
        <v>1749</v>
      </c>
      <c r="C446" t="s">
        <v>1864</v>
      </c>
    </row>
    <row r="447" spans="1:3" x14ac:dyDescent="0.4">
      <c r="A447">
        <v>2357</v>
      </c>
      <c r="B447" t="s">
        <v>1749</v>
      </c>
      <c r="C447" t="s">
        <v>1863</v>
      </c>
    </row>
    <row r="448" spans="1:3" x14ac:dyDescent="0.4">
      <c r="A448">
        <v>2360</v>
      </c>
      <c r="B448" t="s">
        <v>1749</v>
      </c>
      <c r="C448" t="s">
        <v>1862</v>
      </c>
    </row>
    <row r="449" spans="1:3" x14ac:dyDescent="0.4">
      <c r="A449">
        <v>2361</v>
      </c>
      <c r="B449" t="s">
        <v>1749</v>
      </c>
      <c r="C449" t="s">
        <v>1861</v>
      </c>
    </row>
    <row r="450" spans="1:3" x14ac:dyDescent="0.4">
      <c r="A450">
        <v>2364</v>
      </c>
      <c r="B450" t="s">
        <v>1749</v>
      </c>
      <c r="C450" t="s">
        <v>1860</v>
      </c>
    </row>
    <row r="451" spans="1:3" x14ac:dyDescent="0.4">
      <c r="A451">
        <v>2365</v>
      </c>
      <c r="B451" t="s">
        <v>1749</v>
      </c>
      <c r="C451" t="s">
        <v>1859</v>
      </c>
    </row>
    <row r="452" spans="1:3" x14ac:dyDescent="0.4">
      <c r="A452">
        <v>2368</v>
      </c>
      <c r="B452" t="s">
        <v>1749</v>
      </c>
      <c r="C452" t="s">
        <v>1858</v>
      </c>
    </row>
    <row r="453" spans="1:3" x14ac:dyDescent="0.4">
      <c r="A453">
        <v>2369</v>
      </c>
      <c r="B453" t="s">
        <v>1749</v>
      </c>
      <c r="C453" t="s">
        <v>1857</v>
      </c>
    </row>
    <row r="454" spans="1:3" x14ac:dyDescent="0.4">
      <c r="A454">
        <v>2370</v>
      </c>
      <c r="B454" t="s">
        <v>1749</v>
      </c>
      <c r="C454" t="s">
        <v>1856</v>
      </c>
    </row>
    <row r="455" spans="1:3" x14ac:dyDescent="0.4">
      <c r="A455">
        <v>2371</v>
      </c>
      <c r="B455" t="s">
        <v>1749</v>
      </c>
      <c r="C455" t="s">
        <v>1855</v>
      </c>
    </row>
    <row r="456" spans="1:3" x14ac:dyDescent="0.4">
      <c r="A456">
        <v>2372</v>
      </c>
      <c r="B456" t="s">
        <v>1749</v>
      </c>
      <c r="C456" t="s">
        <v>1854</v>
      </c>
    </row>
    <row r="457" spans="1:3" x14ac:dyDescent="0.4">
      <c r="A457">
        <v>2373</v>
      </c>
      <c r="B457" t="s">
        <v>1749</v>
      </c>
      <c r="C457" t="s">
        <v>1853</v>
      </c>
    </row>
    <row r="458" spans="1:3" x14ac:dyDescent="0.4">
      <c r="A458">
        <v>2376</v>
      </c>
      <c r="B458" t="s">
        <v>1749</v>
      </c>
      <c r="C458" t="s">
        <v>1852</v>
      </c>
    </row>
    <row r="459" spans="1:3" x14ac:dyDescent="0.4">
      <c r="A459">
        <v>2377</v>
      </c>
      <c r="B459" t="s">
        <v>1749</v>
      </c>
      <c r="C459" t="s">
        <v>1851</v>
      </c>
    </row>
    <row r="460" spans="1:3" x14ac:dyDescent="0.4">
      <c r="A460">
        <v>2380</v>
      </c>
      <c r="B460" t="s">
        <v>1749</v>
      </c>
      <c r="C460" t="s">
        <v>1850</v>
      </c>
    </row>
    <row r="461" spans="1:3" x14ac:dyDescent="0.4">
      <c r="A461">
        <v>2381</v>
      </c>
      <c r="B461" t="s">
        <v>1749</v>
      </c>
      <c r="C461" t="s">
        <v>1849</v>
      </c>
    </row>
    <row r="462" spans="1:3" x14ac:dyDescent="0.4">
      <c r="A462">
        <v>2382</v>
      </c>
      <c r="B462" t="s">
        <v>1749</v>
      </c>
      <c r="C462" t="s">
        <v>1848</v>
      </c>
    </row>
    <row r="463" spans="1:3" x14ac:dyDescent="0.4">
      <c r="A463">
        <v>4000</v>
      </c>
      <c r="B463" t="s">
        <v>1749</v>
      </c>
      <c r="C463" t="s">
        <v>1847</v>
      </c>
    </row>
    <row r="464" spans="1:3" x14ac:dyDescent="0.4">
      <c r="A464">
        <v>4001</v>
      </c>
      <c r="B464" t="s">
        <v>1749</v>
      </c>
      <c r="C464" t="s">
        <v>1846</v>
      </c>
    </row>
    <row r="465" spans="1:3" x14ac:dyDescent="0.4">
      <c r="A465">
        <v>4002</v>
      </c>
      <c r="B465" t="s">
        <v>1749</v>
      </c>
      <c r="C465" t="s">
        <v>1845</v>
      </c>
    </row>
    <row r="466" spans="1:3" x14ac:dyDescent="0.4">
      <c r="A466">
        <v>4003</v>
      </c>
      <c r="B466" t="s">
        <v>1749</v>
      </c>
      <c r="C466" t="s">
        <v>1844</v>
      </c>
    </row>
    <row r="467" spans="1:3" x14ac:dyDescent="0.4">
      <c r="A467">
        <v>4004</v>
      </c>
      <c r="B467" t="s">
        <v>1749</v>
      </c>
      <c r="C467" t="s">
        <v>1843</v>
      </c>
    </row>
    <row r="468" spans="1:3" x14ac:dyDescent="0.4">
      <c r="A468">
        <v>4005</v>
      </c>
      <c r="B468" t="s">
        <v>1749</v>
      </c>
      <c r="C468" t="s">
        <v>1842</v>
      </c>
    </row>
    <row r="469" spans="1:3" x14ac:dyDescent="0.4">
      <c r="A469">
        <v>4006</v>
      </c>
      <c r="B469" t="s">
        <v>1749</v>
      </c>
      <c r="C469" t="s">
        <v>1841</v>
      </c>
    </row>
    <row r="470" spans="1:3" x14ac:dyDescent="0.4">
      <c r="A470">
        <v>4007</v>
      </c>
      <c r="B470" t="s">
        <v>1749</v>
      </c>
      <c r="C470" t="s">
        <v>1840</v>
      </c>
    </row>
    <row r="471" spans="1:3" x14ac:dyDescent="0.4">
      <c r="A471">
        <v>4008</v>
      </c>
      <c r="B471" t="s">
        <v>1749</v>
      </c>
      <c r="C471" t="s">
        <v>1839</v>
      </c>
    </row>
    <row r="472" spans="1:3" x14ac:dyDescent="0.4">
      <c r="A472">
        <v>4009</v>
      </c>
      <c r="B472" t="s">
        <v>1749</v>
      </c>
      <c r="C472" t="s">
        <v>1838</v>
      </c>
    </row>
    <row r="473" spans="1:3" x14ac:dyDescent="0.4">
      <c r="A473">
        <v>4010</v>
      </c>
      <c r="B473" t="s">
        <v>1749</v>
      </c>
      <c r="C473" t="s">
        <v>1837</v>
      </c>
    </row>
    <row r="474" spans="1:3" x14ac:dyDescent="0.4">
      <c r="A474">
        <v>4011</v>
      </c>
      <c r="B474" t="s">
        <v>1749</v>
      </c>
      <c r="C474" t="s">
        <v>1836</v>
      </c>
    </row>
    <row r="475" spans="1:3" x14ac:dyDescent="0.4">
      <c r="A475">
        <v>4012</v>
      </c>
      <c r="B475" t="s">
        <v>1749</v>
      </c>
      <c r="C475" t="s">
        <v>1835</v>
      </c>
    </row>
    <row r="476" spans="1:3" x14ac:dyDescent="0.4">
      <c r="A476">
        <v>4013</v>
      </c>
      <c r="B476" t="s">
        <v>1749</v>
      </c>
      <c r="C476" t="s">
        <v>1834</v>
      </c>
    </row>
    <row r="477" spans="1:3" x14ac:dyDescent="0.4">
      <c r="A477">
        <v>4014</v>
      </c>
      <c r="B477" t="s">
        <v>1749</v>
      </c>
      <c r="C477" t="s">
        <v>1833</v>
      </c>
    </row>
    <row r="478" spans="1:3" x14ac:dyDescent="0.4">
      <c r="A478">
        <v>4015</v>
      </c>
      <c r="B478" t="s">
        <v>1749</v>
      </c>
      <c r="C478" t="s">
        <v>1832</v>
      </c>
    </row>
    <row r="479" spans="1:3" x14ac:dyDescent="0.4">
      <c r="A479">
        <v>4016</v>
      </c>
      <c r="B479" t="s">
        <v>1749</v>
      </c>
      <c r="C479" t="s">
        <v>1831</v>
      </c>
    </row>
    <row r="480" spans="1:3" x14ac:dyDescent="0.4">
      <c r="A480">
        <v>4017</v>
      </c>
      <c r="B480" t="s">
        <v>1749</v>
      </c>
      <c r="C480" t="s">
        <v>1830</v>
      </c>
    </row>
    <row r="481" spans="1:3" x14ac:dyDescent="0.4">
      <c r="A481">
        <v>4018</v>
      </c>
      <c r="B481" t="s">
        <v>1749</v>
      </c>
      <c r="C481" t="s">
        <v>1829</v>
      </c>
    </row>
    <row r="482" spans="1:3" x14ac:dyDescent="0.4">
      <c r="A482">
        <v>4019</v>
      </c>
      <c r="B482" t="s">
        <v>1749</v>
      </c>
      <c r="C482" t="s">
        <v>1828</v>
      </c>
    </row>
    <row r="483" spans="1:3" x14ac:dyDescent="0.4">
      <c r="A483">
        <v>4020</v>
      </c>
      <c r="B483" t="s">
        <v>1749</v>
      </c>
      <c r="C483" t="s">
        <v>1827</v>
      </c>
    </row>
    <row r="484" spans="1:3" x14ac:dyDescent="0.4">
      <c r="A484">
        <v>4021</v>
      </c>
      <c r="B484" t="s">
        <v>1749</v>
      </c>
      <c r="C484" t="s">
        <v>1826</v>
      </c>
    </row>
    <row r="485" spans="1:3" x14ac:dyDescent="0.4">
      <c r="A485">
        <v>4022</v>
      </c>
      <c r="B485" t="s">
        <v>1749</v>
      </c>
      <c r="C485" t="s">
        <v>1825</v>
      </c>
    </row>
    <row r="486" spans="1:3" x14ac:dyDescent="0.4">
      <c r="A486">
        <v>4023</v>
      </c>
      <c r="B486" t="s">
        <v>1749</v>
      </c>
      <c r="C486" t="s">
        <v>1824</v>
      </c>
    </row>
    <row r="487" spans="1:3" x14ac:dyDescent="0.4">
      <c r="A487">
        <v>4024</v>
      </c>
      <c r="B487" t="s">
        <v>1749</v>
      </c>
      <c r="C487" t="s">
        <v>1823</v>
      </c>
    </row>
    <row r="488" spans="1:3" x14ac:dyDescent="0.4">
      <c r="A488">
        <v>4025</v>
      </c>
      <c r="B488" t="s">
        <v>1749</v>
      </c>
      <c r="C488" t="s">
        <v>1822</v>
      </c>
    </row>
    <row r="489" spans="1:3" x14ac:dyDescent="0.4">
      <c r="A489">
        <v>4026</v>
      </c>
      <c r="B489" t="s">
        <v>1749</v>
      </c>
      <c r="C489" t="s">
        <v>1821</v>
      </c>
    </row>
    <row r="490" spans="1:3" x14ac:dyDescent="0.4">
      <c r="A490">
        <v>4027</v>
      </c>
      <c r="B490" t="s">
        <v>1749</v>
      </c>
      <c r="C490" t="s">
        <v>1820</v>
      </c>
    </row>
    <row r="491" spans="1:3" x14ac:dyDescent="0.4">
      <c r="A491">
        <v>4028</v>
      </c>
      <c r="B491" t="s">
        <v>1749</v>
      </c>
      <c r="C491" t="s">
        <v>1819</v>
      </c>
    </row>
    <row r="492" spans="1:3" x14ac:dyDescent="0.4">
      <c r="A492">
        <v>4029</v>
      </c>
      <c r="B492" t="s">
        <v>1749</v>
      </c>
      <c r="C492" t="s">
        <v>1818</v>
      </c>
    </row>
    <row r="493" spans="1:3" x14ac:dyDescent="0.4">
      <c r="A493">
        <v>4030</v>
      </c>
      <c r="B493" t="s">
        <v>1749</v>
      </c>
      <c r="C493" t="s">
        <v>1817</v>
      </c>
    </row>
    <row r="494" spans="1:3" x14ac:dyDescent="0.4">
      <c r="A494">
        <v>4031</v>
      </c>
      <c r="B494" t="s">
        <v>1749</v>
      </c>
      <c r="C494" t="s">
        <v>1816</v>
      </c>
    </row>
    <row r="495" spans="1:3" x14ac:dyDescent="0.4">
      <c r="A495">
        <v>4032</v>
      </c>
      <c r="B495" t="s">
        <v>1749</v>
      </c>
      <c r="C495" t="s">
        <v>1815</v>
      </c>
    </row>
    <row r="496" spans="1:3" x14ac:dyDescent="0.4">
      <c r="A496">
        <v>4033</v>
      </c>
      <c r="B496" t="s">
        <v>1749</v>
      </c>
      <c r="C496" t="s">
        <v>1814</v>
      </c>
    </row>
    <row r="497" spans="1:3" x14ac:dyDescent="0.4">
      <c r="A497">
        <v>4034</v>
      </c>
      <c r="B497" t="s">
        <v>1749</v>
      </c>
      <c r="C497" t="s">
        <v>1813</v>
      </c>
    </row>
    <row r="498" spans="1:3" x14ac:dyDescent="0.4">
      <c r="A498">
        <v>4035</v>
      </c>
      <c r="B498" t="s">
        <v>1749</v>
      </c>
      <c r="C498" t="s">
        <v>1812</v>
      </c>
    </row>
    <row r="499" spans="1:3" x14ac:dyDescent="0.4">
      <c r="A499">
        <v>4036</v>
      </c>
      <c r="B499" t="s">
        <v>1749</v>
      </c>
      <c r="C499" t="s">
        <v>1811</v>
      </c>
    </row>
    <row r="500" spans="1:3" x14ac:dyDescent="0.4">
      <c r="A500">
        <v>4037</v>
      </c>
      <c r="B500" t="s">
        <v>1749</v>
      </c>
      <c r="C500" t="s">
        <v>1810</v>
      </c>
    </row>
    <row r="501" spans="1:3" x14ac:dyDescent="0.4">
      <c r="A501">
        <v>4038</v>
      </c>
      <c r="B501" t="s">
        <v>1749</v>
      </c>
      <c r="C501" t="s">
        <v>1809</v>
      </c>
    </row>
    <row r="502" spans="1:3" x14ac:dyDescent="0.4">
      <c r="A502">
        <v>4039</v>
      </c>
      <c r="B502" t="s">
        <v>1749</v>
      </c>
      <c r="C502" t="s">
        <v>1808</v>
      </c>
    </row>
    <row r="503" spans="1:3" x14ac:dyDescent="0.4">
      <c r="A503">
        <v>4040</v>
      </c>
      <c r="B503" t="s">
        <v>1749</v>
      </c>
      <c r="C503" t="s">
        <v>1807</v>
      </c>
    </row>
    <row r="504" spans="1:3" x14ac:dyDescent="0.4">
      <c r="A504">
        <v>4041</v>
      </c>
      <c r="B504" t="s">
        <v>1749</v>
      </c>
      <c r="C504" t="s">
        <v>1806</v>
      </c>
    </row>
    <row r="505" spans="1:3" x14ac:dyDescent="0.4">
      <c r="A505">
        <v>4042</v>
      </c>
      <c r="B505" t="s">
        <v>1749</v>
      </c>
      <c r="C505" t="s">
        <v>1805</v>
      </c>
    </row>
    <row r="506" spans="1:3" x14ac:dyDescent="0.4">
      <c r="A506">
        <v>4043</v>
      </c>
      <c r="B506" t="s">
        <v>1749</v>
      </c>
      <c r="C506" t="s">
        <v>1804</v>
      </c>
    </row>
    <row r="507" spans="1:3" x14ac:dyDescent="0.4">
      <c r="A507">
        <v>4044</v>
      </c>
      <c r="B507" t="s">
        <v>1749</v>
      </c>
      <c r="C507" t="s">
        <v>1803</v>
      </c>
    </row>
    <row r="508" spans="1:3" x14ac:dyDescent="0.4">
      <c r="A508">
        <v>4045</v>
      </c>
      <c r="B508" t="s">
        <v>1749</v>
      </c>
      <c r="C508" t="s">
        <v>1802</v>
      </c>
    </row>
    <row r="509" spans="1:3" x14ac:dyDescent="0.4">
      <c r="A509">
        <v>4046</v>
      </c>
      <c r="B509" t="s">
        <v>1749</v>
      </c>
      <c r="C509" t="s">
        <v>1801</v>
      </c>
    </row>
    <row r="510" spans="1:3" x14ac:dyDescent="0.4">
      <c r="A510">
        <v>5000</v>
      </c>
      <c r="B510" t="s">
        <v>1749</v>
      </c>
      <c r="C510" t="s">
        <v>1800</v>
      </c>
    </row>
    <row r="511" spans="1:3" x14ac:dyDescent="0.4">
      <c r="A511">
        <v>5001</v>
      </c>
      <c r="B511" t="s">
        <v>1749</v>
      </c>
      <c r="C511" t="s">
        <v>1799</v>
      </c>
    </row>
    <row r="512" spans="1:3" x14ac:dyDescent="0.4">
      <c r="A512">
        <v>5002</v>
      </c>
      <c r="B512" t="s">
        <v>1749</v>
      </c>
      <c r="C512" t="s">
        <v>1798</v>
      </c>
    </row>
    <row r="513" spans="1:3" x14ac:dyDescent="0.4">
      <c r="A513">
        <v>5003</v>
      </c>
      <c r="B513" t="s">
        <v>1749</v>
      </c>
      <c r="C513" t="s">
        <v>1797</v>
      </c>
    </row>
    <row r="514" spans="1:3" x14ac:dyDescent="0.4">
      <c r="A514">
        <v>5004</v>
      </c>
      <c r="B514" t="s">
        <v>1749</v>
      </c>
      <c r="C514" t="s">
        <v>1796</v>
      </c>
    </row>
    <row r="515" spans="1:3" x14ac:dyDescent="0.4">
      <c r="A515">
        <v>5005</v>
      </c>
      <c r="B515" t="s">
        <v>1749</v>
      </c>
      <c r="C515" t="s">
        <v>1795</v>
      </c>
    </row>
    <row r="516" spans="1:3" x14ac:dyDescent="0.4">
      <c r="A516">
        <v>5006</v>
      </c>
      <c r="B516" t="s">
        <v>1749</v>
      </c>
      <c r="C516" t="s">
        <v>1794</v>
      </c>
    </row>
    <row r="517" spans="1:3" x14ac:dyDescent="0.4">
      <c r="A517">
        <v>5007</v>
      </c>
      <c r="B517" t="s">
        <v>1749</v>
      </c>
      <c r="C517" t="s">
        <v>1793</v>
      </c>
    </row>
    <row r="518" spans="1:3" x14ac:dyDescent="0.4">
      <c r="A518">
        <v>5008</v>
      </c>
      <c r="B518" t="s">
        <v>1749</v>
      </c>
      <c r="C518" t="s">
        <v>1792</v>
      </c>
    </row>
    <row r="519" spans="1:3" x14ac:dyDescent="0.4">
      <c r="A519">
        <v>5009</v>
      </c>
      <c r="B519" t="s">
        <v>1749</v>
      </c>
      <c r="C519" t="s">
        <v>1791</v>
      </c>
    </row>
    <row r="520" spans="1:3" x14ac:dyDescent="0.4">
      <c r="A520">
        <v>5010</v>
      </c>
      <c r="B520" t="s">
        <v>1749</v>
      </c>
      <c r="C520" t="s">
        <v>1790</v>
      </c>
    </row>
    <row r="521" spans="1:3" x14ac:dyDescent="0.4">
      <c r="A521">
        <v>5011</v>
      </c>
      <c r="B521" t="s">
        <v>1749</v>
      </c>
      <c r="C521" t="s">
        <v>1789</v>
      </c>
    </row>
    <row r="522" spans="1:3" x14ac:dyDescent="0.4">
      <c r="A522">
        <v>5012</v>
      </c>
      <c r="B522" t="s">
        <v>1749</v>
      </c>
      <c r="C522" t="s">
        <v>1788</v>
      </c>
    </row>
    <row r="523" spans="1:3" x14ac:dyDescent="0.4">
      <c r="A523">
        <v>5013</v>
      </c>
      <c r="B523" t="s">
        <v>1749</v>
      </c>
      <c r="C523" t="s">
        <v>1787</v>
      </c>
    </row>
    <row r="524" spans="1:3" x14ac:dyDescent="0.4">
      <c r="A524">
        <v>5014</v>
      </c>
      <c r="B524" t="s">
        <v>1749</v>
      </c>
      <c r="C524" t="s">
        <v>1786</v>
      </c>
    </row>
    <row r="525" spans="1:3" x14ac:dyDescent="0.4">
      <c r="A525">
        <v>5015</v>
      </c>
      <c r="B525" t="s">
        <v>1749</v>
      </c>
      <c r="C525" t="s">
        <v>1785</v>
      </c>
    </row>
    <row r="526" spans="1:3" x14ac:dyDescent="0.4">
      <c r="A526">
        <v>5016</v>
      </c>
      <c r="B526" t="s">
        <v>1749</v>
      </c>
      <c r="C526" t="s">
        <v>1784</v>
      </c>
    </row>
    <row r="527" spans="1:3" x14ac:dyDescent="0.4">
      <c r="A527">
        <v>5017</v>
      </c>
      <c r="B527" t="s">
        <v>1749</v>
      </c>
      <c r="C527" t="s">
        <v>1783</v>
      </c>
    </row>
    <row r="528" spans="1:3" x14ac:dyDescent="0.4">
      <c r="A528">
        <v>5018</v>
      </c>
      <c r="B528" t="s">
        <v>1749</v>
      </c>
      <c r="C528" t="s">
        <v>1782</v>
      </c>
    </row>
    <row r="529" spans="1:3" x14ac:dyDescent="0.4">
      <c r="A529">
        <v>5019</v>
      </c>
      <c r="B529" t="s">
        <v>1749</v>
      </c>
      <c r="C529" t="s">
        <v>1781</v>
      </c>
    </row>
    <row r="530" spans="1:3" x14ac:dyDescent="0.4">
      <c r="A530">
        <v>5020</v>
      </c>
      <c r="B530" t="s">
        <v>1749</v>
      </c>
      <c r="C530" t="s">
        <v>1780</v>
      </c>
    </row>
    <row r="531" spans="1:3" x14ac:dyDescent="0.4">
      <c r="A531">
        <v>5021</v>
      </c>
      <c r="B531" t="s">
        <v>1749</v>
      </c>
      <c r="C531" t="s">
        <v>1779</v>
      </c>
    </row>
    <row r="532" spans="1:3" x14ac:dyDescent="0.4">
      <c r="A532">
        <v>5022</v>
      </c>
      <c r="B532" t="s">
        <v>1749</v>
      </c>
      <c r="C532" t="s">
        <v>1778</v>
      </c>
    </row>
    <row r="533" spans="1:3" x14ac:dyDescent="0.4">
      <c r="A533">
        <v>5023</v>
      </c>
      <c r="B533" t="s">
        <v>1749</v>
      </c>
      <c r="C533" t="s">
        <v>1777</v>
      </c>
    </row>
    <row r="534" spans="1:3" x14ac:dyDescent="0.4">
      <c r="A534">
        <v>5024</v>
      </c>
      <c r="B534" t="s">
        <v>1749</v>
      </c>
      <c r="C534" t="s">
        <v>1776</v>
      </c>
    </row>
    <row r="535" spans="1:3" x14ac:dyDescent="0.4">
      <c r="A535">
        <v>5025</v>
      </c>
      <c r="B535" t="s">
        <v>1749</v>
      </c>
      <c r="C535" t="s">
        <v>1775</v>
      </c>
    </row>
    <row r="536" spans="1:3" x14ac:dyDescent="0.4">
      <c r="A536">
        <v>5026</v>
      </c>
      <c r="B536" t="s">
        <v>1749</v>
      </c>
      <c r="C536" t="s">
        <v>1774</v>
      </c>
    </row>
    <row r="537" spans="1:3" x14ac:dyDescent="0.4">
      <c r="A537">
        <v>5027</v>
      </c>
      <c r="B537" t="s">
        <v>1749</v>
      </c>
      <c r="C537" t="s">
        <v>1773</v>
      </c>
    </row>
    <row r="538" spans="1:3" x14ac:dyDescent="0.4">
      <c r="A538">
        <v>5028</v>
      </c>
      <c r="B538" t="s">
        <v>1749</v>
      </c>
      <c r="C538" t="s">
        <v>1772</v>
      </c>
    </row>
    <row r="539" spans="1:3" x14ac:dyDescent="0.4">
      <c r="A539">
        <v>5029</v>
      </c>
      <c r="B539" t="s">
        <v>1749</v>
      </c>
      <c r="C539" t="s">
        <v>1771</v>
      </c>
    </row>
    <row r="540" spans="1:3" x14ac:dyDescent="0.4">
      <c r="A540">
        <v>5030</v>
      </c>
      <c r="B540" t="s">
        <v>1749</v>
      </c>
      <c r="C540" t="s">
        <v>1770</v>
      </c>
    </row>
    <row r="541" spans="1:3" x14ac:dyDescent="0.4">
      <c r="A541">
        <v>5031</v>
      </c>
      <c r="B541" t="s">
        <v>1749</v>
      </c>
      <c r="C541" t="s">
        <v>1769</v>
      </c>
    </row>
    <row r="542" spans="1:3" x14ac:dyDescent="0.4">
      <c r="A542">
        <v>5032</v>
      </c>
      <c r="B542" t="s">
        <v>1749</v>
      </c>
      <c r="C542" t="s">
        <v>1768</v>
      </c>
    </row>
    <row r="543" spans="1:3" x14ac:dyDescent="0.4">
      <c r="A543">
        <v>5033</v>
      </c>
      <c r="B543" t="s">
        <v>1749</v>
      </c>
      <c r="C543" t="s">
        <v>1767</v>
      </c>
    </row>
    <row r="544" spans="1:3" x14ac:dyDescent="0.4">
      <c r="A544">
        <v>5034</v>
      </c>
      <c r="B544" t="s">
        <v>1749</v>
      </c>
      <c r="C544" t="s">
        <v>1766</v>
      </c>
    </row>
    <row r="545" spans="1:3" x14ac:dyDescent="0.4">
      <c r="A545">
        <v>5035</v>
      </c>
      <c r="B545" t="s">
        <v>1749</v>
      </c>
      <c r="C545" t="s">
        <v>1765</v>
      </c>
    </row>
    <row r="546" spans="1:3" x14ac:dyDescent="0.4">
      <c r="A546">
        <v>5036</v>
      </c>
      <c r="B546" t="s">
        <v>1749</v>
      </c>
      <c r="C546" t="s">
        <v>1764</v>
      </c>
    </row>
    <row r="547" spans="1:3" x14ac:dyDescent="0.4">
      <c r="A547">
        <v>5037</v>
      </c>
      <c r="B547" t="s">
        <v>1749</v>
      </c>
      <c r="C547" t="s">
        <v>1763</v>
      </c>
    </row>
    <row r="548" spans="1:3" x14ac:dyDescent="0.4">
      <c r="A548">
        <v>5038</v>
      </c>
      <c r="B548" t="s">
        <v>1749</v>
      </c>
      <c r="C548" t="s">
        <v>1762</v>
      </c>
    </row>
    <row r="549" spans="1:3" x14ac:dyDescent="0.4">
      <c r="A549">
        <v>5039</v>
      </c>
      <c r="B549" t="s">
        <v>1749</v>
      </c>
      <c r="C549" t="s">
        <v>1761</v>
      </c>
    </row>
    <row r="550" spans="1:3" x14ac:dyDescent="0.4">
      <c r="A550">
        <v>5040</v>
      </c>
      <c r="B550" t="s">
        <v>1749</v>
      </c>
      <c r="C550" t="s">
        <v>1760</v>
      </c>
    </row>
    <row r="551" spans="1:3" x14ac:dyDescent="0.4">
      <c r="A551">
        <v>5041</v>
      </c>
      <c r="B551" t="s">
        <v>1749</v>
      </c>
      <c r="C551" t="s">
        <v>1759</v>
      </c>
    </row>
    <row r="552" spans="1:3" x14ac:dyDescent="0.4">
      <c r="A552">
        <v>5042</v>
      </c>
      <c r="B552" t="s">
        <v>1749</v>
      </c>
      <c r="C552" t="s">
        <v>1758</v>
      </c>
    </row>
    <row r="553" spans="1:3" x14ac:dyDescent="0.4">
      <c r="A553">
        <v>5043</v>
      </c>
      <c r="B553" t="s">
        <v>1749</v>
      </c>
      <c r="C553" t="s">
        <v>1757</v>
      </c>
    </row>
    <row r="554" spans="1:3" x14ac:dyDescent="0.4">
      <c r="A554">
        <v>5044</v>
      </c>
      <c r="B554" t="s">
        <v>1749</v>
      </c>
      <c r="C554" t="s">
        <v>1756</v>
      </c>
    </row>
    <row r="555" spans="1:3" x14ac:dyDescent="0.4">
      <c r="A555">
        <v>5045</v>
      </c>
      <c r="B555" t="s">
        <v>1749</v>
      </c>
      <c r="C555" t="s">
        <v>1755</v>
      </c>
    </row>
    <row r="556" spans="1:3" x14ac:dyDescent="0.4">
      <c r="A556">
        <v>5046</v>
      </c>
      <c r="B556" t="s">
        <v>1749</v>
      </c>
      <c r="C556" t="s">
        <v>1754</v>
      </c>
    </row>
    <row r="557" spans="1:3" x14ac:dyDescent="0.4">
      <c r="A557">
        <v>8000</v>
      </c>
      <c r="B557" t="s">
        <v>1749</v>
      </c>
      <c r="C557" t="s">
        <v>1753</v>
      </c>
    </row>
    <row r="558" spans="1:3" x14ac:dyDescent="0.4">
      <c r="A558">
        <v>8001</v>
      </c>
      <c r="B558" t="s">
        <v>1749</v>
      </c>
      <c r="C558" t="s">
        <v>1752</v>
      </c>
    </row>
    <row r="559" spans="1:3" x14ac:dyDescent="0.4">
      <c r="A559">
        <v>8002</v>
      </c>
      <c r="B559" t="s">
        <v>1749</v>
      </c>
      <c r="C559" t="s">
        <v>1751</v>
      </c>
    </row>
    <row r="560" spans="1:3" x14ac:dyDescent="0.4">
      <c r="A560">
        <v>8003</v>
      </c>
      <c r="B560" t="s">
        <v>1749</v>
      </c>
      <c r="C560" t="s">
        <v>1750</v>
      </c>
    </row>
    <row r="561" spans="1:3" x14ac:dyDescent="0.4">
      <c r="A561">
        <v>8004</v>
      </c>
      <c r="B561" t="s">
        <v>1749</v>
      </c>
      <c r="C561" t="s">
        <v>1748</v>
      </c>
    </row>
    <row r="562" spans="1:3" x14ac:dyDescent="0.4">
      <c r="A562">
        <v>10384</v>
      </c>
      <c r="B562" t="s">
        <v>1727</v>
      </c>
      <c r="C562" t="s">
        <v>1747</v>
      </c>
    </row>
    <row r="563" spans="1:3" x14ac:dyDescent="0.4">
      <c r="A563">
        <v>10385</v>
      </c>
      <c r="B563" t="s">
        <v>1727</v>
      </c>
      <c r="C563" t="s">
        <v>1746</v>
      </c>
    </row>
    <row r="564" spans="1:3" x14ac:dyDescent="0.4">
      <c r="A564">
        <v>10386</v>
      </c>
      <c r="B564" t="s">
        <v>1727</v>
      </c>
      <c r="C564" t="s">
        <v>1745</v>
      </c>
    </row>
    <row r="565" spans="1:3" x14ac:dyDescent="0.4">
      <c r="A565">
        <v>10388</v>
      </c>
      <c r="B565" t="s">
        <v>1727</v>
      </c>
      <c r="C565" t="s">
        <v>1744</v>
      </c>
    </row>
    <row r="566" spans="1:3" x14ac:dyDescent="0.4">
      <c r="A566">
        <v>10389</v>
      </c>
      <c r="B566" t="s">
        <v>1727</v>
      </c>
      <c r="C566" t="s">
        <v>1743</v>
      </c>
    </row>
    <row r="567" spans="1:3" x14ac:dyDescent="0.4">
      <c r="A567">
        <v>10390</v>
      </c>
      <c r="B567" t="s">
        <v>1727</v>
      </c>
      <c r="C567" t="s">
        <v>1742</v>
      </c>
    </row>
    <row r="568" spans="1:3" x14ac:dyDescent="0.4">
      <c r="A568">
        <v>12384</v>
      </c>
      <c r="B568" t="s">
        <v>1727</v>
      </c>
      <c r="C568" t="s">
        <v>1741</v>
      </c>
    </row>
    <row r="569" spans="1:3" x14ac:dyDescent="0.4">
      <c r="A569">
        <v>12385</v>
      </c>
      <c r="B569" t="s">
        <v>1727</v>
      </c>
      <c r="C569" t="s">
        <v>1740</v>
      </c>
    </row>
    <row r="570" spans="1:3" x14ac:dyDescent="0.4">
      <c r="A570">
        <v>12386</v>
      </c>
      <c r="B570" t="s">
        <v>1727</v>
      </c>
      <c r="C570" t="s">
        <v>1739</v>
      </c>
    </row>
    <row r="571" spans="1:3" x14ac:dyDescent="0.4">
      <c r="A571">
        <v>12388</v>
      </c>
      <c r="B571" t="s">
        <v>1727</v>
      </c>
      <c r="C571" t="s">
        <v>1738</v>
      </c>
    </row>
    <row r="572" spans="1:3" x14ac:dyDescent="0.4">
      <c r="A572">
        <v>12389</v>
      </c>
      <c r="B572" t="s">
        <v>1727</v>
      </c>
      <c r="C572" t="s">
        <v>1737</v>
      </c>
    </row>
    <row r="573" spans="1:3" x14ac:dyDescent="0.4">
      <c r="A573">
        <v>12390</v>
      </c>
      <c r="B573" t="s">
        <v>1727</v>
      </c>
      <c r="C573" t="s">
        <v>1736</v>
      </c>
    </row>
    <row r="574" spans="1:3" x14ac:dyDescent="0.4">
      <c r="A574">
        <v>18000</v>
      </c>
      <c r="B574" t="s">
        <v>1727</v>
      </c>
      <c r="C574" t="s">
        <v>1447</v>
      </c>
    </row>
    <row r="575" spans="1:3" x14ac:dyDescent="0.4">
      <c r="A575">
        <v>18001</v>
      </c>
      <c r="B575" t="s">
        <v>1727</v>
      </c>
      <c r="C575" t="s">
        <v>1735</v>
      </c>
    </row>
    <row r="576" spans="1:3" x14ac:dyDescent="0.4">
      <c r="A576">
        <v>18002</v>
      </c>
      <c r="B576" t="s">
        <v>1727</v>
      </c>
      <c r="C576" t="s">
        <v>1734</v>
      </c>
    </row>
    <row r="577" spans="1:3" x14ac:dyDescent="0.4">
      <c r="A577">
        <v>18003</v>
      </c>
      <c r="B577" t="s">
        <v>1727</v>
      </c>
      <c r="C577" t="s">
        <v>1733</v>
      </c>
    </row>
    <row r="578" spans="1:3" x14ac:dyDescent="0.4">
      <c r="A578">
        <v>18004</v>
      </c>
      <c r="B578" t="s">
        <v>1727</v>
      </c>
      <c r="C578" t="s">
        <v>1732</v>
      </c>
    </row>
    <row r="579" spans="1:3" x14ac:dyDescent="0.4">
      <c r="A579">
        <v>18005</v>
      </c>
      <c r="B579" t="s">
        <v>1727</v>
      </c>
      <c r="C579" t="s">
        <v>1731</v>
      </c>
    </row>
    <row r="580" spans="1:3" x14ac:dyDescent="0.4">
      <c r="A580">
        <v>18006</v>
      </c>
      <c r="B580" t="s">
        <v>1727</v>
      </c>
      <c r="C580" t="s">
        <v>1730</v>
      </c>
    </row>
    <row r="581" spans="1:3" x14ac:dyDescent="0.4">
      <c r="A581">
        <v>18007</v>
      </c>
      <c r="B581" t="s">
        <v>1727</v>
      </c>
      <c r="C581" t="s">
        <v>1729</v>
      </c>
    </row>
    <row r="582" spans="1:3" x14ac:dyDescent="0.4">
      <c r="A582">
        <v>18008</v>
      </c>
      <c r="B582" t="s">
        <v>1727</v>
      </c>
      <c r="C582" t="s">
        <v>1728</v>
      </c>
    </row>
    <row r="583" spans="1:3" x14ac:dyDescent="0.4">
      <c r="A583">
        <v>18009</v>
      </c>
      <c r="B583" t="s">
        <v>1727</v>
      </c>
      <c r="C583" t="s">
        <v>1726</v>
      </c>
    </row>
    <row r="584" spans="1:3" x14ac:dyDescent="0.4">
      <c r="A584">
        <v>20112</v>
      </c>
      <c r="B584" t="s">
        <v>1593</v>
      </c>
      <c r="C584" t="s">
        <v>1725</v>
      </c>
    </row>
    <row r="585" spans="1:3" x14ac:dyDescent="0.4">
      <c r="A585">
        <v>20113</v>
      </c>
      <c r="B585" t="s">
        <v>1593</v>
      </c>
      <c r="C585" t="s">
        <v>1724</v>
      </c>
    </row>
    <row r="586" spans="1:3" x14ac:dyDescent="0.4">
      <c r="A586">
        <v>20114</v>
      </c>
      <c r="B586" t="s">
        <v>1593</v>
      </c>
      <c r="C586" t="s">
        <v>1723</v>
      </c>
    </row>
    <row r="587" spans="1:3" x14ac:dyDescent="0.4">
      <c r="A587">
        <v>20115</v>
      </c>
      <c r="B587" t="s">
        <v>1593</v>
      </c>
      <c r="C587" t="s">
        <v>1722</v>
      </c>
    </row>
    <row r="588" spans="1:3" x14ac:dyDescent="0.4">
      <c r="A588">
        <v>20116</v>
      </c>
      <c r="B588" t="s">
        <v>1593</v>
      </c>
      <c r="C588" t="s">
        <v>1721</v>
      </c>
    </row>
    <row r="589" spans="1:3" x14ac:dyDescent="0.4">
      <c r="A589">
        <v>20117</v>
      </c>
      <c r="B589" t="s">
        <v>1593</v>
      </c>
      <c r="C589" t="s">
        <v>1720</v>
      </c>
    </row>
    <row r="590" spans="1:3" x14ac:dyDescent="0.4">
      <c r="A590">
        <v>20118</v>
      </c>
      <c r="B590" t="s">
        <v>1593</v>
      </c>
      <c r="C590" t="s">
        <v>1719</v>
      </c>
    </row>
    <row r="591" spans="1:3" x14ac:dyDescent="0.4">
      <c r="A591">
        <v>20119</v>
      </c>
      <c r="B591" t="s">
        <v>1593</v>
      </c>
      <c r="C591" t="s">
        <v>1718</v>
      </c>
    </row>
    <row r="592" spans="1:3" x14ac:dyDescent="0.4">
      <c r="A592">
        <v>20120</v>
      </c>
      <c r="B592" t="s">
        <v>1593</v>
      </c>
      <c r="C592" t="s">
        <v>1717</v>
      </c>
    </row>
    <row r="593" spans="1:3" x14ac:dyDescent="0.4">
      <c r="A593">
        <v>20121</v>
      </c>
      <c r="B593" t="s">
        <v>1593</v>
      </c>
      <c r="C593" t="s">
        <v>1716</v>
      </c>
    </row>
    <row r="594" spans="1:3" x14ac:dyDescent="0.4">
      <c r="A594">
        <v>20122</v>
      </c>
      <c r="B594" t="s">
        <v>1593</v>
      </c>
      <c r="C594" t="s">
        <v>1715</v>
      </c>
    </row>
    <row r="595" spans="1:3" x14ac:dyDescent="0.4">
      <c r="A595">
        <v>20123</v>
      </c>
      <c r="B595" t="s">
        <v>1593</v>
      </c>
      <c r="C595" t="s">
        <v>1714</v>
      </c>
    </row>
    <row r="596" spans="1:3" x14ac:dyDescent="0.4">
      <c r="A596">
        <v>20124</v>
      </c>
      <c r="B596" t="s">
        <v>1593</v>
      </c>
      <c r="C596" t="s">
        <v>1713</v>
      </c>
    </row>
    <row r="597" spans="1:3" x14ac:dyDescent="0.4">
      <c r="A597">
        <v>20125</v>
      </c>
      <c r="B597" t="s">
        <v>1593</v>
      </c>
      <c r="C597" t="s">
        <v>1712</v>
      </c>
    </row>
    <row r="598" spans="1:3" x14ac:dyDescent="0.4">
      <c r="A598">
        <v>20126</v>
      </c>
      <c r="B598" t="s">
        <v>1593</v>
      </c>
      <c r="C598" t="s">
        <v>1711</v>
      </c>
    </row>
    <row r="599" spans="1:3" x14ac:dyDescent="0.4">
      <c r="A599">
        <v>20127</v>
      </c>
      <c r="B599" t="s">
        <v>1593</v>
      </c>
      <c r="C599" t="s">
        <v>1710</v>
      </c>
    </row>
    <row r="600" spans="1:3" x14ac:dyDescent="0.4">
      <c r="A600">
        <v>20640</v>
      </c>
      <c r="B600" t="s">
        <v>1593</v>
      </c>
      <c r="C600" t="s">
        <v>1709</v>
      </c>
    </row>
    <row r="601" spans="1:3" x14ac:dyDescent="0.4">
      <c r="A601">
        <v>20641</v>
      </c>
      <c r="B601" t="s">
        <v>1593</v>
      </c>
      <c r="C601" t="s">
        <v>1708</v>
      </c>
    </row>
    <row r="602" spans="1:3" x14ac:dyDescent="0.4">
      <c r="A602">
        <v>20642</v>
      </c>
      <c r="B602" t="s">
        <v>1593</v>
      </c>
      <c r="C602" t="s">
        <v>1707</v>
      </c>
    </row>
    <row r="603" spans="1:3" x14ac:dyDescent="0.4">
      <c r="A603">
        <v>20643</v>
      </c>
      <c r="B603" t="s">
        <v>1593</v>
      </c>
      <c r="C603" t="s">
        <v>1706</v>
      </c>
    </row>
    <row r="604" spans="1:3" x14ac:dyDescent="0.4">
      <c r="A604">
        <v>20644</v>
      </c>
      <c r="B604" t="s">
        <v>1593</v>
      </c>
      <c r="C604" t="s">
        <v>1705</v>
      </c>
    </row>
    <row r="605" spans="1:3" x14ac:dyDescent="0.4">
      <c r="A605">
        <v>20645</v>
      </c>
      <c r="B605" t="s">
        <v>1593</v>
      </c>
      <c r="C605" t="s">
        <v>1704</v>
      </c>
    </row>
    <row r="606" spans="1:3" x14ac:dyDescent="0.4">
      <c r="A606">
        <v>20646</v>
      </c>
      <c r="B606" t="s">
        <v>1593</v>
      </c>
      <c r="C606" t="s">
        <v>1703</v>
      </c>
    </row>
    <row r="607" spans="1:3" x14ac:dyDescent="0.4">
      <c r="A607">
        <v>20647</v>
      </c>
      <c r="B607" t="s">
        <v>1593</v>
      </c>
      <c r="C607" t="s">
        <v>1702</v>
      </c>
    </row>
    <row r="608" spans="1:3" x14ac:dyDescent="0.4">
      <c r="A608">
        <v>20656</v>
      </c>
      <c r="B608" t="s">
        <v>1593</v>
      </c>
      <c r="C608" t="s">
        <v>1701</v>
      </c>
    </row>
    <row r="609" spans="1:3" x14ac:dyDescent="0.4">
      <c r="A609">
        <v>20657</v>
      </c>
      <c r="B609" t="s">
        <v>1593</v>
      </c>
      <c r="C609" t="s">
        <v>1700</v>
      </c>
    </row>
    <row r="610" spans="1:3" x14ac:dyDescent="0.4">
      <c r="A610">
        <v>20658</v>
      </c>
      <c r="B610" t="s">
        <v>1593</v>
      </c>
      <c r="C610" t="s">
        <v>1699</v>
      </c>
    </row>
    <row r="611" spans="1:3" x14ac:dyDescent="0.4">
      <c r="A611">
        <v>20659</v>
      </c>
      <c r="B611" t="s">
        <v>1593</v>
      </c>
      <c r="C611" t="s">
        <v>1698</v>
      </c>
    </row>
    <row r="612" spans="1:3" x14ac:dyDescent="0.4">
      <c r="A612">
        <v>20660</v>
      </c>
      <c r="B612" t="s">
        <v>1593</v>
      </c>
      <c r="C612" t="s">
        <v>1697</v>
      </c>
    </row>
    <row r="613" spans="1:3" x14ac:dyDescent="0.4">
      <c r="A613">
        <v>20661</v>
      </c>
      <c r="B613" t="s">
        <v>1593</v>
      </c>
      <c r="C613" t="s">
        <v>1696</v>
      </c>
    </row>
    <row r="614" spans="1:3" x14ac:dyDescent="0.4">
      <c r="A614">
        <v>20662</v>
      </c>
      <c r="B614" t="s">
        <v>1593</v>
      </c>
      <c r="C614" t="s">
        <v>1695</v>
      </c>
    </row>
    <row r="615" spans="1:3" x14ac:dyDescent="0.4">
      <c r="A615">
        <v>20663</v>
      </c>
      <c r="B615" t="s">
        <v>1593</v>
      </c>
      <c r="C615" t="s">
        <v>1694</v>
      </c>
    </row>
    <row r="616" spans="1:3" x14ac:dyDescent="0.4">
      <c r="A616">
        <v>20664</v>
      </c>
      <c r="B616" t="s">
        <v>1593</v>
      </c>
      <c r="C616" t="s">
        <v>1693</v>
      </c>
    </row>
    <row r="617" spans="1:3" x14ac:dyDescent="0.4">
      <c r="A617">
        <v>20665</v>
      </c>
      <c r="B617" t="s">
        <v>1593</v>
      </c>
      <c r="C617" t="s">
        <v>1692</v>
      </c>
    </row>
    <row r="618" spans="1:3" x14ac:dyDescent="0.4">
      <c r="A618">
        <v>20666</v>
      </c>
      <c r="B618" t="s">
        <v>1593</v>
      </c>
      <c r="C618" t="s">
        <v>1691</v>
      </c>
    </row>
    <row r="619" spans="1:3" x14ac:dyDescent="0.4">
      <c r="A619">
        <v>20667</v>
      </c>
      <c r="B619" t="s">
        <v>1593</v>
      </c>
      <c r="C619" t="s">
        <v>1690</v>
      </c>
    </row>
    <row r="620" spans="1:3" x14ac:dyDescent="0.4">
      <c r="A620">
        <v>20668</v>
      </c>
      <c r="B620" t="s">
        <v>1593</v>
      </c>
      <c r="C620" t="s">
        <v>1689</v>
      </c>
    </row>
    <row r="621" spans="1:3" x14ac:dyDescent="0.4">
      <c r="A621">
        <v>20669</v>
      </c>
      <c r="B621" t="s">
        <v>1593</v>
      </c>
      <c r="C621" t="s">
        <v>1688</v>
      </c>
    </row>
    <row r="622" spans="1:3" x14ac:dyDescent="0.4">
      <c r="A622">
        <v>20670</v>
      </c>
      <c r="B622" t="s">
        <v>1593</v>
      </c>
      <c r="C622" t="s">
        <v>1687</v>
      </c>
    </row>
    <row r="623" spans="1:3" x14ac:dyDescent="0.4">
      <c r="A623">
        <v>20671</v>
      </c>
      <c r="B623" t="s">
        <v>1593</v>
      </c>
      <c r="C623" t="s">
        <v>1686</v>
      </c>
    </row>
    <row r="624" spans="1:3" x14ac:dyDescent="0.4">
      <c r="A624">
        <v>22112</v>
      </c>
      <c r="B624" t="s">
        <v>1593</v>
      </c>
      <c r="C624" t="s">
        <v>1685</v>
      </c>
    </row>
    <row r="625" spans="1:3" x14ac:dyDescent="0.4">
      <c r="A625">
        <v>22113</v>
      </c>
      <c r="B625" t="s">
        <v>1593</v>
      </c>
      <c r="C625" t="s">
        <v>1684</v>
      </c>
    </row>
    <row r="626" spans="1:3" x14ac:dyDescent="0.4">
      <c r="A626">
        <v>22114</v>
      </c>
      <c r="B626" t="s">
        <v>1593</v>
      </c>
      <c r="C626" t="s">
        <v>1683</v>
      </c>
    </row>
    <row r="627" spans="1:3" x14ac:dyDescent="0.4">
      <c r="A627">
        <v>22115</v>
      </c>
      <c r="B627" t="s">
        <v>1593</v>
      </c>
      <c r="C627" t="s">
        <v>1682</v>
      </c>
    </row>
    <row r="628" spans="1:3" x14ac:dyDescent="0.4">
      <c r="A628">
        <v>22116</v>
      </c>
      <c r="B628" t="s">
        <v>1593</v>
      </c>
      <c r="C628" t="s">
        <v>1681</v>
      </c>
    </row>
    <row r="629" spans="1:3" x14ac:dyDescent="0.4">
      <c r="A629">
        <v>22117</v>
      </c>
      <c r="B629" t="s">
        <v>1593</v>
      </c>
      <c r="C629" t="s">
        <v>1680</v>
      </c>
    </row>
    <row r="630" spans="1:3" x14ac:dyDescent="0.4">
      <c r="A630">
        <v>22118</v>
      </c>
      <c r="B630" t="s">
        <v>1593</v>
      </c>
      <c r="C630" t="s">
        <v>1679</v>
      </c>
    </row>
    <row r="631" spans="1:3" x14ac:dyDescent="0.4">
      <c r="A631">
        <v>22119</v>
      </c>
      <c r="B631" t="s">
        <v>1593</v>
      </c>
      <c r="C631" t="s">
        <v>1678</v>
      </c>
    </row>
    <row r="632" spans="1:3" x14ac:dyDescent="0.4">
      <c r="A632">
        <v>22120</v>
      </c>
      <c r="B632" t="s">
        <v>1593</v>
      </c>
      <c r="C632" t="s">
        <v>1677</v>
      </c>
    </row>
    <row r="633" spans="1:3" x14ac:dyDescent="0.4">
      <c r="A633">
        <v>22121</v>
      </c>
      <c r="B633" t="s">
        <v>1593</v>
      </c>
      <c r="C633" t="s">
        <v>1676</v>
      </c>
    </row>
    <row r="634" spans="1:3" x14ac:dyDescent="0.4">
      <c r="A634">
        <v>22122</v>
      </c>
      <c r="B634" t="s">
        <v>1593</v>
      </c>
      <c r="C634" t="s">
        <v>1675</v>
      </c>
    </row>
    <row r="635" spans="1:3" x14ac:dyDescent="0.4">
      <c r="A635">
        <v>22123</v>
      </c>
      <c r="B635" t="s">
        <v>1593</v>
      </c>
      <c r="C635" t="s">
        <v>1674</v>
      </c>
    </row>
    <row r="636" spans="1:3" x14ac:dyDescent="0.4">
      <c r="A636">
        <v>22124</v>
      </c>
      <c r="B636" t="s">
        <v>1593</v>
      </c>
      <c r="C636" t="s">
        <v>1673</v>
      </c>
    </row>
    <row r="637" spans="1:3" x14ac:dyDescent="0.4">
      <c r="A637">
        <v>22125</v>
      </c>
      <c r="B637" t="s">
        <v>1593</v>
      </c>
      <c r="C637" t="s">
        <v>1672</v>
      </c>
    </row>
    <row r="638" spans="1:3" x14ac:dyDescent="0.4">
      <c r="A638">
        <v>22126</v>
      </c>
      <c r="B638" t="s">
        <v>1593</v>
      </c>
      <c r="C638" t="s">
        <v>1671</v>
      </c>
    </row>
    <row r="639" spans="1:3" x14ac:dyDescent="0.4">
      <c r="A639">
        <v>22127</v>
      </c>
      <c r="B639" t="s">
        <v>1593</v>
      </c>
      <c r="C639" t="s">
        <v>1670</v>
      </c>
    </row>
    <row r="640" spans="1:3" x14ac:dyDescent="0.4">
      <c r="A640">
        <v>22640</v>
      </c>
      <c r="B640" t="s">
        <v>1593</v>
      </c>
      <c r="C640" t="s">
        <v>1669</v>
      </c>
    </row>
    <row r="641" spans="1:3" x14ac:dyDescent="0.4">
      <c r="A641">
        <v>22641</v>
      </c>
      <c r="B641" t="s">
        <v>1593</v>
      </c>
      <c r="C641" t="s">
        <v>1668</v>
      </c>
    </row>
    <row r="642" spans="1:3" x14ac:dyDescent="0.4">
      <c r="A642">
        <v>22642</v>
      </c>
      <c r="B642" t="s">
        <v>1593</v>
      </c>
      <c r="C642" t="s">
        <v>1667</v>
      </c>
    </row>
    <row r="643" spans="1:3" x14ac:dyDescent="0.4">
      <c r="A643">
        <v>22643</v>
      </c>
      <c r="B643" t="s">
        <v>1593</v>
      </c>
      <c r="C643" t="s">
        <v>1666</v>
      </c>
    </row>
    <row r="644" spans="1:3" x14ac:dyDescent="0.4">
      <c r="A644">
        <v>22644</v>
      </c>
      <c r="B644" t="s">
        <v>1593</v>
      </c>
      <c r="C644" t="s">
        <v>1665</v>
      </c>
    </row>
    <row r="645" spans="1:3" x14ac:dyDescent="0.4">
      <c r="A645">
        <v>22645</v>
      </c>
      <c r="B645" t="s">
        <v>1593</v>
      </c>
      <c r="C645" t="s">
        <v>1664</v>
      </c>
    </row>
    <row r="646" spans="1:3" x14ac:dyDescent="0.4">
      <c r="A646">
        <v>22646</v>
      </c>
      <c r="B646" t="s">
        <v>1593</v>
      </c>
      <c r="C646" t="s">
        <v>1663</v>
      </c>
    </row>
    <row r="647" spans="1:3" x14ac:dyDescent="0.4">
      <c r="A647">
        <v>22647</v>
      </c>
      <c r="B647" t="s">
        <v>1593</v>
      </c>
      <c r="C647" t="s">
        <v>1662</v>
      </c>
    </row>
    <row r="648" spans="1:3" x14ac:dyDescent="0.4">
      <c r="A648">
        <v>22656</v>
      </c>
      <c r="B648" t="s">
        <v>1593</v>
      </c>
      <c r="C648" t="s">
        <v>1661</v>
      </c>
    </row>
    <row r="649" spans="1:3" x14ac:dyDescent="0.4">
      <c r="A649">
        <v>22657</v>
      </c>
      <c r="B649" t="s">
        <v>1593</v>
      </c>
      <c r="C649" t="s">
        <v>1660</v>
      </c>
    </row>
    <row r="650" spans="1:3" x14ac:dyDescent="0.4">
      <c r="A650">
        <v>22658</v>
      </c>
      <c r="B650" t="s">
        <v>1593</v>
      </c>
      <c r="C650" t="s">
        <v>1659</v>
      </c>
    </row>
    <row r="651" spans="1:3" x14ac:dyDescent="0.4">
      <c r="A651">
        <v>22659</v>
      </c>
      <c r="B651" t="s">
        <v>1593</v>
      </c>
      <c r="C651" t="s">
        <v>1658</v>
      </c>
    </row>
    <row r="652" spans="1:3" x14ac:dyDescent="0.4">
      <c r="A652">
        <v>22660</v>
      </c>
      <c r="B652" t="s">
        <v>1593</v>
      </c>
      <c r="C652" t="s">
        <v>1657</v>
      </c>
    </row>
    <row r="653" spans="1:3" x14ac:dyDescent="0.4">
      <c r="A653">
        <v>22661</v>
      </c>
      <c r="B653" t="s">
        <v>1593</v>
      </c>
      <c r="C653" t="s">
        <v>1656</v>
      </c>
    </row>
    <row r="654" spans="1:3" x14ac:dyDescent="0.4">
      <c r="A654">
        <v>22662</v>
      </c>
      <c r="B654" t="s">
        <v>1593</v>
      </c>
      <c r="C654" t="s">
        <v>1655</v>
      </c>
    </row>
    <row r="655" spans="1:3" x14ac:dyDescent="0.4">
      <c r="A655">
        <v>22663</v>
      </c>
      <c r="B655" t="s">
        <v>1593</v>
      </c>
      <c r="C655" t="s">
        <v>1654</v>
      </c>
    </row>
    <row r="656" spans="1:3" x14ac:dyDescent="0.4">
      <c r="A656">
        <v>22664</v>
      </c>
      <c r="B656" t="s">
        <v>1593</v>
      </c>
      <c r="C656" t="s">
        <v>1653</v>
      </c>
    </row>
    <row r="657" spans="1:3" x14ac:dyDescent="0.4">
      <c r="A657">
        <v>22665</v>
      </c>
      <c r="B657" t="s">
        <v>1593</v>
      </c>
      <c r="C657" t="s">
        <v>1652</v>
      </c>
    </row>
    <row r="658" spans="1:3" x14ac:dyDescent="0.4">
      <c r="A658">
        <v>22666</v>
      </c>
      <c r="B658" t="s">
        <v>1593</v>
      </c>
      <c r="C658" t="s">
        <v>1651</v>
      </c>
    </row>
    <row r="659" spans="1:3" x14ac:dyDescent="0.4">
      <c r="A659">
        <v>22667</v>
      </c>
      <c r="B659" t="s">
        <v>1593</v>
      </c>
      <c r="C659" t="s">
        <v>1650</v>
      </c>
    </row>
    <row r="660" spans="1:3" x14ac:dyDescent="0.4">
      <c r="A660">
        <v>22668</v>
      </c>
      <c r="B660" t="s">
        <v>1593</v>
      </c>
      <c r="C660" t="s">
        <v>1649</v>
      </c>
    </row>
    <row r="661" spans="1:3" x14ac:dyDescent="0.4">
      <c r="A661">
        <v>22669</v>
      </c>
      <c r="B661" t="s">
        <v>1593</v>
      </c>
      <c r="C661" t="s">
        <v>1648</v>
      </c>
    </row>
    <row r="662" spans="1:3" x14ac:dyDescent="0.4">
      <c r="A662">
        <v>22670</v>
      </c>
      <c r="B662" t="s">
        <v>1593</v>
      </c>
      <c r="C662" t="s">
        <v>1647</v>
      </c>
    </row>
    <row r="663" spans="1:3" x14ac:dyDescent="0.4">
      <c r="A663">
        <v>22671</v>
      </c>
      <c r="B663" t="s">
        <v>1593</v>
      </c>
      <c r="C663" t="s">
        <v>1646</v>
      </c>
    </row>
    <row r="664" spans="1:3" x14ac:dyDescent="0.4">
      <c r="A664">
        <v>24047</v>
      </c>
      <c r="B664" t="s">
        <v>1593</v>
      </c>
      <c r="C664" t="s">
        <v>1645</v>
      </c>
    </row>
    <row r="665" spans="1:3" x14ac:dyDescent="0.4">
      <c r="A665">
        <v>24048</v>
      </c>
      <c r="B665" t="s">
        <v>1593</v>
      </c>
      <c r="C665" t="s">
        <v>1644</v>
      </c>
    </row>
    <row r="666" spans="1:3" x14ac:dyDescent="0.4">
      <c r="A666">
        <v>24049</v>
      </c>
      <c r="B666" t="s">
        <v>1593</v>
      </c>
      <c r="C666" t="s">
        <v>1643</v>
      </c>
    </row>
    <row r="667" spans="1:3" x14ac:dyDescent="0.4">
      <c r="A667">
        <v>24050</v>
      </c>
      <c r="B667" t="s">
        <v>1593</v>
      </c>
      <c r="C667" t="s">
        <v>1642</v>
      </c>
    </row>
    <row r="668" spans="1:3" x14ac:dyDescent="0.4">
      <c r="A668">
        <v>24051</v>
      </c>
      <c r="B668" t="s">
        <v>1593</v>
      </c>
      <c r="C668" t="s">
        <v>1641</v>
      </c>
    </row>
    <row r="669" spans="1:3" x14ac:dyDescent="0.4">
      <c r="A669">
        <v>24052</v>
      </c>
      <c r="B669" t="s">
        <v>1593</v>
      </c>
      <c r="C669" t="s">
        <v>1640</v>
      </c>
    </row>
    <row r="670" spans="1:3" x14ac:dyDescent="0.4">
      <c r="A670">
        <v>24053</v>
      </c>
      <c r="B670" t="s">
        <v>1593</v>
      </c>
      <c r="C670" t="s">
        <v>1639</v>
      </c>
    </row>
    <row r="671" spans="1:3" x14ac:dyDescent="0.4">
      <c r="A671">
        <v>24054</v>
      </c>
      <c r="B671" t="s">
        <v>1593</v>
      </c>
      <c r="C671" t="s">
        <v>1638</v>
      </c>
    </row>
    <row r="672" spans="1:3" x14ac:dyDescent="0.4">
      <c r="A672">
        <v>24055</v>
      </c>
      <c r="B672" t="s">
        <v>1593</v>
      </c>
      <c r="C672" t="s">
        <v>1637</v>
      </c>
    </row>
    <row r="673" spans="1:3" x14ac:dyDescent="0.4">
      <c r="A673">
        <v>24056</v>
      </c>
      <c r="B673" t="s">
        <v>1593</v>
      </c>
      <c r="C673" t="s">
        <v>1636</v>
      </c>
    </row>
    <row r="674" spans="1:3" x14ac:dyDescent="0.4">
      <c r="A674">
        <v>24057</v>
      </c>
      <c r="B674" t="s">
        <v>1593</v>
      </c>
      <c r="C674" t="s">
        <v>1635</v>
      </c>
    </row>
    <row r="675" spans="1:3" x14ac:dyDescent="0.4">
      <c r="A675">
        <v>24058</v>
      </c>
      <c r="B675" t="s">
        <v>1593</v>
      </c>
      <c r="C675" t="s">
        <v>1634</v>
      </c>
    </row>
    <row r="676" spans="1:3" x14ac:dyDescent="0.4">
      <c r="A676">
        <v>24059</v>
      </c>
      <c r="B676" t="s">
        <v>1593</v>
      </c>
      <c r="C676" t="s">
        <v>1633</v>
      </c>
    </row>
    <row r="677" spans="1:3" x14ac:dyDescent="0.4">
      <c r="A677">
        <v>24060</v>
      </c>
      <c r="B677" t="s">
        <v>1593</v>
      </c>
      <c r="C677" t="s">
        <v>1632</v>
      </c>
    </row>
    <row r="678" spans="1:3" x14ac:dyDescent="0.4">
      <c r="A678">
        <v>24061</v>
      </c>
      <c r="B678" t="s">
        <v>1593</v>
      </c>
      <c r="C678" t="s">
        <v>1631</v>
      </c>
    </row>
    <row r="679" spans="1:3" x14ac:dyDescent="0.4">
      <c r="A679">
        <v>24062</v>
      </c>
      <c r="B679" t="s">
        <v>1593</v>
      </c>
      <c r="C679" t="s">
        <v>1630</v>
      </c>
    </row>
    <row r="680" spans="1:3" x14ac:dyDescent="0.4">
      <c r="A680">
        <v>24063</v>
      </c>
      <c r="B680" t="s">
        <v>1593</v>
      </c>
      <c r="C680" t="s">
        <v>1629</v>
      </c>
    </row>
    <row r="681" spans="1:3" x14ac:dyDescent="0.4">
      <c r="A681">
        <v>24064</v>
      </c>
      <c r="B681" t="s">
        <v>1593</v>
      </c>
      <c r="C681" t="s">
        <v>1628</v>
      </c>
    </row>
    <row r="682" spans="1:3" x14ac:dyDescent="0.4">
      <c r="A682">
        <v>24065</v>
      </c>
      <c r="B682" t="s">
        <v>1593</v>
      </c>
      <c r="C682" t="s">
        <v>1627</v>
      </c>
    </row>
    <row r="683" spans="1:3" x14ac:dyDescent="0.4">
      <c r="A683">
        <v>24066</v>
      </c>
      <c r="B683" t="s">
        <v>1593</v>
      </c>
      <c r="C683" t="s">
        <v>1626</v>
      </c>
    </row>
    <row r="684" spans="1:3" x14ac:dyDescent="0.4">
      <c r="A684">
        <v>24067</v>
      </c>
      <c r="B684" t="s">
        <v>1593</v>
      </c>
      <c r="C684" t="s">
        <v>1625</v>
      </c>
    </row>
    <row r="685" spans="1:3" x14ac:dyDescent="0.4">
      <c r="A685">
        <v>24068</v>
      </c>
      <c r="B685" t="s">
        <v>1593</v>
      </c>
      <c r="C685" t="s">
        <v>1624</v>
      </c>
    </row>
    <row r="686" spans="1:3" x14ac:dyDescent="0.4">
      <c r="A686">
        <v>24069</v>
      </c>
      <c r="B686" t="s">
        <v>1593</v>
      </c>
      <c r="C686" t="s">
        <v>1623</v>
      </c>
    </row>
    <row r="687" spans="1:3" x14ac:dyDescent="0.4">
      <c r="A687">
        <v>24070</v>
      </c>
      <c r="B687" t="s">
        <v>1593</v>
      </c>
      <c r="C687" t="s">
        <v>1622</v>
      </c>
    </row>
    <row r="688" spans="1:3" x14ac:dyDescent="0.4">
      <c r="A688">
        <v>25047</v>
      </c>
      <c r="B688" t="s">
        <v>1593</v>
      </c>
      <c r="C688" t="s">
        <v>1621</v>
      </c>
    </row>
    <row r="689" spans="1:3" x14ac:dyDescent="0.4">
      <c r="A689">
        <v>25048</v>
      </c>
      <c r="B689" t="s">
        <v>1593</v>
      </c>
      <c r="C689" t="s">
        <v>1620</v>
      </c>
    </row>
    <row r="690" spans="1:3" x14ac:dyDescent="0.4">
      <c r="A690">
        <v>25049</v>
      </c>
      <c r="B690" t="s">
        <v>1593</v>
      </c>
      <c r="C690" t="s">
        <v>1619</v>
      </c>
    </row>
    <row r="691" spans="1:3" x14ac:dyDescent="0.4">
      <c r="A691">
        <v>25050</v>
      </c>
      <c r="B691" t="s">
        <v>1593</v>
      </c>
      <c r="C691" t="s">
        <v>1618</v>
      </c>
    </row>
    <row r="692" spans="1:3" x14ac:dyDescent="0.4">
      <c r="A692">
        <v>25051</v>
      </c>
      <c r="B692" t="s">
        <v>1593</v>
      </c>
      <c r="C692" t="s">
        <v>1617</v>
      </c>
    </row>
    <row r="693" spans="1:3" x14ac:dyDescent="0.4">
      <c r="A693">
        <v>25052</v>
      </c>
      <c r="B693" t="s">
        <v>1593</v>
      </c>
      <c r="C693" t="s">
        <v>1616</v>
      </c>
    </row>
    <row r="694" spans="1:3" x14ac:dyDescent="0.4">
      <c r="A694">
        <v>25053</v>
      </c>
      <c r="B694" t="s">
        <v>1593</v>
      </c>
      <c r="C694" t="s">
        <v>1615</v>
      </c>
    </row>
    <row r="695" spans="1:3" x14ac:dyDescent="0.4">
      <c r="A695">
        <v>25054</v>
      </c>
      <c r="B695" t="s">
        <v>1593</v>
      </c>
      <c r="C695" t="s">
        <v>1614</v>
      </c>
    </row>
    <row r="696" spans="1:3" x14ac:dyDescent="0.4">
      <c r="A696">
        <v>25055</v>
      </c>
      <c r="B696" t="s">
        <v>1593</v>
      </c>
      <c r="C696" t="s">
        <v>1613</v>
      </c>
    </row>
    <row r="697" spans="1:3" x14ac:dyDescent="0.4">
      <c r="A697">
        <v>25056</v>
      </c>
      <c r="B697" t="s">
        <v>1593</v>
      </c>
      <c r="C697" t="s">
        <v>1612</v>
      </c>
    </row>
    <row r="698" spans="1:3" x14ac:dyDescent="0.4">
      <c r="A698">
        <v>25057</v>
      </c>
      <c r="B698" t="s">
        <v>1593</v>
      </c>
      <c r="C698" t="s">
        <v>1611</v>
      </c>
    </row>
    <row r="699" spans="1:3" x14ac:dyDescent="0.4">
      <c r="A699">
        <v>25058</v>
      </c>
      <c r="B699" t="s">
        <v>1593</v>
      </c>
      <c r="C699" t="s">
        <v>1610</v>
      </c>
    </row>
    <row r="700" spans="1:3" x14ac:dyDescent="0.4">
      <c r="A700">
        <v>25059</v>
      </c>
      <c r="B700" t="s">
        <v>1593</v>
      </c>
      <c r="C700" t="s">
        <v>1609</v>
      </c>
    </row>
    <row r="701" spans="1:3" x14ac:dyDescent="0.4">
      <c r="A701">
        <v>25060</v>
      </c>
      <c r="B701" t="s">
        <v>1593</v>
      </c>
      <c r="C701" t="s">
        <v>1608</v>
      </c>
    </row>
    <row r="702" spans="1:3" x14ac:dyDescent="0.4">
      <c r="A702">
        <v>25061</v>
      </c>
      <c r="B702" t="s">
        <v>1593</v>
      </c>
      <c r="C702" t="s">
        <v>1607</v>
      </c>
    </row>
    <row r="703" spans="1:3" x14ac:dyDescent="0.4">
      <c r="A703">
        <v>25062</v>
      </c>
      <c r="B703" t="s">
        <v>1593</v>
      </c>
      <c r="C703" t="s">
        <v>1606</v>
      </c>
    </row>
    <row r="704" spans="1:3" x14ac:dyDescent="0.4">
      <c r="A704">
        <v>25063</v>
      </c>
      <c r="B704" t="s">
        <v>1593</v>
      </c>
      <c r="C704" t="s">
        <v>1605</v>
      </c>
    </row>
    <row r="705" spans="1:3" x14ac:dyDescent="0.4">
      <c r="A705">
        <v>25064</v>
      </c>
      <c r="B705" t="s">
        <v>1593</v>
      </c>
      <c r="C705" t="s">
        <v>1604</v>
      </c>
    </row>
    <row r="706" spans="1:3" x14ac:dyDescent="0.4">
      <c r="A706">
        <v>25065</v>
      </c>
      <c r="B706" t="s">
        <v>1593</v>
      </c>
      <c r="C706" t="s">
        <v>1603</v>
      </c>
    </row>
    <row r="707" spans="1:3" x14ac:dyDescent="0.4">
      <c r="A707">
        <v>25066</v>
      </c>
      <c r="B707" t="s">
        <v>1593</v>
      </c>
      <c r="C707" t="s">
        <v>1602</v>
      </c>
    </row>
    <row r="708" spans="1:3" x14ac:dyDescent="0.4">
      <c r="A708">
        <v>25067</v>
      </c>
      <c r="B708" t="s">
        <v>1593</v>
      </c>
      <c r="C708" t="s">
        <v>1601</v>
      </c>
    </row>
    <row r="709" spans="1:3" x14ac:dyDescent="0.4">
      <c r="A709">
        <v>25068</v>
      </c>
      <c r="B709" t="s">
        <v>1593</v>
      </c>
      <c r="C709" t="s">
        <v>1600</v>
      </c>
    </row>
    <row r="710" spans="1:3" x14ac:dyDescent="0.4">
      <c r="A710">
        <v>25069</v>
      </c>
      <c r="B710" t="s">
        <v>1593</v>
      </c>
      <c r="C710" t="s">
        <v>1599</v>
      </c>
    </row>
    <row r="711" spans="1:3" x14ac:dyDescent="0.4">
      <c r="A711">
        <v>25070</v>
      </c>
      <c r="B711" t="s">
        <v>1593</v>
      </c>
      <c r="C711" t="s">
        <v>1598</v>
      </c>
    </row>
    <row r="712" spans="1:3" x14ac:dyDescent="0.4">
      <c r="A712">
        <v>28000</v>
      </c>
      <c r="B712" t="s">
        <v>1593</v>
      </c>
      <c r="C712" t="s">
        <v>1463</v>
      </c>
    </row>
    <row r="713" spans="1:3" x14ac:dyDescent="0.4">
      <c r="A713">
        <v>28001</v>
      </c>
      <c r="B713" t="s">
        <v>1593</v>
      </c>
      <c r="C713" t="s">
        <v>1462</v>
      </c>
    </row>
    <row r="714" spans="1:3" x14ac:dyDescent="0.4">
      <c r="A714">
        <v>28002</v>
      </c>
      <c r="B714" t="s">
        <v>1593</v>
      </c>
      <c r="C714" t="s">
        <v>1461</v>
      </c>
    </row>
    <row r="715" spans="1:3" x14ac:dyDescent="0.4">
      <c r="A715">
        <v>28003</v>
      </c>
      <c r="B715" t="s">
        <v>1593</v>
      </c>
      <c r="C715" t="s">
        <v>1460</v>
      </c>
    </row>
    <row r="716" spans="1:3" x14ac:dyDescent="0.4">
      <c r="A716">
        <v>28004</v>
      </c>
      <c r="B716" t="s">
        <v>1593</v>
      </c>
      <c r="C716" t="s">
        <v>1459</v>
      </c>
    </row>
    <row r="717" spans="1:3" x14ac:dyDescent="0.4">
      <c r="A717">
        <v>28005</v>
      </c>
      <c r="B717" t="s">
        <v>1593</v>
      </c>
      <c r="C717" t="s">
        <v>1458</v>
      </c>
    </row>
    <row r="718" spans="1:3" x14ac:dyDescent="0.4">
      <c r="A718">
        <v>28006</v>
      </c>
      <c r="B718" t="s">
        <v>1593</v>
      </c>
      <c r="C718" t="s">
        <v>1457</v>
      </c>
    </row>
    <row r="719" spans="1:3" x14ac:dyDescent="0.4">
      <c r="A719">
        <v>28007</v>
      </c>
      <c r="B719" t="s">
        <v>1593</v>
      </c>
      <c r="C719" t="s">
        <v>1456</v>
      </c>
    </row>
    <row r="720" spans="1:3" x14ac:dyDescent="0.4">
      <c r="A720">
        <v>28008</v>
      </c>
      <c r="B720" t="s">
        <v>1593</v>
      </c>
      <c r="C720" t="s">
        <v>1455</v>
      </c>
    </row>
    <row r="721" spans="1:3" x14ac:dyDescent="0.4">
      <c r="A721">
        <v>28009</v>
      </c>
      <c r="B721" t="s">
        <v>1593</v>
      </c>
      <c r="C721" t="s">
        <v>1454</v>
      </c>
    </row>
    <row r="722" spans="1:3" x14ac:dyDescent="0.4">
      <c r="A722">
        <v>28010</v>
      </c>
      <c r="B722" t="s">
        <v>1593</v>
      </c>
      <c r="C722" t="s">
        <v>1597</v>
      </c>
    </row>
    <row r="723" spans="1:3" x14ac:dyDescent="0.4">
      <c r="A723">
        <v>28011</v>
      </c>
      <c r="B723" t="s">
        <v>1593</v>
      </c>
      <c r="C723" t="s">
        <v>1596</v>
      </c>
    </row>
    <row r="724" spans="1:3" x14ac:dyDescent="0.4">
      <c r="A724">
        <v>28012</v>
      </c>
      <c r="B724" t="s">
        <v>1593</v>
      </c>
      <c r="C724" t="s">
        <v>1452</v>
      </c>
    </row>
    <row r="725" spans="1:3" x14ac:dyDescent="0.4">
      <c r="A725">
        <v>28013</v>
      </c>
      <c r="B725" t="s">
        <v>1593</v>
      </c>
      <c r="C725" t="s">
        <v>1451</v>
      </c>
    </row>
    <row r="726" spans="1:3" x14ac:dyDescent="0.4">
      <c r="A726">
        <v>28014</v>
      </c>
      <c r="B726" t="s">
        <v>1593</v>
      </c>
      <c r="C726" t="s">
        <v>1450</v>
      </c>
    </row>
    <row r="727" spans="1:3" x14ac:dyDescent="0.4">
      <c r="A727">
        <v>28015</v>
      </c>
      <c r="B727" t="s">
        <v>1593</v>
      </c>
      <c r="C727" t="s">
        <v>1595</v>
      </c>
    </row>
    <row r="728" spans="1:3" x14ac:dyDescent="0.4">
      <c r="A728">
        <v>28016</v>
      </c>
      <c r="B728" t="s">
        <v>1593</v>
      </c>
      <c r="C728" t="s">
        <v>1449</v>
      </c>
    </row>
    <row r="729" spans="1:3" x14ac:dyDescent="0.4">
      <c r="A729">
        <v>28017</v>
      </c>
      <c r="B729" t="s">
        <v>1593</v>
      </c>
      <c r="C729" t="s">
        <v>1447</v>
      </c>
    </row>
    <row r="730" spans="1:3" x14ac:dyDescent="0.4">
      <c r="A730">
        <v>28018</v>
      </c>
      <c r="B730" t="s">
        <v>1593</v>
      </c>
      <c r="C730" t="s">
        <v>1594</v>
      </c>
    </row>
    <row r="731" spans="1:3" x14ac:dyDescent="0.4">
      <c r="A731">
        <v>28019</v>
      </c>
      <c r="B731" t="s">
        <v>1593</v>
      </c>
      <c r="C731" t="s">
        <v>1445</v>
      </c>
    </row>
    <row r="732" spans="1:3" x14ac:dyDescent="0.4">
      <c r="A732">
        <v>28020</v>
      </c>
      <c r="B732" t="s">
        <v>1593</v>
      </c>
      <c r="C732" t="s">
        <v>1444</v>
      </c>
    </row>
    <row r="733" spans="1:3" x14ac:dyDescent="0.4">
      <c r="A733">
        <v>28021</v>
      </c>
      <c r="B733" t="s">
        <v>1593</v>
      </c>
      <c r="C733" t="s">
        <v>1443</v>
      </c>
    </row>
    <row r="734" spans="1:3" x14ac:dyDescent="0.4">
      <c r="A734">
        <v>28022</v>
      </c>
      <c r="B734" t="s">
        <v>1593</v>
      </c>
      <c r="C734" t="s">
        <v>1442</v>
      </c>
    </row>
    <row r="735" spans="1:3" x14ac:dyDescent="0.4">
      <c r="A735">
        <v>28023</v>
      </c>
      <c r="B735" t="s">
        <v>1593</v>
      </c>
      <c r="C735" t="s">
        <v>1592</v>
      </c>
    </row>
    <row r="736" spans="1:3" x14ac:dyDescent="0.4">
      <c r="A736">
        <v>30448</v>
      </c>
      <c r="B736" t="s">
        <v>1441</v>
      </c>
      <c r="C736" t="s">
        <v>1591</v>
      </c>
    </row>
    <row r="737" spans="1:3" x14ac:dyDescent="0.4">
      <c r="A737">
        <v>30449</v>
      </c>
      <c r="B737" t="s">
        <v>1441</v>
      </c>
      <c r="C737" t="s">
        <v>1590</v>
      </c>
    </row>
    <row r="738" spans="1:3" x14ac:dyDescent="0.4">
      <c r="A738">
        <v>30450</v>
      </c>
      <c r="B738" t="s">
        <v>1441</v>
      </c>
      <c r="C738" t="s">
        <v>1589</v>
      </c>
    </row>
    <row r="739" spans="1:3" x14ac:dyDescent="0.4">
      <c r="A739">
        <v>30451</v>
      </c>
      <c r="B739" t="s">
        <v>1441</v>
      </c>
      <c r="C739" t="s">
        <v>1588</v>
      </c>
    </row>
    <row r="740" spans="1:3" x14ac:dyDescent="0.4">
      <c r="A740">
        <v>30452</v>
      </c>
      <c r="B740" t="s">
        <v>1441</v>
      </c>
      <c r="C740" t="s">
        <v>1587</v>
      </c>
    </row>
    <row r="741" spans="1:3" x14ac:dyDescent="0.4">
      <c r="A741">
        <v>30453</v>
      </c>
      <c r="B741" t="s">
        <v>1441</v>
      </c>
      <c r="C741" t="s">
        <v>1586</v>
      </c>
    </row>
    <row r="742" spans="1:3" x14ac:dyDescent="0.4">
      <c r="A742">
        <v>30454</v>
      </c>
      <c r="B742" t="s">
        <v>1441</v>
      </c>
      <c r="C742" t="s">
        <v>1585</v>
      </c>
    </row>
    <row r="743" spans="1:3" x14ac:dyDescent="0.4">
      <c r="A743">
        <v>30455</v>
      </c>
      <c r="B743" t="s">
        <v>1441</v>
      </c>
      <c r="C743" t="s">
        <v>1584</v>
      </c>
    </row>
    <row r="744" spans="1:3" x14ac:dyDescent="0.4">
      <c r="A744">
        <v>30456</v>
      </c>
      <c r="B744" t="s">
        <v>1441</v>
      </c>
      <c r="C744" t="s">
        <v>1583</v>
      </c>
    </row>
    <row r="745" spans="1:3" x14ac:dyDescent="0.4">
      <c r="A745">
        <v>30457</v>
      </c>
      <c r="B745" t="s">
        <v>1441</v>
      </c>
      <c r="C745" t="s">
        <v>1582</v>
      </c>
    </row>
    <row r="746" spans="1:3" x14ac:dyDescent="0.4">
      <c r="A746">
        <v>30458</v>
      </c>
      <c r="B746" t="s">
        <v>1441</v>
      </c>
      <c r="C746" t="s">
        <v>1581</v>
      </c>
    </row>
    <row r="747" spans="1:3" x14ac:dyDescent="0.4">
      <c r="A747">
        <v>30459</v>
      </c>
      <c r="B747" t="s">
        <v>1441</v>
      </c>
      <c r="C747" t="s">
        <v>1580</v>
      </c>
    </row>
    <row r="748" spans="1:3" x14ac:dyDescent="0.4">
      <c r="A748">
        <v>30460</v>
      </c>
      <c r="B748" t="s">
        <v>1441</v>
      </c>
      <c r="C748" t="s">
        <v>1579</v>
      </c>
    </row>
    <row r="749" spans="1:3" x14ac:dyDescent="0.4">
      <c r="A749">
        <v>30461</v>
      </c>
      <c r="B749" t="s">
        <v>1441</v>
      </c>
      <c r="C749" t="s">
        <v>1578</v>
      </c>
    </row>
    <row r="750" spans="1:3" x14ac:dyDescent="0.4">
      <c r="A750">
        <v>30462</v>
      </c>
      <c r="B750" t="s">
        <v>1441</v>
      </c>
      <c r="C750" t="s">
        <v>1577</v>
      </c>
    </row>
    <row r="751" spans="1:3" x14ac:dyDescent="0.4">
      <c r="A751">
        <v>30463</v>
      </c>
      <c r="B751" t="s">
        <v>1441</v>
      </c>
      <c r="C751" t="s">
        <v>1576</v>
      </c>
    </row>
    <row r="752" spans="1:3" x14ac:dyDescent="0.4">
      <c r="A752">
        <v>30672</v>
      </c>
      <c r="B752" t="s">
        <v>1441</v>
      </c>
      <c r="C752" t="s">
        <v>1575</v>
      </c>
    </row>
    <row r="753" spans="1:3" x14ac:dyDescent="0.4">
      <c r="A753">
        <v>30673</v>
      </c>
      <c r="B753" t="s">
        <v>1441</v>
      </c>
      <c r="C753" t="s">
        <v>1574</v>
      </c>
    </row>
    <row r="754" spans="1:3" x14ac:dyDescent="0.4">
      <c r="A754">
        <v>30674</v>
      </c>
      <c r="B754" t="s">
        <v>1441</v>
      </c>
      <c r="C754" t="s">
        <v>1573</v>
      </c>
    </row>
    <row r="755" spans="1:3" x14ac:dyDescent="0.4">
      <c r="A755">
        <v>30675</v>
      </c>
      <c r="B755" t="s">
        <v>1441</v>
      </c>
      <c r="C755" t="s">
        <v>1572</v>
      </c>
    </row>
    <row r="756" spans="1:3" x14ac:dyDescent="0.4">
      <c r="A756">
        <v>30676</v>
      </c>
      <c r="B756" t="s">
        <v>1441</v>
      </c>
      <c r="C756" t="s">
        <v>1571</v>
      </c>
    </row>
    <row r="757" spans="1:3" x14ac:dyDescent="0.4">
      <c r="A757">
        <v>30677</v>
      </c>
      <c r="B757" t="s">
        <v>1441</v>
      </c>
      <c r="C757" t="s">
        <v>1570</v>
      </c>
    </row>
    <row r="758" spans="1:3" x14ac:dyDescent="0.4">
      <c r="A758">
        <v>30678</v>
      </c>
      <c r="B758" t="s">
        <v>1441</v>
      </c>
      <c r="C758" t="s">
        <v>1569</v>
      </c>
    </row>
    <row r="759" spans="1:3" x14ac:dyDescent="0.4">
      <c r="A759">
        <v>30679</v>
      </c>
      <c r="B759" t="s">
        <v>1441</v>
      </c>
      <c r="C759" t="s">
        <v>1568</v>
      </c>
    </row>
    <row r="760" spans="1:3" x14ac:dyDescent="0.4">
      <c r="A760">
        <v>30688</v>
      </c>
      <c r="B760" t="s">
        <v>1441</v>
      </c>
      <c r="C760" t="s">
        <v>1567</v>
      </c>
    </row>
    <row r="761" spans="1:3" x14ac:dyDescent="0.4">
      <c r="A761">
        <v>30689</v>
      </c>
      <c r="B761" t="s">
        <v>1441</v>
      </c>
      <c r="C761" t="s">
        <v>1566</v>
      </c>
    </row>
    <row r="762" spans="1:3" x14ac:dyDescent="0.4">
      <c r="A762">
        <v>30690</v>
      </c>
      <c r="B762" t="s">
        <v>1441</v>
      </c>
      <c r="C762" t="s">
        <v>1565</v>
      </c>
    </row>
    <row r="763" spans="1:3" x14ac:dyDescent="0.4">
      <c r="A763">
        <v>30691</v>
      </c>
      <c r="B763" t="s">
        <v>1441</v>
      </c>
      <c r="C763" t="s">
        <v>1564</v>
      </c>
    </row>
    <row r="764" spans="1:3" x14ac:dyDescent="0.4">
      <c r="A764">
        <v>30692</v>
      </c>
      <c r="B764" t="s">
        <v>1441</v>
      </c>
      <c r="C764" t="s">
        <v>1563</v>
      </c>
    </row>
    <row r="765" spans="1:3" x14ac:dyDescent="0.4">
      <c r="A765">
        <v>30693</v>
      </c>
      <c r="B765" t="s">
        <v>1441</v>
      </c>
      <c r="C765" t="s">
        <v>1562</v>
      </c>
    </row>
    <row r="766" spans="1:3" x14ac:dyDescent="0.4">
      <c r="A766">
        <v>30694</v>
      </c>
      <c r="B766" t="s">
        <v>1441</v>
      </c>
      <c r="C766" t="s">
        <v>1561</v>
      </c>
    </row>
    <row r="767" spans="1:3" x14ac:dyDescent="0.4">
      <c r="A767">
        <v>30695</v>
      </c>
      <c r="B767" t="s">
        <v>1441</v>
      </c>
      <c r="C767" t="s">
        <v>1560</v>
      </c>
    </row>
    <row r="768" spans="1:3" x14ac:dyDescent="0.4">
      <c r="A768">
        <v>30696</v>
      </c>
      <c r="B768" t="s">
        <v>1441</v>
      </c>
      <c r="C768" t="s">
        <v>1559</v>
      </c>
    </row>
    <row r="769" spans="1:3" x14ac:dyDescent="0.4">
      <c r="A769">
        <v>30697</v>
      </c>
      <c r="B769" t="s">
        <v>1441</v>
      </c>
      <c r="C769" t="s">
        <v>1558</v>
      </c>
    </row>
    <row r="770" spans="1:3" x14ac:dyDescent="0.4">
      <c r="A770">
        <v>30698</v>
      </c>
      <c r="B770" t="s">
        <v>1441</v>
      </c>
      <c r="C770" t="s">
        <v>1557</v>
      </c>
    </row>
    <row r="771" spans="1:3" x14ac:dyDescent="0.4">
      <c r="A771">
        <v>30699</v>
      </c>
      <c r="B771" t="s">
        <v>1441</v>
      </c>
      <c r="C771" t="s">
        <v>1556</v>
      </c>
    </row>
    <row r="772" spans="1:3" x14ac:dyDescent="0.4">
      <c r="A772">
        <v>30700</v>
      </c>
      <c r="B772" t="s">
        <v>1441</v>
      </c>
      <c r="C772" t="s">
        <v>1555</v>
      </c>
    </row>
    <row r="773" spans="1:3" x14ac:dyDescent="0.4">
      <c r="A773">
        <v>30701</v>
      </c>
      <c r="B773" t="s">
        <v>1441</v>
      </c>
      <c r="C773" t="s">
        <v>1554</v>
      </c>
    </row>
    <row r="774" spans="1:3" x14ac:dyDescent="0.4">
      <c r="A774">
        <v>30702</v>
      </c>
      <c r="B774" t="s">
        <v>1441</v>
      </c>
      <c r="C774" t="s">
        <v>1553</v>
      </c>
    </row>
    <row r="775" spans="1:3" x14ac:dyDescent="0.4">
      <c r="A775">
        <v>30703</v>
      </c>
      <c r="B775" t="s">
        <v>1441</v>
      </c>
      <c r="C775" t="s">
        <v>1552</v>
      </c>
    </row>
    <row r="776" spans="1:3" x14ac:dyDescent="0.4">
      <c r="A776">
        <v>32448</v>
      </c>
      <c r="B776" t="s">
        <v>1441</v>
      </c>
      <c r="C776" t="s">
        <v>1551</v>
      </c>
    </row>
    <row r="777" spans="1:3" x14ac:dyDescent="0.4">
      <c r="A777">
        <v>32449</v>
      </c>
      <c r="B777" t="s">
        <v>1441</v>
      </c>
      <c r="C777" t="s">
        <v>1550</v>
      </c>
    </row>
    <row r="778" spans="1:3" x14ac:dyDescent="0.4">
      <c r="A778">
        <v>32450</v>
      </c>
      <c r="B778" t="s">
        <v>1441</v>
      </c>
      <c r="C778" t="s">
        <v>1549</v>
      </c>
    </row>
    <row r="779" spans="1:3" x14ac:dyDescent="0.4">
      <c r="A779">
        <v>32451</v>
      </c>
      <c r="B779" t="s">
        <v>1441</v>
      </c>
      <c r="C779" t="s">
        <v>1548</v>
      </c>
    </row>
    <row r="780" spans="1:3" x14ac:dyDescent="0.4">
      <c r="A780">
        <v>32452</v>
      </c>
      <c r="B780" t="s">
        <v>1441</v>
      </c>
      <c r="C780" t="s">
        <v>1547</v>
      </c>
    </row>
    <row r="781" spans="1:3" x14ac:dyDescent="0.4">
      <c r="A781">
        <v>32453</v>
      </c>
      <c r="B781" t="s">
        <v>1441</v>
      </c>
      <c r="C781" t="s">
        <v>1546</v>
      </c>
    </row>
    <row r="782" spans="1:3" x14ac:dyDescent="0.4">
      <c r="A782">
        <v>32454</v>
      </c>
      <c r="B782" t="s">
        <v>1441</v>
      </c>
      <c r="C782" t="s">
        <v>1545</v>
      </c>
    </row>
    <row r="783" spans="1:3" x14ac:dyDescent="0.4">
      <c r="A783">
        <v>32455</v>
      </c>
      <c r="B783" t="s">
        <v>1441</v>
      </c>
      <c r="C783" t="s">
        <v>1544</v>
      </c>
    </row>
    <row r="784" spans="1:3" x14ac:dyDescent="0.4">
      <c r="A784">
        <v>32456</v>
      </c>
      <c r="B784" t="s">
        <v>1441</v>
      </c>
      <c r="C784" t="s">
        <v>1543</v>
      </c>
    </row>
    <row r="785" spans="1:3" x14ac:dyDescent="0.4">
      <c r="A785">
        <v>32457</v>
      </c>
      <c r="B785" t="s">
        <v>1441</v>
      </c>
      <c r="C785" t="s">
        <v>1542</v>
      </c>
    </row>
    <row r="786" spans="1:3" x14ac:dyDescent="0.4">
      <c r="A786">
        <v>32458</v>
      </c>
      <c r="B786" t="s">
        <v>1441</v>
      </c>
      <c r="C786" t="s">
        <v>1541</v>
      </c>
    </row>
    <row r="787" spans="1:3" x14ac:dyDescent="0.4">
      <c r="A787">
        <v>32459</v>
      </c>
      <c r="B787" t="s">
        <v>1441</v>
      </c>
      <c r="C787" t="s">
        <v>1540</v>
      </c>
    </row>
    <row r="788" spans="1:3" x14ac:dyDescent="0.4">
      <c r="A788">
        <v>32460</v>
      </c>
      <c r="B788" t="s">
        <v>1441</v>
      </c>
      <c r="C788" t="s">
        <v>1539</v>
      </c>
    </row>
    <row r="789" spans="1:3" x14ac:dyDescent="0.4">
      <c r="A789">
        <v>32461</v>
      </c>
      <c r="B789" t="s">
        <v>1441</v>
      </c>
      <c r="C789" t="s">
        <v>1538</v>
      </c>
    </row>
    <row r="790" spans="1:3" x14ac:dyDescent="0.4">
      <c r="A790">
        <v>32462</v>
      </c>
      <c r="B790" t="s">
        <v>1441</v>
      </c>
      <c r="C790" t="s">
        <v>1537</v>
      </c>
    </row>
    <row r="791" spans="1:3" x14ac:dyDescent="0.4">
      <c r="A791">
        <v>32463</v>
      </c>
      <c r="B791" t="s">
        <v>1441</v>
      </c>
      <c r="C791" t="s">
        <v>1536</v>
      </c>
    </row>
    <row r="792" spans="1:3" x14ac:dyDescent="0.4">
      <c r="A792">
        <v>32672</v>
      </c>
      <c r="B792" t="s">
        <v>1441</v>
      </c>
      <c r="C792" t="s">
        <v>1535</v>
      </c>
    </row>
    <row r="793" spans="1:3" x14ac:dyDescent="0.4">
      <c r="A793">
        <v>32673</v>
      </c>
      <c r="B793" t="s">
        <v>1441</v>
      </c>
      <c r="C793" t="s">
        <v>1534</v>
      </c>
    </row>
    <row r="794" spans="1:3" x14ac:dyDescent="0.4">
      <c r="A794">
        <v>32674</v>
      </c>
      <c r="B794" t="s">
        <v>1441</v>
      </c>
      <c r="C794" t="s">
        <v>1533</v>
      </c>
    </row>
    <row r="795" spans="1:3" x14ac:dyDescent="0.4">
      <c r="A795">
        <v>32675</v>
      </c>
      <c r="B795" t="s">
        <v>1441</v>
      </c>
      <c r="C795" t="s">
        <v>1532</v>
      </c>
    </row>
    <row r="796" spans="1:3" x14ac:dyDescent="0.4">
      <c r="A796">
        <v>32676</v>
      </c>
      <c r="B796" t="s">
        <v>1441</v>
      </c>
      <c r="C796" t="s">
        <v>1531</v>
      </c>
    </row>
    <row r="797" spans="1:3" x14ac:dyDescent="0.4">
      <c r="A797">
        <v>32677</v>
      </c>
      <c r="B797" t="s">
        <v>1441</v>
      </c>
      <c r="C797" t="s">
        <v>1530</v>
      </c>
    </row>
    <row r="798" spans="1:3" x14ac:dyDescent="0.4">
      <c r="A798">
        <v>32678</v>
      </c>
      <c r="B798" t="s">
        <v>1441</v>
      </c>
      <c r="C798" t="s">
        <v>1529</v>
      </c>
    </row>
    <row r="799" spans="1:3" x14ac:dyDescent="0.4">
      <c r="A799">
        <v>32679</v>
      </c>
      <c r="B799" t="s">
        <v>1441</v>
      </c>
      <c r="C799" t="s">
        <v>1528</v>
      </c>
    </row>
    <row r="800" spans="1:3" x14ac:dyDescent="0.4">
      <c r="A800">
        <v>32688</v>
      </c>
      <c r="B800" t="s">
        <v>1441</v>
      </c>
      <c r="C800" t="s">
        <v>1527</v>
      </c>
    </row>
    <row r="801" spans="1:3" x14ac:dyDescent="0.4">
      <c r="A801">
        <v>32689</v>
      </c>
      <c r="B801" t="s">
        <v>1441</v>
      </c>
      <c r="C801" t="s">
        <v>1526</v>
      </c>
    </row>
    <row r="802" spans="1:3" x14ac:dyDescent="0.4">
      <c r="A802">
        <v>32690</v>
      </c>
      <c r="B802" t="s">
        <v>1441</v>
      </c>
      <c r="C802" t="s">
        <v>1525</v>
      </c>
    </row>
    <row r="803" spans="1:3" x14ac:dyDescent="0.4">
      <c r="A803">
        <v>32691</v>
      </c>
      <c r="B803" t="s">
        <v>1441</v>
      </c>
      <c r="C803" t="s">
        <v>1524</v>
      </c>
    </row>
    <row r="804" spans="1:3" x14ac:dyDescent="0.4">
      <c r="A804">
        <v>32692</v>
      </c>
      <c r="B804" t="s">
        <v>1441</v>
      </c>
      <c r="C804" t="s">
        <v>1523</v>
      </c>
    </row>
    <row r="805" spans="1:3" x14ac:dyDescent="0.4">
      <c r="A805">
        <v>32693</v>
      </c>
      <c r="B805" t="s">
        <v>1441</v>
      </c>
      <c r="C805" t="s">
        <v>1522</v>
      </c>
    </row>
    <row r="806" spans="1:3" x14ac:dyDescent="0.4">
      <c r="A806">
        <v>32694</v>
      </c>
      <c r="B806" t="s">
        <v>1441</v>
      </c>
      <c r="C806" t="s">
        <v>1521</v>
      </c>
    </row>
    <row r="807" spans="1:3" x14ac:dyDescent="0.4">
      <c r="A807">
        <v>32695</v>
      </c>
      <c r="B807" t="s">
        <v>1441</v>
      </c>
      <c r="C807" t="s">
        <v>1520</v>
      </c>
    </row>
    <row r="808" spans="1:3" x14ac:dyDescent="0.4">
      <c r="A808">
        <v>32696</v>
      </c>
      <c r="B808" t="s">
        <v>1441</v>
      </c>
      <c r="C808" t="s">
        <v>1519</v>
      </c>
    </row>
    <row r="809" spans="1:3" x14ac:dyDescent="0.4">
      <c r="A809">
        <v>32697</v>
      </c>
      <c r="B809" t="s">
        <v>1441</v>
      </c>
      <c r="C809" t="s">
        <v>1518</v>
      </c>
    </row>
    <row r="810" spans="1:3" x14ac:dyDescent="0.4">
      <c r="A810">
        <v>32698</v>
      </c>
      <c r="B810" t="s">
        <v>1441</v>
      </c>
      <c r="C810" t="s">
        <v>1517</v>
      </c>
    </row>
    <row r="811" spans="1:3" x14ac:dyDescent="0.4">
      <c r="A811">
        <v>32699</v>
      </c>
      <c r="B811" t="s">
        <v>1441</v>
      </c>
      <c r="C811" t="s">
        <v>1516</v>
      </c>
    </row>
    <row r="812" spans="1:3" x14ac:dyDescent="0.4">
      <c r="A812">
        <v>32700</v>
      </c>
      <c r="B812" t="s">
        <v>1441</v>
      </c>
      <c r="C812" t="s">
        <v>1515</v>
      </c>
    </row>
    <row r="813" spans="1:3" x14ac:dyDescent="0.4">
      <c r="A813">
        <v>32701</v>
      </c>
      <c r="B813" t="s">
        <v>1441</v>
      </c>
      <c r="C813" t="s">
        <v>1514</v>
      </c>
    </row>
    <row r="814" spans="1:3" x14ac:dyDescent="0.4">
      <c r="A814">
        <v>32702</v>
      </c>
      <c r="B814" t="s">
        <v>1441</v>
      </c>
      <c r="C814" t="s">
        <v>1513</v>
      </c>
    </row>
    <row r="815" spans="1:3" x14ac:dyDescent="0.4">
      <c r="A815">
        <v>32703</v>
      </c>
      <c r="B815" t="s">
        <v>1441</v>
      </c>
      <c r="C815" t="s">
        <v>1512</v>
      </c>
    </row>
    <row r="816" spans="1:3" x14ac:dyDescent="0.4">
      <c r="A816">
        <v>34071</v>
      </c>
      <c r="B816" t="s">
        <v>1441</v>
      </c>
      <c r="C816" t="s">
        <v>1511</v>
      </c>
    </row>
    <row r="817" spans="1:3" x14ac:dyDescent="0.4">
      <c r="A817">
        <v>34072</v>
      </c>
      <c r="B817" t="s">
        <v>1441</v>
      </c>
      <c r="C817" t="s">
        <v>1510</v>
      </c>
    </row>
    <row r="818" spans="1:3" x14ac:dyDescent="0.4">
      <c r="A818">
        <v>34073</v>
      </c>
      <c r="B818" t="s">
        <v>1441</v>
      </c>
      <c r="C818" t="s">
        <v>1509</v>
      </c>
    </row>
    <row r="819" spans="1:3" x14ac:dyDescent="0.4">
      <c r="A819">
        <v>34074</v>
      </c>
      <c r="B819" t="s">
        <v>1441</v>
      </c>
      <c r="C819" t="s">
        <v>1508</v>
      </c>
    </row>
    <row r="820" spans="1:3" x14ac:dyDescent="0.4">
      <c r="A820">
        <v>34075</v>
      </c>
      <c r="B820" t="s">
        <v>1441</v>
      </c>
      <c r="C820" t="s">
        <v>1507</v>
      </c>
    </row>
    <row r="821" spans="1:3" x14ac:dyDescent="0.4">
      <c r="A821">
        <v>34076</v>
      </c>
      <c r="B821" t="s">
        <v>1441</v>
      </c>
      <c r="C821" t="s">
        <v>1506</v>
      </c>
    </row>
    <row r="822" spans="1:3" x14ac:dyDescent="0.4">
      <c r="A822">
        <v>34077</v>
      </c>
      <c r="B822" t="s">
        <v>1441</v>
      </c>
      <c r="C822" t="s">
        <v>1505</v>
      </c>
    </row>
    <row r="823" spans="1:3" x14ac:dyDescent="0.4">
      <c r="A823">
        <v>34078</v>
      </c>
      <c r="B823" t="s">
        <v>1441</v>
      </c>
      <c r="C823" t="s">
        <v>1504</v>
      </c>
    </row>
    <row r="824" spans="1:3" x14ac:dyDescent="0.4">
      <c r="A824">
        <v>34079</v>
      </c>
      <c r="B824" t="s">
        <v>1441</v>
      </c>
      <c r="C824" t="s">
        <v>1503</v>
      </c>
    </row>
    <row r="825" spans="1:3" x14ac:dyDescent="0.4">
      <c r="A825">
        <v>34080</v>
      </c>
      <c r="B825" t="s">
        <v>1441</v>
      </c>
      <c r="C825" t="s">
        <v>1502</v>
      </c>
    </row>
    <row r="826" spans="1:3" x14ac:dyDescent="0.4">
      <c r="A826">
        <v>34081</v>
      </c>
      <c r="B826" t="s">
        <v>1441</v>
      </c>
      <c r="C826" t="s">
        <v>1501</v>
      </c>
    </row>
    <row r="827" spans="1:3" x14ac:dyDescent="0.4">
      <c r="A827">
        <v>34082</v>
      </c>
      <c r="B827" t="s">
        <v>1441</v>
      </c>
      <c r="C827" t="s">
        <v>1500</v>
      </c>
    </row>
    <row r="828" spans="1:3" x14ac:dyDescent="0.4">
      <c r="A828">
        <v>34083</v>
      </c>
      <c r="B828" t="s">
        <v>1441</v>
      </c>
      <c r="C828" t="s">
        <v>1499</v>
      </c>
    </row>
    <row r="829" spans="1:3" x14ac:dyDescent="0.4">
      <c r="A829">
        <v>34084</v>
      </c>
      <c r="B829" t="s">
        <v>1441</v>
      </c>
      <c r="C829" t="s">
        <v>1498</v>
      </c>
    </row>
    <row r="830" spans="1:3" x14ac:dyDescent="0.4">
      <c r="A830">
        <v>34085</v>
      </c>
      <c r="B830" t="s">
        <v>1441</v>
      </c>
      <c r="C830" t="s">
        <v>1497</v>
      </c>
    </row>
    <row r="831" spans="1:3" x14ac:dyDescent="0.4">
      <c r="A831">
        <v>34086</v>
      </c>
      <c r="B831" t="s">
        <v>1441</v>
      </c>
      <c r="C831" t="s">
        <v>1496</v>
      </c>
    </row>
    <row r="832" spans="1:3" x14ac:dyDescent="0.4">
      <c r="A832">
        <v>34087</v>
      </c>
      <c r="B832" t="s">
        <v>1441</v>
      </c>
      <c r="C832" t="s">
        <v>1495</v>
      </c>
    </row>
    <row r="833" spans="1:3" x14ac:dyDescent="0.4">
      <c r="A833">
        <v>34088</v>
      </c>
      <c r="B833" t="s">
        <v>1441</v>
      </c>
      <c r="C833" t="s">
        <v>1494</v>
      </c>
    </row>
    <row r="834" spans="1:3" x14ac:dyDescent="0.4">
      <c r="A834">
        <v>34089</v>
      </c>
      <c r="B834" t="s">
        <v>1441</v>
      </c>
      <c r="C834" t="s">
        <v>1493</v>
      </c>
    </row>
    <row r="835" spans="1:3" x14ac:dyDescent="0.4">
      <c r="A835">
        <v>34090</v>
      </c>
      <c r="B835" t="s">
        <v>1441</v>
      </c>
      <c r="C835" t="s">
        <v>1492</v>
      </c>
    </row>
    <row r="836" spans="1:3" x14ac:dyDescent="0.4">
      <c r="A836">
        <v>34091</v>
      </c>
      <c r="B836" t="s">
        <v>1441</v>
      </c>
      <c r="C836" t="s">
        <v>1491</v>
      </c>
    </row>
    <row r="837" spans="1:3" x14ac:dyDescent="0.4">
      <c r="A837">
        <v>34092</v>
      </c>
      <c r="B837" t="s">
        <v>1441</v>
      </c>
      <c r="C837" t="s">
        <v>1490</v>
      </c>
    </row>
    <row r="838" spans="1:3" x14ac:dyDescent="0.4">
      <c r="A838">
        <v>34093</v>
      </c>
      <c r="B838" t="s">
        <v>1441</v>
      </c>
      <c r="C838" t="s">
        <v>1489</v>
      </c>
    </row>
    <row r="839" spans="1:3" x14ac:dyDescent="0.4">
      <c r="A839">
        <v>34094</v>
      </c>
      <c r="B839" t="s">
        <v>1441</v>
      </c>
      <c r="C839" t="s">
        <v>1488</v>
      </c>
    </row>
    <row r="840" spans="1:3" x14ac:dyDescent="0.4">
      <c r="A840">
        <v>35071</v>
      </c>
      <c r="B840" t="s">
        <v>1441</v>
      </c>
      <c r="C840" t="s">
        <v>1487</v>
      </c>
    </row>
    <row r="841" spans="1:3" x14ac:dyDescent="0.4">
      <c r="A841">
        <v>35072</v>
      </c>
      <c r="B841" t="s">
        <v>1441</v>
      </c>
      <c r="C841" t="s">
        <v>1486</v>
      </c>
    </row>
    <row r="842" spans="1:3" x14ac:dyDescent="0.4">
      <c r="A842">
        <v>35073</v>
      </c>
      <c r="B842" t="s">
        <v>1441</v>
      </c>
      <c r="C842" t="s">
        <v>1485</v>
      </c>
    </row>
    <row r="843" spans="1:3" x14ac:dyDescent="0.4">
      <c r="A843">
        <v>35074</v>
      </c>
      <c r="B843" t="s">
        <v>1441</v>
      </c>
      <c r="C843" t="s">
        <v>1484</v>
      </c>
    </row>
    <row r="844" spans="1:3" x14ac:dyDescent="0.4">
      <c r="A844">
        <v>35075</v>
      </c>
      <c r="B844" t="s">
        <v>1441</v>
      </c>
      <c r="C844" t="s">
        <v>1483</v>
      </c>
    </row>
    <row r="845" spans="1:3" x14ac:dyDescent="0.4">
      <c r="A845">
        <v>35076</v>
      </c>
      <c r="B845" t="s">
        <v>1441</v>
      </c>
      <c r="C845" t="s">
        <v>1482</v>
      </c>
    </row>
    <row r="846" spans="1:3" x14ac:dyDescent="0.4">
      <c r="A846">
        <v>35077</v>
      </c>
      <c r="B846" t="s">
        <v>1441</v>
      </c>
      <c r="C846" t="s">
        <v>1481</v>
      </c>
    </row>
    <row r="847" spans="1:3" x14ac:dyDescent="0.4">
      <c r="A847">
        <v>35078</v>
      </c>
      <c r="B847" t="s">
        <v>1441</v>
      </c>
      <c r="C847" t="s">
        <v>1480</v>
      </c>
    </row>
    <row r="848" spans="1:3" x14ac:dyDescent="0.4">
      <c r="A848">
        <v>35079</v>
      </c>
      <c r="B848" t="s">
        <v>1441</v>
      </c>
      <c r="C848" t="s">
        <v>1479</v>
      </c>
    </row>
    <row r="849" spans="1:3" x14ac:dyDescent="0.4">
      <c r="A849">
        <v>35080</v>
      </c>
      <c r="B849" t="s">
        <v>1441</v>
      </c>
      <c r="C849" t="s">
        <v>1478</v>
      </c>
    </row>
    <row r="850" spans="1:3" x14ac:dyDescent="0.4">
      <c r="A850">
        <v>35081</v>
      </c>
      <c r="B850" t="s">
        <v>1441</v>
      </c>
      <c r="C850" t="s">
        <v>1477</v>
      </c>
    </row>
    <row r="851" spans="1:3" x14ac:dyDescent="0.4">
      <c r="A851">
        <v>35082</v>
      </c>
      <c r="B851" t="s">
        <v>1441</v>
      </c>
      <c r="C851" t="s">
        <v>1476</v>
      </c>
    </row>
    <row r="852" spans="1:3" x14ac:dyDescent="0.4">
      <c r="A852">
        <v>35083</v>
      </c>
      <c r="B852" t="s">
        <v>1441</v>
      </c>
      <c r="C852" t="s">
        <v>1475</v>
      </c>
    </row>
    <row r="853" spans="1:3" x14ac:dyDescent="0.4">
      <c r="A853">
        <v>35084</v>
      </c>
      <c r="B853" t="s">
        <v>1441</v>
      </c>
      <c r="C853" t="s">
        <v>1474</v>
      </c>
    </row>
    <row r="854" spans="1:3" x14ac:dyDescent="0.4">
      <c r="A854">
        <v>35085</v>
      </c>
      <c r="B854" t="s">
        <v>1441</v>
      </c>
      <c r="C854" t="s">
        <v>1473</v>
      </c>
    </row>
    <row r="855" spans="1:3" x14ac:dyDescent="0.4">
      <c r="A855">
        <v>35086</v>
      </c>
      <c r="B855" t="s">
        <v>1441</v>
      </c>
      <c r="C855" t="s">
        <v>1472</v>
      </c>
    </row>
    <row r="856" spans="1:3" x14ac:dyDescent="0.4">
      <c r="A856">
        <v>35087</v>
      </c>
      <c r="B856" t="s">
        <v>1441</v>
      </c>
      <c r="C856" t="s">
        <v>1471</v>
      </c>
    </row>
    <row r="857" spans="1:3" x14ac:dyDescent="0.4">
      <c r="A857">
        <v>35088</v>
      </c>
      <c r="B857" t="s">
        <v>1441</v>
      </c>
      <c r="C857" t="s">
        <v>1470</v>
      </c>
    </row>
    <row r="858" spans="1:3" x14ac:dyDescent="0.4">
      <c r="A858">
        <v>35089</v>
      </c>
      <c r="B858" t="s">
        <v>1441</v>
      </c>
      <c r="C858" t="s">
        <v>1469</v>
      </c>
    </row>
    <row r="859" spans="1:3" x14ac:dyDescent="0.4">
      <c r="A859">
        <v>35090</v>
      </c>
      <c r="B859" t="s">
        <v>1441</v>
      </c>
      <c r="C859" t="s">
        <v>1468</v>
      </c>
    </row>
    <row r="860" spans="1:3" x14ac:dyDescent="0.4">
      <c r="A860">
        <v>35091</v>
      </c>
      <c r="B860" t="s">
        <v>1441</v>
      </c>
      <c r="C860" t="s">
        <v>1467</v>
      </c>
    </row>
    <row r="861" spans="1:3" x14ac:dyDescent="0.4">
      <c r="A861">
        <v>35092</v>
      </c>
      <c r="B861" t="s">
        <v>1441</v>
      </c>
      <c r="C861" t="s">
        <v>1466</v>
      </c>
    </row>
    <row r="862" spans="1:3" x14ac:dyDescent="0.4">
      <c r="A862">
        <v>35093</v>
      </c>
      <c r="B862" t="s">
        <v>1441</v>
      </c>
      <c r="C862" t="s">
        <v>1465</v>
      </c>
    </row>
    <row r="863" spans="1:3" x14ac:dyDescent="0.4">
      <c r="A863">
        <v>35094</v>
      </c>
      <c r="B863" t="s">
        <v>1441</v>
      </c>
      <c r="C863" t="s">
        <v>1464</v>
      </c>
    </row>
    <row r="864" spans="1:3" x14ac:dyDescent="0.4">
      <c r="A864">
        <v>38000</v>
      </c>
      <c r="B864" t="s">
        <v>1441</v>
      </c>
      <c r="C864" t="s">
        <v>1463</v>
      </c>
    </row>
    <row r="865" spans="1:3" x14ac:dyDescent="0.4">
      <c r="A865">
        <v>38001</v>
      </c>
      <c r="B865" t="s">
        <v>1441</v>
      </c>
      <c r="C865" t="s">
        <v>1462</v>
      </c>
    </row>
    <row r="866" spans="1:3" x14ac:dyDescent="0.4">
      <c r="A866">
        <v>38002</v>
      </c>
      <c r="B866" t="s">
        <v>1441</v>
      </c>
      <c r="C866" t="s">
        <v>1461</v>
      </c>
    </row>
    <row r="867" spans="1:3" x14ac:dyDescent="0.4">
      <c r="A867">
        <v>38003</v>
      </c>
      <c r="B867" t="s">
        <v>1441</v>
      </c>
      <c r="C867" t="s">
        <v>1460</v>
      </c>
    </row>
    <row r="868" spans="1:3" x14ac:dyDescent="0.4">
      <c r="A868">
        <v>38004</v>
      </c>
      <c r="B868" t="s">
        <v>1441</v>
      </c>
      <c r="C868" t="s">
        <v>1459</v>
      </c>
    </row>
    <row r="869" spans="1:3" x14ac:dyDescent="0.4">
      <c r="A869">
        <v>38005</v>
      </c>
      <c r="B869" t="s">
        <v>1441</v>
      </c>
      <c r="C869" t="s">
        <v>1458</v>
      </c>
    </row>
    <row r="870" spans="1:3" x14ac:dyDescent="0.4">
      <c r="A870">
        <v>38006</v>
      </c>
      <c r="B870" t="s">
        <v>1441</v>
      </c>
      <c r="C870" t="s">
        <v>1457</v>
      </c>
    </row>
    <row r="871" spans="1:3" x14ac:dyDescent="0.4">
      <c r="A871">
        <v>38007</v>
      </c>
      <c r="B871" t="s">
        <v>1441</v>
      </c>
      <c r="C871" t="s">
        <v>1456</v>
      </c>
    </row>
    <row r="872" spans="1:3" x14ac:dyDescent="0.4">
      <c r="A872">
        <v>38008</v>
      </c>
      <c r="B872" t="s">
        <v>1441</v>
      </c>
      <c r="C872" t="s">
        <v>1455</v>
      </c>
    </row>
    <row r="873" spans="1:3" x14ac:dyDescent="0.4">
      <c r="A873">
        <v>38009</v>
      </c>
      <c r="B873" t="s">
        <v>1441</v>
      </c>
      <c r="C873" t="s">
        <v>1454</v>
      </c>
    </row>
    <row r="874" spans="1:3" x14ac:dyDescent="0.4">
      <c r="A874">
        <v>38010</v>
      </c>
      <c r="B874" t="s">
        <v>1441</v>
      </c>
      <c r="C874" t="s">
        <v>1453</v>
      </c>
    </row>
    <row r="875" spans="1:3" x14ac:dyDescent="0.4">
      <c r="A875">
        <v>38011</v>
      </c>
      <c r="B875" t="s">
        <v>1441</v>
      </c>
      <c r="C875" t="s">
        <v>1452</v>
      </c>
    </row>
    <row r="876" spans="1:3" x14ac:dyDescent="0.4">
      <c r="A876">
        <v>38012</v>
      </c>
      <c r="B876" t="s">
        <v>1441</v>
      </c>
      <c r="C876" t="s">
        <v>1451</v>
      </c>
    </row>
    <row r="877" spans="1:3" x14ac:dyDescent="0.4">
      <c r="A877">
        <v>38013</v>
      </c>
      <c r="B877" t="s">
        <v>1441</v>
      </c>
      <c r="C877" t="s">
        <v>2316</v>
      </c>
    </row>
    <row r="878" spans="1:3" x14ac:dyDescent="0.4">
      <c r="A878">
        <v>38014</v>
      </c>
      <c r="B878" t="s">
        <v>1441</v>
      </c>
      <c r="C878" t="s">
        <v>2315</v>
      </c>
    </row>
    <row r="879" spans="1:3" x14ac:dyDescent="0.4">
      <c r="A879">
        <v>38015</v>
      </c>
      <c r="B879" t="s">
        <v>1441</v>
      </c>
      <c r="C879" t="s">
        <v>1449</v>
      </c>
    </row>
    <row r="880" spans="1:3" x14ac:dyDescent="0.4">
      <c r="A880">
        <v>38016</v>
      </c>
      <c r="B880" t="s">
        <v>1441</v>
      </c>
      <c r="C880" t="s">
        <v>1448</v>
      </c>
    </row>
    <row r="881" spans="1:3" x14ac:dyDescent="0.4">
      <c r="A881">
        <v>38017</v>
      </c>
      <c r="B881" t="s">
        <v>1441</v>
      </c>
      <c r="C881" t="s">
        <v>1447</v>
      </c>
    </row>
    <row r="882" spans="1:3" x14ac:dyDescent="0.4">
      <c r="A882">
        <v>38018</v>
      </c>
      <c r="B882" t="s">
        <v>1441</v>
      </c>
      <c r="C882" t="s">
        <v>1446</v>
      </c>
    </row>
    <row r="883" spans="1:3" x14ac:dyDescent="0.4">
      <c r="A883">
        <v>38019</v>
      </c>
      <c r="B883" t="s">
        <v>1441</v>
      </c>
      <c r="C883" t="s">
        <v>1445</v>
      </c>
    </row>
    <row r="884" spans="1:3" x14ac:dyDescent="0.4">
      <c r="A884">
        <v>38020</v>
      </c>
      <c r="B884" t="s">
        <v>1441</v>
      </c>
      <c r="C884" t="s">
        <v>1444</v>
      </c>
    </row>
    <row r="885" spans="1:3" x14ac:dyDescent="0.4">
      <c r="A885">
        <v>38021</v>
      </c>
      <c r="B885" t="s">
        <v>1441</v>
      </c>
      <c r="C885" t="s">
        <v>1443</v>
      </c>
    </row>
    <row r="886" spans="1:3" x14ac:dyDescent="0.4">
      <c r="A886">
        <v>38022</v>
      </c>
      <c r="B886" t="s">
        <v>1441</v>
      </c>
      <c r="C886" t="s">
        <v>1442</v>
      </c>
    </row>
    <row r="887" spans="1:3" x14ac:dyDescent="0.4">
      <c r="A887">
        <v>38023</v>
      </c>
      <c r="B887" t="s">
        <v>1441</v>
      </c>
      <c r="C887" t="s">
        <v>1440</v>
      </c>
    </row>
    <row r="888" spans="1:3" x14ac:dyDescent="0.4">
      <c r="A888">
        <v>40414</v>
      </c>
      <c r="B888" t="s">
        <v>1272</v>
      </c>
      <c r="C888" t="s">
        <v>1439</v>
      </c>
    </row>
    <row r="889" spans="1:3" x14ac:dyDescent="0.4">
      <c r="A889">
        <v>40480</v>
      </c>
      <c r="B889" t="s">
        <v>1272</v>
      </c>
      <c r="C889" t="s">
        <v>1438</v>
      </c>
    </row>
    <row r="890" spans="1:3" x14ac:dyDescent="0.4">
      <c r="A890">
        <v>40482</v>
      </c>
      <c r="B890" t="s">
        <v>1272</v>
      </c>
      <c r="C890" t="s">
        <v>1437</v>
      </c>
    </row>
    <row r="891" spans="1:3" x14ac:dyDescent="0.4">
      <c r="A891">
        <v>40483</v>
      </c>
      <c r="B891" t="s">
        <v>1272</v>
      </c>
      <c r="C891" t="s">
        <v>1436</v>
      </c>
    </row>
    <row r="892" spans="1:3" x14ac:dyDescent="0.4">
      <c r="A892">
        <v>40484</v>
      </c>
      <c r="B892" t="s">
        <v>1272</v>
      </c>
      <c r="C892" t="s">
        <v>1435</v>
      </c>
    </row>
    <row r="893" spans="1:3" x14ac:dyDescent="0.4">
      <c r="A893">
        <v>40485</v>
      </c>
      <c r="B893" t="s">
        <v>1272</v>
      </c>
      <c r="C893" t="s">
        <v>1434</v>
      </c>
    </row>
    <row r="894" spans="1:3" x14ac:dyDescent="0.4">
      <c r="A894">
        <v>40488</v>
      </c>
      <c r="B894" t="s">
        <v>1272</v>
      </c>
      <c r="C894" t="s">
        <v>1433</v>
      </c>
    </row>
    <row r="895" spans="1:3" x14ac:dyDescent="0.4">
      <c r="A895">
        <v>40489</v>
      </c>
      <c r="B895" t="s">
        <v>1272</v>
      </c>
      <c r="C895" t="s">
        <v>1432</v>
      </c>
    </row>
    <row r="896" spans="1:3" x14ac:dyDescent="0.4">
      <c r="A896">
        <v>40492</v>
      </c>
      <c r="B896" t="s">
        <v>1272</v>
      </c>
      <c r="C896" t="s">
        <v>1431</v>
      </c>
    </row>
    <row r="897" spans="1:3" x14ac:dyDescent="0.4">
      <c r="A897">
        <v>40493</v>
      </c>
      <c r="B897" t="s">
        <v>1272</v>
      </c>
      <c r="C897" t="s">
        <v>1430</v>
      </c>
    </row>
    <row r="898" spans="1:3" x14ac:dyDescent="0.4">
      <c r="A898">
        <v>40494</v>
      </c>
      <c r="B898" t="s">
        <v>1272</v>
      </c>
      <c r="C898" t="s">
        <v>1429</v>
      </c>
    </row>
    <row r="899" spans="1:3" x14ac:dyDescent="0.4">
      <c r="A899">
        <v>40495</v>
      </c>
      <c r="B899" t="s">
        <v>1272</v>
      </c>
      <c r="C899" t="s">
        <v>1428</v>
      </c>
    </row>
    <row r="900" spans="1:3" x14ac:dyDescent="0.4">
      <c r="A900">
        <v>40496</v>
      </c>
      <c r="B900" t="s">
        <v>1272</v>
      </c>
      <c r="C900" t="s">
        <v>1427</v>
      </c>
    </row>
    <row r="901" spans="1:3" x14ac:dyDescent="0.4">
      <c r="A901">
        <v>40497</v>
      </c>
      <c r="B901" t="s">
        <v>1272</v>
      </c>
      <c r="C901" t="s">
        <v>1426</v>
      </c>
    </row>
    <row r="902" spans="1:3" x14ac:dyDescent="0.4">
      <c r="A902">
        <v>40500</v>
      </c>
      <c r="B902" t="s">
        <v>1272</v>
      </c>
      <c r="C902" t="s">
        <v>1425</v>
      </c>
    </row>
    <row r="903" spans="1:3" x14ac:dyDescent="0.4">
      <c r="A903">
        <v>40501</v>
      </c>
      <c r="B903" t="s">
        <v>1272</v>
      </c>
      <c r="C903" t="s">
        <v>1424</v>
      </c>
    </row>
    <row r="904" spans="1:3" x14ac:dyDescent="0.4">
      <c r="A904">
        <v>40502</v>
      </c>
      <c r="B904" t="s">
        <v>1272</v>
      </c>
      <c r="C904" t="s">
        <v>1423</v>
      </c>
    </row>
    <row r="905" spans="1:3" x14ac:dyDescent="0.4">
      <c r="A905">
        <v>40503</v>
      </c>
      <c r="B905" t="s">
        <v>1272</v>
      </c>
      <c r="C905" t="s">
        <v>1422</v>
      </c>
    </row>
    <row r="906" spans="1:3" x14ac:dyDescent="0.4">
      <c r="A906">
        <v>40504</v>
      </c>
      <c r="B906" t="s">
        <v>1272</v>
      </c>
      <c r="C906" t="s">
        <v>1421</v>
      </c>
    </row>
    <row r="907" spans="1:3" x14ac:dyDescent="0.4">
      <c r="A907">
        <v>40507</v>
      </c>
      <c r="B907" t="s">
        <v>1272</v>
      </c>
      <c r="C907" t="s">
        <v>1420</v>
      </c>
    </row>
    <row r="908" spans="1:3" x14ac:dyDescent="0.4">
      <c r="A908">
        <v>40508</v>
      </c>
      <c r="B908" t="s">
        <v>1272</v>
      </c>
      <c r="C908" t="s">
        <v>1419</v>
      </c>
    </row>
    <row r="909" spans="1:3" x14ac:dyDescent="0.4">
      <c r="A909">
        <v>40509</v>
      </c>
      <c r="B909" t="s">
        <v>1272</v>
      </c>
      <c r="C909" t="s">
        <v>1418</v>
      </c>
    </row>
    <row r="910" spans="1:3" x14ac:dyDescent="0.4">
      <c r="A910">
        <v>40510</v>
      </c>
      <c r="B910" t="s">
        <v>1272</v>
      </c>
      <c r="C910" t="s">
        <v>1417</v>
      </c>
    </row>
    <row r="911" spans="1:3" x14ac:dyDescent="0.4">
      <c r="A911">
        <v>40511</v>
      </c>
      <c r="B911" t="s">
        <v>1272</v>
      </c>
      <c r="C911" t="s">
        <v>1416</v>
      </c>
    </row>
    <row r="912" spans="1:3" x14ac:dyDescent="0.4">
      <c r="A912">
        <v>40512</v>
      </c>
      <c r="B912" t="s">
        <v>1272</v>
      </c>
      <c r="C912" t="s">
        <v>1415</v>
      </c>
    </row>
    <row r="913" spans="1:3" x14ac:dyDescent="0.4">
      <c r="A913">
        <v>40513</v>
      </c>
      <c r="B913" t="s">
        <v>1272</v>
      </c>
      <c r="C913" t="s">
        <v>1414</v>
      </c>
    </row>
    <row r="914" spans="1:3" x14ac:dyDescent="0.4">
      <c r="A914">
        <v>40514</v>
      </c>
      <c r="B914" t="s">
        <v>1272</v>
      </c>
      <c r="C914" t="s">
        <v>1413</v>
      </c>
    </row>
    <row r="915" spans="1:3" x14ac:dyDescent="0.4">
      <c r="A915">
        <v>40515</v>
      </c>
      <c r="B915" t="s">
        <v>1272</v>
      </c>
      <c r="C915" t="s">
        <v>1412</v>
      </c>
    </row>
    <row r="916" spans="1:3" x14ac:dyDescent="0.4">
      <c r="A916">
        <v>40516</v>
      </c>
      <c r="B916" t="s">
        <v>1272</v>
      </c>
      <c r="C916" t="s">
        <v>1411</v>
      </c>
    </row>
    <row r="917" spans="1:3" x14ac:dyDescent="0.4">
      <c r="A917">
        <v>40519</v>
      </c>
      <c r="B917" t="s">
        <v>1272</v>
      </c>
      <c r="C917" t="s">
        <v>1410</v>
      </c>
    </row>
    <row r="918" spans="1:3" x14ac:dyDescent="0.4">
      <c r="A918">
        <v>40520</v>
      </c>
      <c r="B918" t="s">
        <v>1272</v>
      </c>
      <c r="C918" t="s">
        <v>1409</v>
      </c>
    </row>
    <row r="919" spans="1:3" x14ac:dyDescent="0.4">
      <c r="A919">
        <v>40521</v>
      </c>
      <c r="B919" t="s">
        <v>1272</v>
      </c>
      <c r="C919" t="s">
        <v>1408</v>
      </c>
    </row>
    <row r="920" spans="1:3" x14ac:dyDescent="0.4">
      <c r="A920">
        <v>40522</v>
      </c>
      <c r="B920" t="s">
        <v>1272</v>
      </c>
      <c r="C920" t="s">
        <v>1407</v>
      </c>
    </row>
    <row r="921" spans="1:3" x14ac:dyDescent="0.4">
      <c r="A921">
        <v>40523</v>
      </c>
      <c r="B921" t="s">
        <v>1272</v>
      </c>
      <c r="C921" t="s">
        <v>1406</v>
      </c>
    </row>
    <row r="922" spans="1:3" x14ac:dyDescent="0.4">
      <c r="A922">
        <v>40542</v>
      </c>
      <c r="B922" t="s">
        <v>1272</v>
      </c>
      <c r="C922" t="s">
        <v>1405</v>
      </c>
    </row>
    <row r="923" spans="1:3" x14ac:dyDescent="0.4">
      <c r="A923">
        <v>40592</v>
      </c>
      <c r="B923" t="s">
        <v>1272</v>
      </c>
      <c r="C923" t="s">
        <v>1404</v>
      </c>
    </row>
    <row r="924" spans="1:3" x14ac:dyDescent="0.4">
      <c r="A924">
        <v>40593</v>
      </c>
      <c r="B924" t="s">
        <v>1272</v>
      </c>
      <c r="C924" t="s">
        <v>1403</v>
      </c>
    </row>
    <row r="925" spans="1:3" x14ac:dyDescent="0.4">
      <c r="A925">
        <v>40594</v>
      </c>
      <c r="B925" t="s">
        <v>1272</v>
      </c>
      <c r="C925" t="s">
        <v>1402</v>
      </c>
    </row>
    <row r="926" spans="1:3" x14ac:dyDescent="0.4">
      <c r="A926">
        <v>40595</v>
      </c>
      <c r="B926" t="s">
        <v>1272</v>
      </c>
      <c r="C926" t="s">
        <v>1401</v>
      </c>
    </row>
    <row r="927" spans="1:3" x14ac:dyDescent="0.4">
      <c r="A927">
        <v>40596</v>
      </c>
      <c r="B927" t="s">
        <v>1272</v>
      </c>
      <c r="C927" t="s">
        <v>1400</v>
      </c>
    </row>
    <row r="928" spans="1:3" x14ac:dyDescent="0.4">
      <c r="A928">
        <v>40597</v>
      </c>
      <c r="B928" t="s">
        <v>1272</v>
      </c>
      <c r="C928" t="s">
        <v>1399</v>
      </c>
    </row>
    <row r="929" spans="1:3" x14ac:dyDescent="0.4">
      <c r="A929">
        <v>40598</v>
      </c>
      <c r="B929" t="s">
        <v>1272</v>
      </c>
      <c r="C929" t="s">
        <v>1398</v>
      </c>
    </row>
    <row r="930" spans="1:3" x14ac:dyDescent="0.4">
      <c r="A930">
        <v>40600</v>
      </c>
      <c r="B930" t="s">
        <v>1272</v>
      </c>
      <c r="C930" t="s">
        <v>1397</v>
      </c>
    </row>
    <row r="931" spans="1:3" x14ac:dyDescent="0.4">
      <c r="A931">
        <v>40601</v>
      </c>
      <c r="B931" t="s">
        <v>1272</v>
      </c>
      <c r="C931" t="s">
        <v>1396</v>
      </c>
    </row>
    <row r="932" spans="1:3" x14ac:dyDescent="0.4">
      <c r="A932">
        <v>40602</v>
      </c>
      <c r="B932" t="s">
        <v>1272</v>
      </c>
      <c r="C932" t="s">
        <v>1395</v>
      </c>
    </row>
    <row r="933" spans="1:3" x14ac:dyDescent="0.4">
      <c r="A933">
        <v>40603</v>
      </c>
      <c r="B933" t="s">
        <v>1272</v>
      </c>
      <c r="C933" t="s">
        <v>1394</v>
      </c>
    </row>
    <row r="934" spans="1:3" x14ac:dyDescent="0.4">
      <c r="A934">
        <v>40604</v>
      </c>
      <c r="B934" t="s">
        <v>1272</v>
      </c>
      <c r="C934" t="s">
        <v>1393</v>
      </c>
    </row>
    <row r="935" spans="1:3" x14ac:dyDescent="0.4">
      <c r="A935">
        <v>40605</v>
      </c>
      <c r="B935" t="s">
        <v>1272</v>
      </c>
      <c r="C935" t="s">
        <v>1392</v>
      </c>
    </row>
    <row r="936" spans="1:3" x14ac:dyDescent="0.4">
      <c r="A936">
        <v>40606</v>
      </c>
      <c r="B936" t="s">
        <v>1272</v>
      </c>
      <c r="C936" t="s">
        <v>1391</v>
      </c>
    </row>
    <row r="937" spans="1:3" x14ac:dyDescent="0.4">
      <c r="A937">
        <v>40608</v>
      </c>
      <c r="B937" t="s">
        <v>1272</v>
      </c>
      <c r="C937" t="s">
        <v>1390</v>
      </c>
    </row>
    <row r="938" spans="1:3" x14ac:dyDescent="0.4">
      <c r="A938">
        <v>40609</v>
      </c>
      <c r="B938" t="s">
        <v>1272</v>
      </c>
      <c r="C938" t="s">
        <v>1389</v>
      </c>
    </row>
    <row r="939" spans="1:3" x14ac:dyDescent="0.4">
      <c r="A939">
        <v>40610</v>
      </c>
      <c r="B939" t="s">
        <v>1272</v>
      </c>
      <c r="C939" t="s">
        <v>1388</v>
      </c>
    </row>
    <row r="940" spans="1:3" x14ac:dyDescent="0.4">
      <c r="A940">
        <v>40611</v>
      </c>
      <c r="B940" t="s">
        <v>1272</v>
      </c>
      <c r="C940" t="s">
        <v>1387</v>
      </c>
    </row>
    <row r="941" spans="1:3" x14ac:dyDescent="0.4">
      <c r="A941">
        <v>40612</v>
      </c>
      <c r="B941" t="s">
        <v>1272</v>
      </c>
      <c r="C941" t="s">
        <v>1386</v>
      </c>
    </row>
    <row r="942" spans="1:3" x14ac:dyDescent="0.4">
      <c r="A942">
        <v>40613</v>
      </c>
      <c r="B942" t="s">
        <v>1272</v>
      </c>
      <c r="C942" t="s">
        <v>1385</v>
      </c>
    </row>
    <row r="943" spans="1:3" x14ac:dyDescent="0.4">
      <c r="A943">
        <v>40614</v>
      </c>
      <c r="B943" t="s">
        <v>1272</v>
      </c>
      <c r="C943" t="s">
        <v>1384</v>
      </c>
    </row>
    <row r="944" spans="1:3" x14ac:dyDescent="0.4">
      <c r="A944">
        <v>40616</v>
      </c>
      <c r="B944" t="s">
        <v>1272</v>
      </c>
      <c r="C944" t="s">
        <v>1383</v>
      </c>
    </row>
    <row r="945" spans="1:3" x14ac:dyDescent="0.4">
      <c r="A945">
        <v>40617</v>
      </c>
      <c r="B945" t="s">
        <v>1272</v>
      </c>
      <c r="C945" t="s">
        <v>1382</v>
      </c>
    </row>
    <row r="946" spans="1:3" x14ac:dyDescent="0.4">
      <c r="A946">
        <v>40618</v>
      </c>
      <c r="B946" t="s">
        <v>1272</v>
      </c>
      <c r="C946" t="s">
        <v>1381</v>
      </c>
    </row>
    <row r="947" spans="1:3" x14ac:dyDescent="0.4">
      <c r="A947">
        <v>40619</v>
      </c>
      <c r="B947" t="s">
        <v>1272</v>
      </c>
      <c r="C947" t="s">
        <v>1380</v>
      </c>
    </row>
    <row r="948" spans="1:3" x14ac:dyDescent="0.4">
      <c r="A948">
        <v>40620</v>
      </c>
      <c r="B948" t="s">
        <v>1272</v>
      </c>
      <c r="C948" t="s">
        <v>1379</v>
      </c>
    </row>
    <row r="949" spans="1:3" x14ac:dyDescent="0.4">
      <c r="A949">
        <v>40621</v>
      </c>
      <c r="B949" t="s">
        <v>1272</v>
      </c>
      <c r="C949" t="s">
        <v>1378</v>
      </c>
    </row>
    <row r="950" spans="1:3" x14ac:dyDescent="0.4">
      <c r="A950">
        <v>40622</v>
      </c>
      <c r="B950" t="s">
        <v>1272</v>
      </c>
      <c r="C950" t="s">
        <v>1377</v>
      </c>
    </row>
    <row r="951" spans="1:3" x14ac:dyDescent="0.4">
      <c r="A951">
        <v>40624</v>
      </c>
      <c r="B951" t="s">
        <v>1272</v>
      </c>
      <c r="C951" t="s">
        <v>1376</v>
      </c>
    </row>
    <row r="952" spans="1:3" x14ac:dyDescent="0.4">
      <c r="A952">
        <v>40626</v>
      </c>
      <c r="B952" t="s">
        <v>1272</v>
      </c>
      <c r="C952" t="s">
        <v>1375</v>
      </c>
    </row>
    <row r="953" spans="1:3" x14ac:dyDescent="0.4">
      <c r="A953">
        <v>40628</v>
      </c>
      <c r="B953" t="s">
        <v>1272</v>
      </c>
      <c r="C953" t="s">
        <v>1374</v>
      </c>
    </row>
    <row r="954" spans="1:3" x14ac:dyDescent="0.4">
      <c r="A954">
        <v>40631</v>
      </c>
      <c r="B954" t="s">
        <v>1272</v>
      </c>
      <c r="C954" t="s">
        <v>1373</v>
      </c>
    </row>
    <row r="955" spans="1:3" x14ac:dyDescent="0.4">
      <c r="A955">
        <v>40632</v>
      </c>
      <c r="B955" t="s">
        <v>1272</v>
      </c>
      <c r="C955" t="s">
        <v>1372</v>
      </c>
    </row>
    <row r="956" spans="1:3" x14ac:dyDescent="0.4">
      <c r="A956">
        <v>40633</v>
      </c>
      <c r="B956" t="s">
        <v>1272</v>
      </c>
      <c r="C956" t="s">
        <v>1371</v>
      </c>
    </row>
    <row r="957" spans="1:3" x14ac:dyDescent="0.4">
      <c r="A957">
        <v>40634</v>
      </c>
      <c r="B957" t="s">
        <v>1272</v>
      </c>
      <c r="C957" t="s">
        <v>1370</v>
      </c>
    </row>
    <row r="958" spans="1:3" x14ac:dyDescent="0.4">
      <c r="A958">
        <v>40635</v>
      </c>
      <c r="B958" t="s">
        <v>1272</v>
      </c>
      <c r="C958" t="s">
        <v>1369</v>
      </c>
    </row>
    <row r="959" spans="1:3" x14ac:dyDescent="0.4">
      <c r="A959">
        <v>42414</v>
      </c>
      <c r="B959" t="s">
        <v>1272</v>
      </c>
      <c r="C959" t="s">
        <v>1368</v>
      </c>
    </row>
    <row r="960" spans="1:3" x14ac:dyDescent="0.4">
      <c r="A960">
        <v>42480</v>
      </c>
      <c r="B960" t="s">
        <v>1272</v>
      </c>
      <c r="C960" t="s">
        <v>1367</v>
      </c>
    </row>
    <row r="961" spans="1:3" x14ac:dyDescent="0.4">
      <c r="A961">
        <v>42482</v>
      </c>
      <c r="B961" t="s">
        <v>1272</v>
      </c>
      <c r="C961" t="s">
        <v>1366</v>
      </c>
    </row>
    <row r="962" spans="1:3" x14ac:dyDescent="0.4">
      <c r="A962">
        <v>42483</v>
      </c>
      <c r="B962" t="s">
        <v>1272</v>
      </c>
      <c r="C962" t="s">
        <v>1365</v>
      </c>
    </row>
    <row r="963" spans="1:3" x14ac:dyDescent="0.4">
      <c r="A963">
        <v>42484</v>
      </c>
      <c r="B963" t="s">
        <v>1272</v>
      </c>
      <c r="C963" t="s">
        <v>1364</v>
      </c>
    </row>
    <row r="964" spans="1:3" x14ac:dyDescent="0.4">
      <c r="A964">
        <v>42485</v>
      </c>
      <c r="B964" t="s">
        <v>1272</v>
      </c>
      <c r="C964" t="s">
        <v>1363</v>
      </c>
    </row>
    <row r="965" spans="1:3" x14ac:dyDescent="0.4">
      <c r="A965">
        <v>42488</v>
      </c>
      <c r="B965" t="s">
        <v>1272</v>
      </c>
      <c r="C965" t="s">
        <v>1362</v>
      </c>
    </row>
    <row r="966" spans="1:3" x14ac:dyDescent="0.4">
      <c r="A966">
        <v>42489</v>
      </c>
      <c r="B966" t="s">
        <v>1272</v>
      </c>
      <c r="C966" t="s">
        <v>1361</v>
      </c>
    </row>
    <row r="967" spans="1:3" x14ac:dyDescent="0.4">
      <c r="A967">
        <v>42492</v>
      </c>
      <c r="B967" t="s">
        <v>1272</v>
      </c>
      <c r="C967" t="s">
        <v>1360</v>
      </c>
    </row>
    <row r="968" spans="1:3" x14ac:dyDescent="0.4">
      <c r="A968">
        <v>42493</v>
      </c>
      <c r="B968" t="s">
        <v>1272</v>
      </c>
      <c r="C968" t="s">
        <v>1359</v>
      </c>
    </row>
    <row r="969" spans="1:3" x14ac:dyDescent="0.4">
      <c r="A969">
        <v>42494</v>
      </c>
      <c r="B969" t="s">
        <v>1272</v>
      </c>
      <c r="C969" t="s">
        <v>1358</v>
      </c>
    </row>
    <row r="970" spans="1:3" x14ac:dyDescent="0.4">
      <c r="A970">
        <v>42495</v>
      </c>
      <c r="B970" t="s">
        <v>1272</v>
      </c>
      <c r="C970" t="s">
        <v>1357</v>
      </c>
    </row>
    <row r="971" spans="1:3" x14ac:dyDescent="0.4">
      <c r="A971">
        <v>42496</v>
      </c>
      <c r="B971" t="s">
        <v>1272</v>
      </c>
      <c r="C971" t="s">
        <v>1356</v>
      </c>
    </row>
    <row r="972" spans="1:3" x14ac:dyDescent="0.4">
      <c r="A972">
        <v>42497</v>
      </c>
      <c r="B972" t="s">
        <v>1272</v>
      </c>
      <c r="C972" t="s">
        <v>1355</v>
      </c>
    </row>
    <row r="973" spans="1:3" x14ac:dyDescent="0.4">
      <c r="A973">
        <v>42500</v>
      </c>
      <c r="B973" t="s">
        <v>1272</v>
      </c>
      <c r="C973" t="s">
        <v>1354</v>
      </c>
    </row>
    <row r="974" spans="1:3" x14ac:dyDescent="0.4">
      <c r="A974">
        <v>42501</v>
      </c>
      <c r="B974" t="s">
        <v>1272</v>
      </c>
      <c r="C974" t="s">
        <v>1353</v>
      </c>
    </row>
    <row r="975" spans="1:3" x14ac:dyDescent="0.4">
      <c r="A975">
        <v>42502</v>
      </c>
      <c r="B975" t="s">
        <v>1272</v>
      </c>
      <c r="C975" t="s">
        <v>1352</v>
      </c>
    </row>
    <row r="976" spans="1:3" x14ac:dyDescent="0.4">
      <c r="A976">
        <v>42503</v>
      </c>
      <c r="B976" t="s">
        <v>1272</v>
      </c>
      <c r="C976" t="s">
        <v>1351</v>
      </c>
    </row>
    <row r="977" spans="1:3" x14ac:dyDescent="0.4">
      <c r="A977">
        <v>42504</v>
      </c>
      <c r="B977" t="s">
        <v>1272</v>
      </c>
      <c r="C977" t="s">
        <v>1350</v>
      </c>
    </row>
    <row r="978" spans="1:3" x14ac:dyDescent="0.4">
      <c r="A978">
        <v>42507</v>
      </c>
      <c r="B978" t="s">
        <v>1272</v>
      </c>
      <c r="C978" t="s">
        <v>1349</v>
      </c>
    </row>
    <row r="979" spans="1:3" x14ac:dyDescent="0.4">
      <c r="A979">
        <v>42508</v>
      </c>
      <c r="B979" t="s">
        <v>1272</v>
      </c>
      <c r="C979" t="s">
        <v>1348</v>
      </c>
    </row>
    <row r="980" spans="1:3" x14ac:dyDescent="0.4">
      <c r="A980">
        <v>42509</v>
      </c>
      <c r="B980" t="s">
        <v>1272</v>
      </c>
      <c r="C980" t="s">
        <v>1347</v>
      </c>
    </row>
    <row r="981" spans="1:3" x14ac:dyDescent="0.4">
      <c r="A981">
        <v>42510</v>
      </c>
      <c r="B981" t="s">
        <v>1272</v>
      </c>
      <c r="C981" t="s">
        <v>1346</v>
      </c>
    </row>
    <row r="982" spans="1:3" x14ac:dyDescent="0.4">
      <c r="A982">
        <v>42511</v>
      </c>
      <c r="B982" t="s">
        <v>1272</v>
      </c>
      <c r="C982" t="s">
        <v>1345</v>
      </c>
    </row>
    <row r="983" spans="1:3" x14ac:dyDescent="0.4">
      <c r="A983">
        <v>42512</v>
      </c>
      <c r="B983" t="s">
        <v>1272</v>
      </c>
      <c r="C983" t="s">
        <v>1344</v>
      </c>
    </row>
    <row r="984" spans="1:3" x14ac:dyDescent="0.4">
      <c r="A984">
        <v>42513</v>
      </c>
      <c r="B984" t="s">
        <v>1272</v>
      </c>
      <c r="C984" t="s">
        <v>1343</v>
      </c>
    </row>
    <row r="985" spans="1:3" x14ac:dyDescent="0.4">
      <c r="A985">
        <v>42514</v>
      </c>
      <c r="B985" t="s">
        <v>1272</v>
      </c>
      <c r="C985" t="s">
        <v>1342</v>
      </c>
    </row>
    <row r="986" spans="1:3" x14ac:dyDescent="0.4">
      <c r="A986">
        <v>42515</v>
      </c>
      <c r="B986" t="s">
        <v>1272</v>
      </c>
      <c r="C986" t="s">
        <v>1341</v>
      </c>
    </row>
    <row r="987" spans="1:3" x14ac:dyDescent="0.4">
      <c r="A987">
        <v>42516</v>
      </c>
      <c r="B987" t="s">
        <v>1272</v>
      </c>
      <c r="C987" t="s">
        <v>1340</v>
      </c>
    </row>
    <row r="988" spans="1:3" x14ac:dyDescent="0.4">
      <c r="A988">
        <v>42519</v>
      </c>
      <c r="B988" t="s">
        <v>1272</v>
      </c>
      <c r="C988" t="s">
        <v>1339</v>
      </c>
    </row>
    <row r="989" spans="1:3" x14ac:dyDescent="0.4">
      <c r="A989">
        <v>42520</v>
      </c>
      <c r="B989" t="s">
        <v>1272</v>
      </c>
      <c r="C989" t="s">
        <v>1338</v>
      </c>
    </row>
    <row r="990" spans="1:3" x14ac:dyDescent="0.4">
      <c r="A990">
        <v>42521</v>
      </c>
      <c r="B990" t="s">
        <v>1272</v>
      </c>
      <c r="C990" t="s">
        <v>1337</v>
      </c>
    </row>
    <row r="991" spans="1:3" x14ac:dyDescent="0.4">
      <c r="A991">
        <v>42522</v>
      </c>
      <c r="B991" t="s">
        <v>1272</v>
      </c>
      <c r="C991" t="s">
        <v>1336</v>
      </c>
    </row>
    <row r="992" spans="1:3" x14ac:dyDescent="0.4">
      <c r="A992">
        <v>42523</v>
      </c>
      <c r="B992" t="s">
        <v>1272</v>
      </c>
      <c r="C992" t="s">
        <v>1335</v>
      </c>
    </row>
    <row r="993" spans="1:3" x14ac:dyDescent="0.4">
      <c r="A993">
        <v>42542</v>
      </c>
      <c r="B993" t="s">
        <v>1272</v>
      </c>
      <c r="C993" t="s">
        <v>1334</v>
      </c>
    </row>
    <row r="994" spans="1:3" x14ac:dyDescent="0.4">
      <c r="A994">
        <v>42592</v>
      </c>
      <c r="B994" t="s">
        <v>1272</v>
      </c>
      <c r="C994" t="s">
        <v>1333</v>
      </c>
    </row>
    <row r="995" spans="1:3" x14ac:dyDescent="0.4">
      <c r="A995">
        <v>42593</v>
      </c>
      <c r="B995" t="s">
        <v>1272</v>
      </c>
      <c r="C995" t="s">
        <v>1332</v>
      </c>
    </row>
    <row r="996" spans="1:3" x14ac:dyDescent="0.4">
      <c r="A996">
        <v>42594</v>
      </c>
      <c r="B996" t="s">
        <v>1272</v>
      </c>
      <c r="C996" t="s">
        <v>1331</v>
      </c>
    </row>
    <row r="997" spans="1:3" x14ac:dyDescent="0.4">
      <c r="A997">
        <v>42595</v>
      </c>
      <c r="B997" t="s">
        <v>1272</v>
      </c>
      <c r="C997" t="s">
        <v>1330</v>
      </c>
    </row>
    <row r="998" spans="1:3" x14ac:dyDescent="0.4">
      <c r="A998">
        <v>42596</v>
      </c>
      <c r="B998" t="s">
        <v>1272</v>
      </c>
      <c r="C998" t="s">
        <v>1329</v>
      </c>
    </row>
    <row r="999" spans="1:3" x14ac:dyDescent="0.4">
      <c r="A999">
        <v>42597</v>
      </c>
      <c r="B999" t="s">
        <v>1272</v>
      </c>
      <c r="C999" t="s">
        <v>1328</v>
      </c>
    </row>
    <row r="1000" spans="1:3" x14ac:dyDescent="0.4">
      <c r="A1000">
        <v>42598</v>
      </c>
      <c r="B1000" t="s">
        <v>1272</v>
      </c>
      <c r="C1000" t="s">
        <v>1327</v>
      </c>
    </row>
    <row r="1001" spans="1:3" x14ac:dyDescent="0.4">
      <c r="A1001">
        <v>42600</v>
      </c>
      <c r="B1001" t="s">
        <v>1272</v>
      </c>
      <c r="C1001" t="s">
        <v>1326</v>
      </c>
    </row>
    <row r="1002" spans="1:3" x14ac:dyDescent="0.4">
      <c r="A1002">
        <v>42601</v>
      </c>
      <c r="B1002" t="s">
        <v>1272</v>
      </c>
      <c r="C1002" t="s">
        <v>1325</v>
      </c>
    </row>
    <row r="1003" spans="1:3" x14ac:dyDescent="0.4">
      <c r="A1003">
        <v>42602</v>
      </c>
      <c r="B1003" t="s">
        <v>1272</v>
      </c>
      <c r="C1003" t="s">
        <v>1324</v>
      </c>
    </row>
    <row r="1004" spans="1:3" x14ac:dyDescent="0.4">
      <c r="A1004">
        <v>42603</v>
      </c>
      <c r="B1004" t="s">
        <v>1272</v>
      </c>
      <c r="C1004" t="s">
        <v>1323</v>
      </c>
    </row>
    <row r="1005" spans="1:3" x14ac:dyDescent="0.4">
      <c r="A1005">
        <v>42604</v>
      </c>
      <c r="B1005" t="s">
        <v>1272</v>
      </c>
      <c r="C1005" t="s">
        <v>1322</v>
      </c>
    </row>
    <row r="1006" spans="1:3" x14ac:dyDescent="0.4">
      <c r="A1006">
        <v>42605</v>
      </c>
      <c r="B1006" t="s">
        <v>1272</v>
      </c>
      <c r="C1006" t="s">
        <v>1321</v>
      </c>
    </row>
    <row r="1007" spans="1:3" x14ac:dyDescent="0.4">
      <c r="A1007">
        <v>42606</v>
      </c>
      <c r="B1007" t="s">
        <v>1272</v>
      </c>
      <c r="C1007" t="s">
        <v>1320</v>
      </c>
    </row>
    <row r="1008" spans="1:3" x14ac:dyDescent="0.4">
      <c r="A1008">
        <v>42608</v>
      </c>
      <c r="B1008" t="s">
        <v>1272</v>
      </c>
      <c r="C1008" t="s">
        <v>1319</v>
      </c>
    </row>
    <row r="1009" spans="1:3" x14ac:dyDescent="0.4">
      <c r="A1009">
        <v>42609</v>
      </c>
      <c r="B1009" t="s">
        <v>1272</v>
      </c>
      <c r="C1009" t="s">
        <v>1318</v>
      </c>
    </row>
    <row r="1010" spans="1:3" x14ac:dyDescent="0.4">
      <c r="A1010">
        <v>42610</v>
      </c>
      <c r="B1010" t="s">
        <v>1272</v>
      </c>
      <c r="C1010" t="s">
        <v>1317</v>
      </c>
    </row>
    <row r="1011" spans="1:3" x14ac:dyDescent="0.4">
      <c r="A1011">
        <v>42611</v>
      </c>
      <c r="B1011" t="s">
        <v>1272</v>
      </c>
      <c r="C1011" t="s">
        <v>1316</v>
      </c>
    </row>
    <row r="1012" spans="1:3" x14ac:dyDescent="0.4">
      <c r="A1012">
        <v>42612</v>
      </c>
      <c r="B1012" t="s">
        <v>1272</v>
      </c>
      <c r="C1012" t="s">
        <v>1315</v>
      </c>
    </row>
    <row r="1013" spans="1:3" x14ac:dyDescent="0.4">
      <c r="A1013">
        <v>42613</v>
      </c>
      <c r="B1013" t="s">
        <v>1272</v>
      </c>
      <c r="C1013" t="s">
        <v>1314</v>
      </c>
    </row>
    <row r="1014" spans="1:3" x14ac:dyDescent="0.4">
      <c r="A1014">
        <v>42614</v>
      </c>
      <c r="B1014" t="s">
        <v>1272</v>
      </c>
      <c r="C1014" t="s">
        <v>1313</v>
      </c>
    </row>
    <row r="1015" spans="1:3" x14ac:dyDescent="0.4">
      <c r="A1015">
        <v>42616</v>
      </c>
      <c r="B1015" t="s">
        <v>1272</v>
      </c>
      <c r="C1015" t="s">
        <v>1312</v>
      </c>
    </row>
    <row r="1016" spans="1:3" x14ac:dyDescent="0.4">
      <c r="A1016">
        <v>42617</v>
      </c>
      <c r="B1016" t="s">
        <v>1272</v>
      </c>
      <c r="C1016" t="s">
        <v>1311</v>
      </c>
    </row>
    <row r="1017" spans="1:3" x14ac:dyDescent="0.4">
      <c r="A1017">
        <v>42618</v>
      </c>
      <c r="B1017" t="s">
        <v>1272</v>
      </c>
      <c r="C1017" t="s">
        <v>1310</v>
      </c>
    </row>
    <row r="1018" spans="1:3" x14ac:dyDescent="0.4">
      <c r="A1018">
        <v>42619</v>
      </c>
      <c r="B1018" t="s">
        <v>1272</v>
      </c>
      <c r="C1018" t="s">
        <v>1309</v>
      </c>
    </row>
    <row r="1019" spans="1:3" x14ac:dyDescent="0.4">
      <c r="A1019">
        <v>42620</v>
      </c>
      <c r="B1019" t="s">
        <v>1272</v>
      </c>
      <c r="C1019" t="s">
        <v>1308</v>
      </c>
    </row>
    <row r="1020" spans="1:3" x14ac:dyDescent="0.4">
      <c r="A1020">
        <v>42621</v>
      </c>
      <c r="B1020" t="s">
        <v>1272</v>
      </c>
      <c r="C1020" t="s">
        <v>1307</v>
      </c>
    </row>
    <row r="1021" spans="1:3" x14ac:dyDescent="0.4">
      <c r="A1021">
        <v>42622</v>
      </c>
      <c r="B1021" t="s">
        <v>1272</v>
      </c>
      <c r="C1021" t="s">
        <v>1306</v>
      </c>
    </row>
    <row r="1022" spans="1:3" x14ac:dyDescent="0.4">
      <c r="A1022">
        <v>42624</v>
      </c>
      <c r="B1022" t="s">
        <v>1272</v>
      </c>
      <c r="C1022" t="s">
        <v>1305</v>
      </c>
    </row>
    <row r="1023" spans="1:3" x14ac:dyDescent="0.4">
      <c r="A1023">
        <v>42626</v>
      </c>
      <c r="B1023" t="s">
        <v>1272</v>
      </c>
      <c r="C1023" t="s">
        <v>1304</v>
      </c>
    </row>
    <row r="1024" spans="1:3" x14ac:dyDescent="0.4">
      <c r="A1024">
        <v>42628</v>
      </c>
      <c r="B1024" t="s">
        <v>1272</v>
      </c>
      <c r="C1024" t="s">
        <v>1303</v>
      </c>
    </row>
    <row r="1025" spans="1:3" x14ac:dyDescent="0.4">
      <c r="A1025">
        <v>42631</v>
      </c>
      <c r="B1025" t="s">
        <v>1272</v>
      </c>
      <c r="C1025" t="s">
        <v>1302</v>
      </c>
    </row>
    <row r="1026" spans="1:3" x14ac:dyDescent="0.4">
      <c r="A1026">
        <v>42632</v>
      </c>
      <c r="B1026" t="s">
        <v>1272</v>
      </c>
      <c r="C1026" t="s">
        <v>1301</v>
      </c>
    </row>
    <row r="1027" spans="1:3" x14ac:dyDescent="0.4">
      <c r="A1027">
        <v>42633</v>
      </c>
      <c r="B1027" t="s">
        <v>1272</v>
      </c>
      <c r="C1027" t="s">
        <v>1300</v>
      </c>
    </row>
    <row r="1028" spans="1:3" x14ac:dyDescent="0.4">
      <c r="A1028">
        <v>42634</v>
      </c>
      <c r="B1028" t="s">
        <v>1272</v>
      </c>
      <c r="C1028" t="s">
        <v>1299</v>
      </c>
    </row>
    <row r="1029" spans="1:3" x14ac:dyDescent="0.4">
      <c r="A1029">
        <v>42635</v>
      </c>
      <c r="B1029" t="s">
        <v>1272</v>
      </c>
      <c r="C1029" t="s">
        <v>1298</v>
      </c>
    </row>
    <row r="1030" spans="1:3" x14ac:dyDescent="0.4">
      <c r="A1030">
        <v>44095</v>
      </c>
      <c r="B1030" t="s">
        <v>1272</v>
      </c>
      <c r="C1030" t="s">
        <v>1297</v>
      </c>
    </row>
    <row r="1031" spans="1:3" x14ac:dyDescent="0.4">
      <c r="A1031">
        <v>44096</v>
      </c>
      <c r="B1031" t="s">
        <v>1272</v>
      </c>
      <c r="C1031" t="s">
        <v>1296</v>
      </c>
    </row>
    <row r="1032" spans="1:3" x14ac:dyDescent="0.4">
      <c r="A1032">
        <v>44097</v>
      </c>
      <c r="B1032" t="s">
        <v>1272</v>
      </c>
      <c r="C1032" t="s">
        <v>1295</v>
      </c>
    </row>
    <row r="1033" spans="1:3" x14ac:dyDescent="0.4">
      <c r="A1033">
        <v>44098</v>
      </c>
      <c r="B1033" t="s">
        <v>1272</v>
      </c>
      <c r="C1033" t="s">
        <v>1294</v>
      </c>
    </row>
    <row r="1034" spans="1:3" x14ac:dyDescent="0.4">
      <c r="A1034">
        <v>44099</v>
      </c>
      <c r="B1034" t="s">
        <v>1272</v>
      </c>
      <c r="C1034" t="s">
        <v>1293</v>
      </c>
    </row>
    <row r="1035" spans="1:3" x14ac:dyDescent="0.4">
      <c r="A1035">
        <v>44100</v>
      </c>
      <c r="B1035" t="s">
        <v>1272</v>
      </c>
      <c r="C1035" t="s">
        <v>1292</v>
      </c>
    </row>
    <row r="1036" spans="1:3" x14ac:dyDescent="0.4">
      <c r="A1036">
        <v>44101</v>
      </c>
      <c r="B1036" t="s">
        <v>1272</v>
      </c>
      <c r="C1036" t="s">
        <v>1291</v>
      </c>
    </row>
    <row r="1037" spans="1:3" x14ac:dyDescent="0.4">
      <c r="A1037">
        <v>44102</v>
      </c>
      <c r="B1037" t="s">
        <v>1272</v>
      </c>
      <c r="C1037" t="s">
        <v>1290</v>
      </c>
    </row>
    <row r="1038" spans="1:3" x14ac:dyDescent="0.4">
      <c r="A1038">
        <v>44103</v>
      </c>
      <c r="B1038" t="s">
        <v>1272</v>
      </c>
      <c r="C1038" t="s">
        <v>1289</v>
      </c>
    </row>
    <row r="1039" spans="1:3" x14ac:dyDescent="0.4">
      <c r="A1039">
        <v>44104</v>
      </c>
      <c r="B1039" t="s">
        <v>1272</v>
      </c>
      <c r="C1039" t="s">
        <v>1288</v>
      </c>
    </row>
    <row r="1040" spans="1:3" x14ac:dyDescent="0.4">
      <c r="A1040">
        <v>44105</v>
      </c>
      <c r="B1040" t="s">
        <v>1272</v>
      </c>
      <c r="C1040" t="s">
        <v>1287</v>
      </c>
    </row>
    <row r="1041" spans="1:3" x14ac:dyDescent="0.4">
      <c r="A1041">
        <v>44106</v>
      </c>
      <c r="B1041" t="s">
        <v>1272</v>
      </c>
      <c r="C1041" t="s">
        <v>1286</v>
      </c>
    </row>
    <row r="1042" spans="1:3" x14ac:dyDescent="0.4">
      <c r="A1042">
        <v>44107</v>
      </c>
      <c r="B1042" t="s">
        <v>1272</v>
      </c>
      <c r="C1042" t="s">
        <v>1285</v>
      </c>
    </row>
    <row r="1043" spans="1:3" x14ac:dyDescent="0.4">
      <c r="A1043">
        <v>45095</v>
      </c>
      <c r="B1043" t="s">
        <v>1272</v>
      </c>
      <c r="C1043" t="s">
        <v>1284</v>
      </c>
    </row>
    <row r="1044" spans="1:3" x14ac:dyDescent="0.4">
      <c r="A1044">
        <v>45096</v>
      </c>
      <c r="B1044" t="s">
        <v>1272</v>
      </c>
      <c r="C1044" t="s">
        <v>1283</v>
      </c>
    </row>
    <row r="1045" spans="1:3" x14ac:dyDescent="0.4">
      <c r="A1045">
        <v>45097</v>
      </c>
      <c r="B1045" t="s">
        <v>1272</v>
      </c>
      <c r="C1045" t="s">
        <v>1282</v>
      </c>
    </row>
    <row r="1046" spans="1:3" x14ac:dyDescent="0.4">
      <c r="A1046">
        <v>45098</v>
      </c>
      <c r="B1046" t="s">
        <v>1272</v>
      </c>
      <c r="C1046" t="s">
        <v>1281</v>
      </c>
    </row>
    <row r="1047" spans="1:3" x14ac:dyDescent="0.4">
      <c r="A1047">
        <v>45099</v>
      </c>
      <c r="B1047" t="s">
        <v>1272</v>
      </c>
      <c r="C1047" t="s">
        <v>1280</v>
      </c>
    </row>
    <row r="1048" spans="1:3" x14ac:dyDescent="0.4">
      <c r="A1048">
        <v>45100</v>
      </c>
      <c r="B1048" t="s">
        <v>1272</v>
      </c>
      <c r="C1048" t="s">
        <v>1279</v>
      </c>
    </row>
    <row r="1049" spans="1:3" x14ac:dyDescent="0.4">
      <c r="A1049">
        <v>45101</v>
      </c>
      <c r="B1049" t="s">
        <v>1272</v>
      </c>
      <c r="C1049" t="s">
        <v>1278</v>
      </c>
    </row>
    <row r="1050" spans="1:3" x14ac:dyDescent="0.4">
      <c r="A1050">
        <v>45102</v>
      </c>
      <c r="B1050" t="s">
        <v>1272</v>
      </c>
      <c r="C1050" t="s">
        <v>1277</v>
      </c>
    </row>
    <row r="1051" spans="1:3" x14ac:dyDescent="0.4">
      <c r="A1051">
        <v>45103</v>
      </c>
      <c r="B1051" t="s">
        <v>1272</v>
      </c>
      <c r="C1051" t="s">
        <v>1276</v>
      </c>
    </row>
    <row r="1052" spans="1:3" x14ac:dyDescent="0.4">
      <c r="A1052">
        <v>45104</v>
      </c>
      <c r="B1052" t="s">
        <v>1272</v>
      </c>
      <c r="C1052" t="s">
        <v>1275</v>
      </c>
    </row>
    <row r="1053" spans="1:3" x14ac:dyDescent="0.4">
      <c r="A1053">
        <v>45105</v>
      </c>
      <c r="B1053" t="s">
        <v>1272</v>
      </c>
      <c r="C1053" t="s">
        <v>1274</v>
      </c>
    </row>
    <row r="1054" spans="1:3" x14ac:dyDescent="0.4">
      <c r="A1054">
        <v>45106</v>
      </c>
      <c r="B1054" t="s">
        <v>1272</v>
      </c>
      <c r="C1054" t="s">
        <v>1273</v>
      </c>
    </row>
    <row r="1055" spans="1:3" x14ac:dyDescent="0.4">
      <c r="A1055">
        <v>45107</v>
      </c>
      <c r="B1055" t="s">
        <v>1272</v>
      </c>
      <c r="C1055" t="s">
        <v>1271</v>
      </c>
    </row>
    <row r="1056" spans="1:3" x14ac:dyDescent="0.4">
      <c r="A1056">
        <v>50392</v>
      </c>
      <c r="B1056" t="s">
        <v>1115</v>
      </c>
      <c r="C1056" t="s">
        <v>1270</v>
      </c>
    </row>
    <row r="1057" spans="1:3" x14ac:dyDescent="0.4">
      <c r="A1057">
        <v>50393</v>
      </c>
      <c r="B1057" t="s">
        <v>1115</v>
      </c>
      <c r="C1057" t="s">
        <v>1269</v>
      </c>
    </row>
    <row r="1058" spans="1:3" x14ac:dyDescent="0.4">
      <c r="A1058">
        <v>50400</v>
      </c>
      <c r="B1058" t="s">
        <v>1115</v>
      </c>
      <c r="C1058" t="s">
        <v>1268</v>
      </c>
    </row>
    <row r="1059" spans="1:3" x14ac:dyDescent="0.4">
      <c r="A1059">
        <v>50401</v>
      </c>
      <c r="B1059" t="s">
        <v>1115</v>
      </c>
      <c r="C1059" t="s">
        <v>1267</v>
      </c>
    </row>
    <row r="1060" spans="1:3" x14ac:dyDescent="0.4">
      <c r="A1060">
        <v>50404</v>
      </c>
      <c r="B1060" t="s">
        <v>1115</v>
      </c>
      <c r="C1060" t="s">
        <v>1266</v>
      </c>
    </row>
    <row r="1061" spans="1:3" x14ac:dyDescent="0.4">
      <c r="A1061">
        <v>50405</v>
      </c>
      <c r="B1061" t="s">
        <v>1115</v>
      </c>
      <c r="C1061" t="s">
        <v>1265</v>
      </c>
    </row>
    <row r="1062" spans="1:3" x14ac:dyDescent="0.4">
      <c r="A1062">
        <v>50408</v>
      </c>
      <c r="B1062" t="s">
        <v>1115</v>
      </c>
      <c r="C1062" t="s">
        <v>1264</v>
      </c>
    </row>
    <row r="1063" spans="1:3" x14ac:dyDescent="0.4">
      <c r="A1063">
        <v>50409</v>
      </c>
      <c r="B1063" t="s">
        <v>1115</v>
      </c>
      <c r="C1063" t="s">
        <v>1263</v>
      </c>
    </row>
    <row r="1064" spans="1:3" x14ac:dyDescent="0.4">
      <c r="A1064">
        <v>50410</v>
      </c>
      <c r="B1064" t="s">
        <v>1115</v>
      </c>
      <c r="C1064" t="s">
        <v>1262</v>
      </c>
    </row>
    <row r="1065" spans="1:3" x14ac:dyDescent="0.4">
      <c r="A1065">
        <v>50411</v>
      </c>
      <c r="B1065" t="s">
        <v>1115</v>
      </c>
      <c r="C1065" t="s">
        <v>1261</v>
      </c>
    </row>
    <row r="1066" spans="1:3" x14ac:dyDescent="0.4">
      <c r="A1066">
        <v>50412</v>
      </c>
      <c r="B1066" t="s">
        <v>1115</v>
      </c>
      <c r="C1066" t="s">
        <v>1260</v>
      </c>
    </row>
    <row r="1067" spans="1:3" x14ac:dyDescent="0.4">
      <c r="A1067">
        <v>50413</v>
      </c>
      <c r="B1067" t="s">
        <v>1115</v>
      </c>
      <c r="C1067" t="s">
        <v>1259</v>
      </c>
    </row>
    <row r="1068" spans="1:3" x14ac:dyDescent="0.4">
      <c r="A1068">
        <v>50416</v>
      </c>
      <c r="B1068" t="s">
        <v>1115</v>
      </c>
      <c r="C1068" t="s">
        <v>1258</v>
      </c>
    </row>
    <row r="1069" spans="1:3" x14ac:dyDescent="0.4">
      <c r="A1069">
        <v>50417</v>
      </c>
      <c r="B1069" t="s">
        <v>1115</v>
      </c>
      <c r="C1069" t="s">
        <v>1257</v>
      </c>
    </row>
    <row r="1070" spans="1:3" x14ac:dyDescent="0.4">
      <c r="A1070">
        <v>50420</v>
      </c>
      <c r="B1070" t="s">
        <v>1115</v>
      </c>
      <c r="C1070" t="s">
        <v>1256</v>
      </c>
    </row>
    <row r="1071" spans="1:3" x14ac:dyDescent="0.4">
      <c r="A1071">
        <v>50421</v>
      </c>
      <c r="B1071" t="s">
        <v>1115</v>
      </c>
      <c r="C1071" t="s">
        <v>1255</v>
      </c>
    </row>
    <row r="1072" spans="1:3" x14ac:dyDescent="0.4">
      <c r="A1072">
        <v>50424</v>
      </c>
      <c r="B1072" t="s">
        <v>1115</v>
      </c>
      <c r="C1072" t="s">
        <v>1254</v>
      </c>
    </row>
    <row r="1073" spans="1:3" x14ac:dyDescent="0.4">
      <c r="A1073">
        <v>50425</v>
      </c>
      <c r="B1073" t="s">
        <v>1115</v>
      </c>
      <c r="C1073" t="s">
        <v>1253</v>
      </c>
    </row>
    <row r="1074" spans="1:3" x14ac:dyDescent="0.4">
      <c r="A1074">
        <v>50426</v>
      </c>
      <c r="B1074" t="s">
        <v>1115</v>
      </c>
      <c r="C1074" t="s">
        <v>1252</v>
      </c>
    </row>
    <row r="1075" spans="1:3" x14ac:dyDescent="0.4">
      <c r="A1075">
        <v>50427</v>
      </c>
      <c r="B1075" t="s">
        <v>1115</v>
      </c>
      <c r="C1075" t="s">
        <v>1251</v>
      </c>
    </row>
    <row r="1076" spans="1:3" x14ac:dyDescent="0.4">
      <c r="A1076">
        <v>50432</v>
      </c>
      <c r="B1076" t="s">
        <v>1115</v>
      </c>
      <c r="C1076" t="s">
        <v>1250</v>
      </c>
    </row>
    <row r="1077" spans="1:3" x14ac:dyDescent="0.4">
      <c r="A1077">
        <v>50433</v>
      </c>
      <c r="B1077" t="s">
        <v>1115</v>
      </c>
      <c r="C1077" t="s">
        <v>1249</v>
      </c>
    </row>
    <row r="1078" spans="1:3" x14ac:dyDescent="0.4">
      <c r="A1078">
        <v>50434</v>
      </c>
      <c r="B1078" t="s">
        <v>1115</v>
      </c>
      <c r="C1078" t="s">
        <v>1248</v>
      </c>
    </row>
    <row r="1079" spans="1:3" x14ac:dyDescent="0.4">
      <c r="A1079">
        <v>50435</v>
      </c>
      <c r="B1079" t="s">
        <v>1115</v>
      </c>
      <c r="C1079" t="s">
        <v>1247</v>
      </c>
    </row>
    <row r="1080" spans="1:3" x14ac:dyDescent="0.4">
      <c r="A1080">
        <v>50436</v>
      </c>
      <c r="B1080" t="s">
        <v>1115</v>
      </c>
      <c r="C1080" t="s">
        <v>1246</v>
      </c>
    </row>
    <row r="1081" spans="1:3" x14ac:dyDescent="0.4">
      <c r="A1081">
        <v>50437</v>
      </c>
      <c r="B1081" t="s">
        <v>1115</v>
      </c>
      <c r="C1081" t="s">
        <v>1245</v>
      </c>
    </row>
    <row r="1082" spans="1:3" x14ac:dyDescent="0.4">
      <c r="A1082">
        <v>50438</v>
      </c>
      <c r="B1082" t="s">
        <v>1115</v>
      </c>
      <c r="C1082" t="s">
        <v>1244</v>
      </c>
    </row>
    <row r="1083" spans="1:3" x14ac:dyDescent="0.4">
      <c r="A1083">
        <v>50439</v>
      </c>
      <c r="B1083" t="s">
        <v>1115</v>
      </c>
      <c r="C1083" t="s">
        <v>1243</v>
      </c>
    </row>
    <row r="1084" spans="1:3" x14ac:dyDescent="0.4">
      <c r="A1084">
        <v>50442</v>
      </c>
      <c r="B1084" t="s">
        <v>1115</v>
      </c>
      <c r="C1084" t="s">
        <v>1242</v>
      </c>
    </row>
    <row r="1085" spans="1:3" x14ac:dyDescent="0.4">
      <c r="A1085">
        <v>50443</v>
      </c>
      <c r="B1085" t="s">
        <v>1115</v>
      </c>
      <c r="C1085" t="s">
        <v>1241</v>
      </c>
    </row>
    <row r="1086" spans="1:3" x14ac:dyDescent="0.4">
      <c r="A1086">
        <v>50444</v>
      </c>
      <c r="B1086" t="s">
        <v>1115</v>
      </c>
      <c r="C1086" t="s">
        <v>1240</v>
      </c>
    </row>
    <row r="1087" spans="1:3" x14ac:dyDescent="0.4">
      <c r="A1087">
        <v>50445</v>
      </c>
      <c r="B1087" t="s">
        <v>1115</v>
      </c>
      <c r="C1087" t="s">
        <v>1239</v>
      </c>
    </row>
    <row r="1088" spans="1:3" x14ac:dyDescent="0.4">
      <c r="A1088">
        <v>50464</v>
      </c>
      <c r="B1088" t="s">
        <v>1115</v>
      </c>
      <c r="C1088" t="s">
        <v>1238</v>
      </c>
    </row>
    <row r="1089" spans="1:3" x14ac:dyDescent="0.4">
      <c r="A1089">
        <v>50465</v>
      </c>
      <c r="B1089" t="s">
        <v>1115</v>
      </c>
      <c r="C1089" t="s">
        <v>1237</v>
      </c>
    </row>
    <row r="1090" spans="1:3" x14ac:dyDescent="0.4">
      <c r="A1090">
        <v>50466</v>
      </c>
      <c r="B1090" t="s">
        <v>1115</v>
      </c>
      <c r="C1090" t="s">
        <v>1236</v>
      </c>
    </row>
    <row r="1091" spans="1:3" x14ac:dyDescent="0.4">
      <c r="A1091">
        <v>50467</v>
      </c>
      <c r="B1091" t="s">
        <v>1115</v>
      </c>
      <c r="C1091" t="s">
        <v>1235</v>
      </c>
    </row>
    <row r="1092" spans="1:3" x14ac:dyDescent="0.4">
      <c r="A1092">
        <v>50470</v>
      </c>
      <c r="B1092" t="s">
        <v>1115</v>
      </c>
      <c r="C1092" t="s">
        <v>1234</v>
      </c>
    </row>
    <row r="1093" spans="1:3" x14ac:dyDescent="0.4">
      <c r="A1093">
        <v>50471</v>
      </c>
      <c r="B1093" t="s">
        <v>1115</v>
      </c>
      <c r="C1093" t="s">
        <v>1233</v>
      </c>
    </row>
    <row r="1094" spans="1:3" x14ac:dyDescent="0.4">
      <c r="A1094">
        <v>50472</v>
      </c>
      <c r="B1094" t="s">
        <v>1115</v>
      </c>
      <c r="C1094" t="s">
        <v>1232</v>
      </c>
    </row>
    <row r="1095" spans="1:3" x14ac:dyDescent="0.4">
      <c r="A1095">
        <v>50473</v>
      </c>
      <c r="B1095" t="s">
        <v>1115</v>
      </c>
      <c r="C1095" t="s">
        <v>1231</v>
      </c>
    </row>
    <row r="1096" spans="1:3" x14ac:dyDescent="0.4">
      <c r="A1096">
        <v>50476</v>
      </c>
      <c r="B1096" t="s">
        <v>1115</v>
      </c>
      <c r="C1096" t="s">
        <v>1230</v>
      </c>
    </row>
    <row r="1097" spans="1:3" x14ac:dyDescent="0.4">
      <c r="A1097">
        <v>50477</v>
      </c>
      <c r="B1097" t="s">
        <v>1115</v>
      </c>
      <c r="C1097" t="s">
        <v>1229</v>
      </c>
    </row>
    <row r="1098" spans="1:3" x14ac:dyDescent="0.4">
      <c r="A1098">
        <v>50478</v>
      </c>
      <c r="B1098" t="s">
        <v>1115</v>
      </c>
      <c r="C1098" t="s">
        <v>1228</v>
      </c>
    </row>
    <row r="1099" spans="1:3" x14ac:dyDescent="0.4">
      <c r="A1099">
        <v>50479</v>
      </c>
      <c r="B1099" t="s">
        <v>1115</v>
      </c>
      <c r="C1099" t="s">
        <v>1227</v>
      </c>
    </row>
    <row r="1100" spans="1:3" x14ac:dyDescent="0.4">
      <c r="A1100">
        <v>50712</v>
      </c>
      <c r="B1100" t="s">
        <v>1115</v>
      </c>
      <c r="C1100" t="s">
        <v>1226</v>
      </c>
    </row>
    <row r="1101" spans="1:3" x14ac:dyDescent="0.4">
      <c r="A1101">
        <v>50829</v>
      </c>
      <c r="B1101" t="s">
        <v>1115</v>
      </c>
      <c r="C1101" t="s">
        <v>1225</v>
      </c>
    </row>
    <row r="1102" spans="1:3" x14ac:dyDescent="0.4">
      <c r="A1102">
        <v>50830</v>
      </c>
      <c r="B1102" t="s">
        <v>1115</v>
      </c>
      <c r="C1102" t="s">
        <v>1224</v>
      </c>
    </row>
    <row r="1103" spans="1:3" x14ac:dyDescent="0.4">
      <c r="A1103">
        <v>50896</v>
      </c>
      <c r="B1103" t="s">
        <v>1115</v>
      </c>
      <c r="C1103" t="s">
        <v>1223</v>
      </c>
    </row>
    <row r="1104" spans="1:3" x14ac:dyDescent="0.4">
      <c r="A1104">
        <v>50897</v>
      </c>
      <c r="B1104" t="s">
        <v>1115</v>
      </c>
      <c r="C1104" t="s">
        <v>1222</v>
      </c>
    </row>
    <row r="1105" spans="1:3" x14ac:dyDescent="0.4">
      <c r="A1105">
        <v>50898</v>
      </c>
      <c r="B1105" t="s">
        <v>1115</v>
      </c>
      <c r="C1105" t="s">
        <v>1221</v>
      </c>
    </row>
    <row r="1106" spans="1:3" x14ac:dyDescent="0.4">
      <c r="A1106">
        <v>50899</v>
      </c>
      <c r="B1106" t="s">
        <v>1115</v>
      </c>
      <c r="C1106" t="s">
        <v>1220</v>
      </c>
    </row>
    <row r="1107" spans="1:3" x14ac:dyDescent="0.4">
      <c r="A1107">
        <v>50900</v>
      </c>
      <c r="B1107" t="s">
        <v>1115</v>
      </c>
      <c r="C1107" t="s">
        <v>1219</v>
      </c>
    </row>
    <row r="1108" spans="1:3" x14ac:dyDescent="0.4">
      <c r="A1108">
        <v>50901</v>
      </c>
      <c r="B1108" t="s">
        <v>1115</v>
      </c>
      <c r="C1108" t="s">
        <v>1218</v>
      </c>
    </row>
    <row r="1109" spans="1:3" x14ac:dyDescent="0.4">
      <c r="A1109">
        <v>50902</v>
      </c>
      <c r="B1109" t="s">
        <v>1115</v>
      </c>
      <c r="C1109" t="s">
        <v>1217</v>
      </c>
    </row>
    <row r="1110" spans="1:3" x14ac:dyDescent="0.4">
      <c r="A1110">
        <v>50903</v>
      </c>
      <c r="B1110" t="s">
        <v>1115</v>
      </c>
      <c r="C1110" t="s">
        <v>1216</v>
      </c>
    </row>
    <row r="1111" spans="1:3" x14ac:dyDescent="0.4">
      <c r="A1111">
        <v>50904</v>
      </c>
      <c r="B1111" t="s">
        <v>1115</v>
      </c>
      <c r="C1111" t="s">
        <v>1215</v>
      </c>
    </row>
    <row r="1112" spans="1:3" x14ac:dyDescent="0.4">
      <c r="A1112">
        <v>50905</v>
      </c>
      <c r="B1112" t="s">
        <v>1115</v>
      </c>
      <c r="C1112" t="s">
        <v>1214</v>
      </c>
    </row>
    <row r="1113" spans="1:3" x14ac:dyDescent="0.4">
      <c r="A1113">
        <v>51008</v>
      </c>
      <c r="B1113" t="s">
        <v>1115</v>
      </c>
      <c r="C1113" t="s">
        <v>1213</v>
      </c>
    </row>
    <row r="1114" spans="1:3" x14ac:dyDescent="0.4">
      <c r="A1114">
        <v>51009</v>
      </c>
      <c r="B1114" t="s">
        <v>1115</v>
      </c>
      <c r="C1114" t="s">
        <v>1212</v>
      </c>
    </row>
    <row r="1115" spans="1:3" x14ac:dyDescent="0.4">
      <c r="A1115">
        <v>51010</v>
      </c>
      <c r="B1115" t="s">
        <v>1115</v>
      </c>
      <c r="C1115" t="s">
        <v>1211</v>
      </c>
    </row>
    <row r="1116" spans="1:3" x14ac:dyDescent="0.4">
      <c r="A1116">
        <v>51011</v>
      </c>
      <c r="B1116" t="s">
        <v>1115</v>
      </c>
      <c r="C1116" t="s">
        <v>1210</v>
      </c>
    </row>
    <row r="1117" spans="1:3" x14ac:dyDescent="0.4">
      <c r="A1117">
        <v>51014</v>
      </c>
      <c r="B1117" t="s">
        <v>1115</v>
      </c>
      <c r="C1117" t="s">
        <v>1209</v>
      </c>
    </row>
    <row r="1118" spans="1:3" x14ac:dyDescent="0.4">
      <c r="A1118">
        <v>51015</v>
      </c>
      <c r="B1118" t="s">
        <v>1115</v>
      </c>
      <c r="C1118" t="s">
        <v>1208</v>
      </c>
    </row>
    <row r="1119" spans="1:3" x14ac:dyDescent="0.4">
      <c r="A1119">
        <v>51016</v>
      </c>
      <c r="B1119" t="s">
        <v>1115</v>
      </c>
      <c r="C1119" t="s">
        <v>1207</v>
      </c>
    </row>
    <row r="1120" spans="1:3" x14ac:dyDescent="0.4">
      <c r="A1120">
        <v>51017</v>
      </c>
      <c r="B1120" t="s">
        <v>1115</v>
      </c>
      <c r="C1120" t="s">
        <v>1206</v>
      </c>
    </row>
    <row r="1121" spans="1:3" x14ac:dyDescent="0.4">
      <c r="A1121">
        <v>52392</v>
      </c>
      <c r="B1121" t="s">
        <v>1115</v>
      </c>
      <c r="C1121" t="s">
        <v>1205</v>
      </c>
    </row>
    <row r="1122" spans="1:3" x14ac:dyDescent="0.4">
      <c r="A1122">
        <v>52393</v>
      </c>
      <c r="B1122" t="s">
        <v>1115</v>
      </c>
      <c r="C1122" t="s">
        <v>1204</v>
      </c>
    </row>
    <row r="1123" spans="1:3" x14ac:dyDescent="0.4">
      <c r="A1123">
        <v>52400</v>
      </c>
      <c r="B1123" t="s">
        <v>1115</v>
      </c>
      <c r="C1123" t="s">
        <v>1203</v>
      </c>
    </row>
    <row r="1124" spans="1:3" x14ac:dyDescent="0.4">
      <c r="A1124">
        <v>52401</v>
      </c>
      <c r="B1124" t="s">
        <v>1115</v>
      </c>
      <c r="C1124" t="s">
        <v>1202</v>
      </c>
    </row>
    <row r="1125" spans="1:3" x14ac:dyDescent="0.4">
      <c r="A1125">
        <v>52404</v>
      </c>
      <c r="B1125" t="s">
        <v>1115</v>
      </c>
      <c r="C1125" t="s">
        <v>1201</v>
      </c>
    </row>
    <row r="1126" spans="1:3" x14ac:dyDescent="0.4">
      <c r="A1126">
        <v>52405</v>
      </c>
      <c r="B1126" t="s">
        <v>1115</v>
      </c>
      <c r="C1126" t="s">
        <v>1200</v>
      </c>
    </row>
    <row r="1127" spans="1:3" x14ac:dyDescent="0.4">
      <c r="A1127">
        <v>52408</v>
      </c>
      <c r="B1127" t="s">
        <v>1115</v>
      </c>
      <c r="C1127" t="s">
        <v>1199</v>
      </c>
    </row>
    <row r="1128" spans="1:3" x14ac:dyDescent="0.4">
      <c r="A1128">
        <v>52409</v>
      </c>
      <c r="B1128" t="s">
        <v>1115</v>
      </c>
      <c r="C1128" t="s">
        <v>1198</v>
      </c>
    </row>
    <row r="1129" spans="1:3" x14ac:dyDescent="0.4">
      <c r="A1129">
        <v>52410</v>
      </c>
      <c r="B1129" t="s">
        <v>1115</v>
      </c>
      <c r="C1129" t="s">
        <v>1197</v>
      </c>
    </row>
    <row r="1130" spans="1:3" x14ac:dyDescent="0.4">
      <c r="A1130">
        <v>52411</v>
      </c>
      <c r="B1130" t="s">
        <v>1115</v>
      </c>
      <c r="C1130" t="s">
        <v>1196</v>
      </c>
    </row>
    <row r="1131" spans="1:3" x14ac:dyDescent="0.4">
      <c r="A1131">
        <v>52412</v>
      </c>
      <c r="B1131" t="s">
        <v>1115</v>
      </c>
      <c r="C1131" t="s">
        <v>1195</v>
      </c>
    </row>
    <row r="1132" spans="1:3" x14ac:dyDescent="0.4">
      <c r="A1132">
        <v>52413</v>
      </c>
      <c r="B1132" t="s">
        <v>1115</v>
      </c>
      <c r="C1132" t="s">
        <v>1194</v>
      </c>
    </row>
    <row r="1133" spans="1:3" x14ac:dyDescent="0.4">
      <c r="A1133">
        <v>52416</v>
      </c>
      <c r="B1133" t="s">
        <v>1115</v>
      </c>
      <c r="C1133" t="s">
        <v>1193</v>
      </c>
    </row>
    <row r="1134" spans="1:3" x14ac:dyDescent="0.4">
      <c r="A1134">
        <v>52417</v>
      </c>
      <c r="B1134" t="s">
        <v>1115</v>
      </c>
      <c r="C1134" t="s">
        <v>1192</v>
      </c>
    </row>
    <row r="1135" spans="1:3" x14ac:dyDescent="0.4">
      <c r="A1135">
        <v>52420</v>
      </c>
      <c r="B1135" t="s">
        <v>1115</v>
      </c>
      <c r="C1135" t="s">
        <v>1191</v>
      </c>
    </row>
    <row r="1136" spans="1:3" x14ac:dyDescent="0.4">
      <c r="A1136">
        <v>52421</v>
      </c>
      <c r="B1136" t="s">
        <v>1115</v>
      </c>
      <c r="C1136" t="s">
        <v>1190</v>
      </c>
    </row>
    <row r="1137" spans="1:3" x14ac:dyDescent="0.4">
      <c r="A1137">
        <v>52424</v>
      </c>
      <c r="B1137" t="s">
        <v>1115</v>
      </c>
      <c r="C1137" t="s">
        <v>1189</v>
      </c>
    </row>
    <row r="1138" spans="1:3" x14ac:dyDescent="0.4">
      <c r="A1138">
        <v>52425</v>
      </c>
      <c r="B1138" t="s">
        <v>1115</v>
      </c>
      <c r="C1138" t="s">
        <v>1188</v>
      </c>
    </row>
    <row r="1139" spans="1:3" x14ac:dyDescent="0.4">
      <c r="A1139">
        <v>52426</v>
      </c>
      <c r="B1139" t="s">
        <v>1115</v>
      </c>
      <c r="C1139" t="s">
        <v>1187</v>
      </c>
    </row>
    <row r="1140" spans="1:3" x14ac:dyDescent="0.4">
      <c r="A1140">
        <v>52427</v>
      </c>
      <c r="B1140" t="s">
        <v>1115</v>
      </c>
      <c r="C1140" t="s">
        <v>1186</v>
      </c>
    </row>
    <row r="1141" spans="1:3" x14ac:dyDescent="0.4">
      <c r="A1141">
        <v>52432</v>
      </c>
      <c r="B1141" t="s">
        <v>1115</v>
      </c>
      <c r="C1141" t="s">
        <v>1185</v>
      </c>
    </row>
    <row r="1142" spans="1:3" x14ac:dyDescent="0.4">
      <c r="A1142">
        <v>52433</v>
      </c>
      <c r="B1142" t="s">
        <v>1115</v>
      </c>
      <c r="C1142" t="s">
        <v>1184</v>
      </c>
    </row>
    <row r="1143" spans="1:3" x14ac:dyDescent="0.4">
      <c r="A1143">
        <v>52434</v>
      </c>
      <c r="B1143" t="s">
        <v>1115</v>
      </c>
      <c r="C1143" t="s">
        <v>1183</v>
      </c>
    </row>
    <row r="1144" spans="1:3" x14ac:dyDescent="0.4">
      <c r="A1144">
        <v>52435</v>
      </c>
      <c r="B1144" t="s">
        <v>1115</v>
      </c>
      <c r="C1144" t="s">
        <v>1182</v>
      </c>
    </row>
    <row r="1145" spans="1:3" x14ac:dyDescent="0.4">
      <c r="A1145">
        <v>52436</v>
      </c>
      <c r="B1145" t="s">
        <v>1115</v>
      </c>
      <c r="C1145" t="s">
        <v>1181</v>
      </c>
    </row>
    <row r="1146" spans="1:3" x14ac:dyDescent="0.4">
      <c r="A1146">
        <v>52437</v>
      </c>
      <c r="B1146" t="s">
        <v>1115</v>
      </c>
      <c r="C1146" t="s">
        <v>1180</v>
      </c>
    </row>
    <row r="1147" spans="1:3" x14ac:dyDescent="0.4">
      <c r="A1147">
        <v>52438</v>
      </c>
      <c r="B1147" t="s">
        <v>1115</v>
      </c>
      <c r="C1147" t="s">
        <v>1179</v>
      </c>
    </row>
    <row r="1148" spans="1:3" x14ac:dyDescent="0.4">
      <c r="A1148">
        <v>52439</v>
      </c>
      <c r="B1148" t="s">
        <v>1115</v>
      </c>
      <c r="C1148" t="s">
        <v>1178</v>
      </c>
    </row>
    <row r="1149" spans="1:3" x14ac:dyDescent="0.4">
      <c r="A1149">
        <v>52442</v>
      </c>
      <c r="B1149" t="s">
        <v>1115</v>
      </c>
      <c r="C1149" t="s">
        <v>1177</v>
      </c>
    </row>
    <row r="1150" spans="1:3" x14ac:dyDescent="0.4">
      <c r="A1150">
        <v>52443</v>
      </c>
      <c r="B1150" t="s">
        <v>1115</v>
      </c>
      <c r="C1150" t="s">
        <v>1176</v>
      </c>
    </row>
    <row r="1151" spans="1:3" x14ac:dyDescent="0.4">
      <c r="A1151">
        <v>52444</v>
      </c>
      <c r="B1151" t="s">
        <v>1115</v>
      </c>
      <c r="C1151" t="s">
        <v>1175</v>
      </c>
    </row>
    <row r="1152" spans="1:3" x14ac:dyDescent="0.4">
      <c r="A1152">
        <v>52445</v>
      </c>
      <c r="B1152" t="s">
        <v>1115</v>
      </c>
      <c r="C1152" t="s">
        <v>1174</v>
      </c>
    </row>
    <row r="1153" spans="1:3" x14ac:dyDescent="0.4">
      <c r="A1153">
        <v>52464</v>
      </c>
      <c r="B1153" t="s">
        <v>1115</v>
      </c>
      <c r="C1153" t="s">
        <v>1173</v>
      </c>
    </row>
    <row r="1154" spans="1:3" x14ac:dyDescent="0.4">
      <c r="A1154">
        <v>52465</v>
      </c>
      <c r="B1154" t="s">
        <v>1115</v>
      </c>
      <c r="C1154" t="s">
        <v>1172</v>
      </c>
    </row>
    <row r="1155" spans="1:3" x14ac:dyDescent="0.4">
      <c r="A1155">
        <v>52466</v>
      </c>
      <c r="B1155" t="s">
        <v>1115</v>
      </c>
      <c r="C1155" t="s">
        <v>1171</v>
      </c>
    </row>
    <row r="1156" spans="1:3" x14ac:dyDescent="0.4">
      <c r="A1156">
        <v>52467</v>
      </c>
      <c r="B1156" t="s">
        <v>1115</v>
      </c>
      <c r="C1156" t="s">
        <v>1170</v>
      </c>
    </row>
    <row r="1157" spans="1:3" x14ac:dyDescent="0.4">
      <c r="A1157">
        <v>52470</v>
      </c>
      <c r="B1157" t="s">
        <v>1115</v>
      </c>
      <c r="C1157" t="s">
        <v>1169</v>
      </c>
    </row>
    <row r="1158" spans="1:3" x14ac:dyDescent="0.4">
      <c r="A1158">
        <v>52471</v>
      </c>
      <c r="B1158" t="s">
        <v>1115</v>
      </c>
      <c r="C1158" t="s">
        <v>1168</v>
      </c>
    </row>
    <row r="1159" spans="1:3" x14ac:dyDescent="0.4">
      <c r="A1159">
        <v>52472</v>
      </c>
      <c r="B1159" t="s">
        <v>1115</v>
      </c>
      <c r="C1159" t="s">
        <v>1167</v>
      </c>
    </row>
    <row r="1160" spans="1:3" x14ac:dyDescent="0.4">
      <c r="A1160">
        <v>52473</v>
      </c>
      <c r="B1160" t="s">
        <v>1115</v>
      </c>
      <c r="C1160" t="s">
        <v>1166</v>
      </c>
    </row>
    <row r="1161" spans="1:3" x14ac:dyDescent="0.4">
      <c r="A1161">
        <v>52476</v>
      </c>
      <c r="B1161" t="s">
        <v>1115</v>
      </c>
      <c r="C1161" t="s">
        <v>1165</v>
      </c>
    </row>
    <row r="1162" spans="1:3" x14ac:dyDescent="0.4">
      <c r="A1162">
        <v>52477</v>
      </c>
      <c r="B1162" t="s">
        <v>1115</v>
      </c>
      <c r="C1162" t="s">
        <v>1164</v>
      </c>
    </row>
    <row r="1163" spans="1:3" x14ac:dyDescent="0.4">
      <c r="A1163">
        <v>52478</v>
      </c>
      <c r="B1163" t="s">
        <v>1115</v>
      </c>
      <c r="C1163" t="s">
        <v>1163</v>
      </c>
    </row>
    <row r="1164" spans="1:3" x14ac:dyDescent="0.4">
      <c r="A1164">
        <v>52479</v>
      </c>
      <c r="B1164" t="s">
        <v>1115</v>
      </c>
      <c r="C1164" t="s">
        <v>1162</v>
      </c>
    </row>
    <row r="1165" spans="1:3" x14ac:dyDescent="0.4">
      <c r="A1165">
        <v>52712</v>
      </c>
      <c r="B1165" t="s">
        <v>1115</v>
      </c>
      <c r="C1165" t="s">
        <v>1161</v>
      </c>
    </row>
    <row r="1166" spans="1:3" x14ac:dyDescent="0.4">
      <c r="A1166">
        <v>52829</v>
      </c>
      <c r="B1166" t="s">
        <v>1115</v>
      </c>
      <c r="C1166" t="s">
        <v>1160</v>
      </c>
    </row>
    <row r="1167" spans="1:3" x14ac:dyDescent="0.4">
      <c r="A1167">
        <v>52830</v>
      </c>
      <c r="B1167" t="s">
        <v>1115</v>
      </c>
      <c r="C1167" t="s">
        <v>1159</v>
      </c>
    </row>
    <row r="1168" spans="1:3" x14ac:dyDescent="0.4">
      <c r="A1168">
        <v>52896</v>
      </c>
      <c r="B1168" t="s">
        <v>1115</v>
      </c>
      <c r="C1168" t="s">
        <v>1158</v>
      </c>
    </row>
    <row r="1169" spans="1:3" x14ac:dyDescent="0.4">
      <c r="A1169">
        <v>52897</v>
      </c>
      <c r="B1169" t="s">
        <v>1115</v>
      </c>
      <c r="C1169" t="s">
        <v>1157</v>
      </c>
    </row>
    <row r="1170" spans="1:3" x14ac:dyDescent="0.4">
      <c r="A1170">
        <v>52898</v>
      </c>
      <c r="B1170" t="s">
        <v>1115</v>
      </c>
      <c r="C1170" t="s">
        <v>1156</v>
      </c>
    </row>
    <row r="1171" spans="1:3" x14ac:dyDescent="0.4">
      <c r="A1171">
        <v>52899</v>
      </c>
      <c r="B1171" t="s">
        <v>1115</v>
      </c>
      <c r="C1171" t="s">
        <v>1155</v>
      </c>
    </row>
    <row r="1172" spans="1:3" x14ac:dyDescent="0.4">
      <c r="A1172">
        <v>52900</v>
      </c>
      <c r="B1172" t="s">
        <v>1115</v>
      </c>
      <c r="C1172" t="s">
        <v>1154</v>
      </c>
    </row>
    <row r="1173" spans="1:3" x14ac:dyDescent="0.4">
      <c r="A1173">
        <v>52901</v>
      </c>
      <c r="B1173" t="s">
        <v>1115</v>
      </c>
      <c r="C1173" t="s">
        <v>1153</v>
      </c>
    </row>
    <row r="1174" spans="1:3" x14ac:dyDescent="0.4">
      <c r="A1174">
        <v>52902</v>
      </c>
      <c r="B1174" t="s">
        <v>1115</v>
      </c>
      <c r="C1174" t="s">
        <v>1152</v>
      </c>
    </row>
    <row r="1175" spans="1:3" x14ac:dyDescent="0.4">
      <c r="A1175">
        <v>52903</v>
      </c>
      <c r="B1175" t="s">
        <v>1115</v>
      </c>
      <c r="C1175" t="s">
        <v>1151</v>
      </c>
    </row>
    <row r="1176" spans="1:3" x14ac:dyDescent="0.4">
      <c r="A1176">
        <v>52904</v>
      </c>
      <c r="B1176" t="s">
        <v>1115</v>
      </c>
      <c r="C1176" t="s">
        <v>1150</v>
      </c>
    </row>
    <row r="1177" spans="1:3" x14ac:dyDescent="0.4">
      <c r="A1177">
        <v>52905</v>
      </c>
      <c r="B1177" t="s">
        <v>1115</v>
      </c>
      <c r="C1177" t="s">
        <v>1149</v>
      </c>
    </row>
    <row r="1178" spans="1:3" x14ac:dyDescent="0.4">
      <c r="A1178">
        <v>53008</v>
      </c>
      <c r="B1178" t="s">
        <v>1115</v>
      </c>
      <c r="C1178" t="s">
        <v>1148</v>
      </c>
    </row>
    <row r="1179" spans="1:3" x14ac:dyDescent="0.4">
      <c r="A1179">
        <v>53009</v>
      </c>
      <c r="B1179" t="s">
        <v>1115</v>
      </c>
      <c r="C1179" t="s">
        <v>1147</v>
      </c>
    </row>
    <row r="1180" spans="1:3" x14ac:dyDescent="0.4">
      <c r="A1180">
        <v>53010</v>
      </c>
      <c r="B1180" t="s">
        <v>1115</v>
      </c>
      <c r="C1180" t="s">
        <v>1146</v>
      </c>
    </row>
    <row r="1181" spans="1:3" x14ac:dyDescent="0.4">
      <c r="A1181">
        <v>53011</v>
      </c>
      <c r="B1181" t="s">
        <v>1115</v>
      </c>
      <c r="C1181" t="s">
        <v>1145</v>
      </c>
    </row>
    <row r="1182" spans="1:3" x14ac:dyDescent="0.4">
      <c r="A1182">
        <v>53014</v>
      </c>
      <c r="B1182" t="s">
        <v>1115</v>
      </c>
      <c r="C1182" t="s">
        <v>1144</v>
      </c>
    </row>
    <row r="1183" spans="1:3" x14ac:dyDescent="0.4">
      <c r="A1183">
        <v>53015</v>
      </c>
      <c r="B1183" t="s">
        <v>1115</v>
      </c>
      <c r="C1183" t="s">
        <v>1143</v>
      </c>
    </row>
    <row r="1184" spans="1:3" x14ac:dyDescent="0.4">
      <c r="A1184">
        <v>53016</v>
      </c>
      <c r="B1184" t="s">
        <v>1115</v>
      </c>
      <c r="C1184" t="s">
        <v>1142</v>
      </c>
    </row>
    <row r="1185" spans="1:3" x14ac:dyDescent="0.4">
      <c r="A1185">
        <v>53017</v>
      </c>
      <c r="B1185" t="s">
        <v>1115</v>
      </c>
      <c r="C1185" t="s">
        <v>1141</v>
      </c>
    </row>
    <row r="1186" spans="1:3" x14ac:dyDescent="0.4">
      <c r="A1186">
        <v>54108</v>
      </c>
      <c r="B1186" t="s">
        <v>1115</v>
      </c>
      <c r="C1186" t="s">
        <v>1140</v>
      </c>
    </row>
    <row r="1187" spans="1:3" x14ac:dyDescent="0.4">
      <c r="A1187">
        <v>54109</v>
      </c>
      <c r="B1187" t="s">
        <v>1115</v>
      </c>
      <c r="C1187" t="s">
        <v>1139</v>
      </c>
    </row>
    <row r="1188" spans="1:3" x14ac:dyDescent="0.4">
      <c r="A1188">
        <v>54110</v>
      </c>
      <c r="B1188" t="s">
        <v>1115</v>
      </c>
      <c r="C1188" t="s">
        <v>1138</v>
      </c>
    </row>
    <row r="1189" spans="1:3" x14ac:dyDescent="0.4">
      <c r="A1189">
        <v>54111</v>
      </c>
      <c r="B1189" t="s">
        <v>1115</v>
      </c>
      <c r="C1189" t="s">
        <v>1137</v>
      </c>
    </row>
    <row r="1190" spans="1:3" x14ac:dyDescent="0.4">
      <c r="A1190">
        <v>54112</v>
      </c>
      <c r="B1190" t="s">
        <v>1115</v>
      </c>
      <c r="C1190" t="s">
        <v>1136</v>
      </c>
    </row>
    <row r="1191" spans="1:3" x14ac:dyDescent="0.4">
      <c r="A1191">
        <v>54113</v>
      </c>
      <c r="B1191" t="s">
        <v>1115</v>
      </c>
      <c r="C1191" t="s">
        <v>1135</v>
      </c>
    </row>
    <row r="1192" spans="1:3" x14ac:dyDescent="0.4">
      <c r="A1192">
        <v>54114</v>
      </c>
      <c r="B1192" t="s">
        <v>1115</v>
      </c>
      <c r="C1192" t="s">
        <v>1134</v>
      </c>
    </row>
    <row r="1193" spans="1:3" x14ac:dyDescent="0.4">
      <c r="A1193">
        <v>54115</v>
      </c>
      <c r="B1193" t="s">
        <v>1115</v>
      </c>
      <c r="C1193" t="s">
        <v>1133</v>
      </c>
    </row>
    <row r="1194" spans="1:3" x14ac:dyDescent="0.4">
      <c r="A1194">
        <v>54116</v>
      </c>
      <c r="B1194" t="s">
        <v>1115</v>
      </c>
      <c r="C1194" t="s">
        <v>1132</v>
      </c>
    </row>
    <row r="1195" spans="1:3" x14ac:dyDescent="0.4">
      <c r="A1195">
        <v>54117</v>
      </c>
      <c r="B1195" t="s">
        <v>1115</v>
      </c>
      <c r="C1195" t="s">
        <v>1131</v>
      </c>
    </row>
    <row r="1196" spans="1:3" x14ac:dyDescent="0.4">
      <c r="A1196">
        <v>54118</v>
      </c>
      <c r="B1196" t="s">
        <v>1115</v>
      </c>
      <c r="C1196" t="s">
        <v>1130</v>
      </c>
    </row>
    <row r="1197" spans="1:3" x14ac:dyDescent="0.4">
      <c r="A1197">
        <v>54119</v>
      </c>
      <c r="B1197" t="s">
        <v>1115</v>
      </c>
      <c r="C1197" t="s">
        <v>1129</v>
      </c>
    </row>
    <row r="1198" spans="1:3" x14ac:dyDescent="0.4">
      <c r="A1198">
        <v>55108</v>
      </c>
      <c r="B1198" t="s">
        <v>1115</v>
      </c>
      <c r="C1198" t="s">
        <v>1128</v>
      </c>
    </row>
    <row r="1199" spans="1:3" x14ac:dyDescent="0.4">
      <c r="A1199">
        <v>55109</v>
      </c>
      <c r="B1199" t="s">
        <v>1115</v>
      </c>
      <c r="C1199" t="s">
        <v>1127</v>
      </c>
    </row>
    <row r="1200" spans="1:3" x14ac:dyDescent="0.4">
      <c r="A1200">
        <v>55110</v>
      </c>
      <c r="B1200" t="s">
        <v>1115</v>
      </c>
      <c r="C1200" t="s">
        <v>1126</v>
      </c>
    </row>
    <row r="1201" spans="1:3" x14ac:dyDescent="0.4">
      <c r="A1201">
        <v>55111</v>
      </c>
      <c r="B1201" t="s">
        <v>1115</v>
      </c>
      <c r="C1201" t="s">
        <v>1125</v>
      </c>
    </row>
    <row r="1202" spans="1:3" x14ac:dyDescent="0.4">
      <c r="A1202">
        <v>55112</v>
      </c>
      <c r="B1202" t="s">
        <v>1115</v>
      </c>
      <c r="C1202" t="s">
        <v>1124</v>
      </c>
    </row>
    <row r="1203" spans="1:3" x14ac:dyDescent="0.4">
      <c r="A1203">
        <v>55113</v>
      </c>
      <c r="B1203" t="s">
        <v>1115</v>
      </c>
      <c r="C1203" t="s">
        <v>1123</v>
      </c>
    </row>
    <row r="1204" spans="1:3" x14ac:dyDescent="0.4">
      <c r="A1204">
        <v>55114</v>
      </c>
      <c r="B1204" t="s">
        <v>1115</v>
      </c>
      <c r="C1204" t="s">
        <v>1122</v>
      </c>
    </row>
    <row r="1205" spans="1:3" x14ac:dyDescent="0.4">
      <c r="A1205">
        <v>55115</v>
      </c>
      <c r="B1205" t="s">
        <v>1115</v>
      </c>
      <c r="C1205" t="s">
        <v>1121</v>
      </c>
    </row>
    <row r="1206" spans="1:3" x14ac:dyDescent="0.4">
      <c r="A1206">
        <v>55116</v>
      </c>
      <c r="B1206" t="s">
        <v>1115</v>
      </c>
      <c r="C1206" t="s">
        <v>1120</v>
      </c>
    </row>
    <row r="1207" spans="1:3" x14ac:dyDescent="0.4">
      <c r="A1207">
        <v>55117</v>
      </c>
      <c r="B1207" t="s">
        <v>1115</v>
      </c>
      <c r="C1207" t="s">
        <v>1119</v>
      </c>
    </row>
    <row r="1208" spans="1:3" x14ac:dyDescent="0.4">
      <c r="A1208">
        <v>55118</v>
      </c>
      <c r="B1208" t="s">
        <v>1115</v>
      </c>
      <c r="C1208" t="s">
        <v>1118</v>
      </c>
    </row>
    <row r="1209" spans="1:3" x14ac:dyDescent="0.4">
      <c r="A1209">
        <v>55119</v>
      </c>
      <c r="B1209" t="s">
        <v>1115</v>
      </c>
      <c r="C1209" t="s">
        <v>1117</v>
      </c>
    </row>
    <row r="1210" spans="1:3" x14ac:dyDescent="0.4">
      <c r="A1210">
        <v>57113</v>
      </c>
      <c r="B1210" t="s">
        <v>1115</v>
      </c>
      <c r="C1210" t="s">
        <v>1116</v>
      </c>
    </row>
    <row r="1211" spans="1:3" x14ac:dyDescent="0.4">
      <c r="A1211">
        <v>58000</v>
      </c>
      <c r="B1211" t="s">
        <v>1115</v>
      </c>
      <c r="C1211" t="s">
        <v>540</v>
      </c>
    </row>
    <row r="1212" spans="1:3" x14ac:dyDescent="0.4">
      <c r="A1212">
        <v>58001</v>
      </c>
      <c r="B1212" t="s">
        <v>1115</v>
      </c>
      <c r="C1212" t="s">
        <v>539</v>
      </c>
    </row>
    <row r="1213" spans="1:3" x14ac:dyDescent="0.4">
      <c r="A1213">
        <v>58002</v>
      </c>
      <c r="B1213" t="s">
        <v>1115</v>
      </c>
      <c r="C1213" t="s">
        <v>538</v>
      </c>
    </row>
    <row r="1214" spans="1:3" x14ac:dyDescent="0.4">
      <c r="A1214">
        <v>58003</v>
      </c>
      <c r="B1214" t="s">
        <v>1115</v>
      </c>
      <c r="C1214" t="s">
        <v>537</v>
      </c>
    </row>
    <row r="1215" spans="1:3" x14ac:dyDescent="0.4">
      <c r="A1215">
        <v>58004</v>
      </c>
      <c r="B1215" t="s">
        <v>1115</v>
      </c>
      <c r="C1215" t="s">
        <v>536</v>
      </c>
    </row>
    <row r="1216" spans="1:3" x14ac:dyDescent="0.4">
      <c r="A1216">
        <v>58005</v>
      </c>
      <c r="B1216" t="s">
        <v>1115</v>
      </c>
      <c r="C1216" t="s">
        <v>534</v>
      </c>
    </row>
    <row r="1217" spans="1:3" x14ac:dyDescent="0.4">
      <c r="A1217">
        <v>60768</v>
      </c>
      <c r="B1217" t="s">
        <v>988</v>
      </c>
      <c r="C1217" t="s">
        <v>1114</v>
      </c>
    </row>
    <row r="1218" spans="1:3" x14ac:dyDescent="0.4">
      <c r="A1218">
        <v>60769</v>
      </c>
      <c r="B1218" t="s">
        <v>988</v>
      </c>
      <c r="C1218" t="s">
        <v>1113</v>
      </c>
    </row>
    <row r="1219" spans="1:3" x14ac:dyDescent="0.4">
      <c r="A1219">
        <v>60770</v>
      </c>
      <c r="B1219" t="s">
        <v>988</v>
      </c>
      <c r="C1219" t="s">
        <v>1112</v>
      </c>
    </row>
    <row r="1220" spans="1:3" x14ac:dyDescent="0.4">
      <c r="A1220">
        <v>60771</v>
      </c>
      <c r="B1220" t="s">
        <v>988</v>
      </c>
      <c r="C1220" t="s">
        <v>1111</v>
      </c>
    </row>
    <row r="1221" spans="1:3" x14ac:dyDescent="0.4">
      <c r="A1221">
        <v>60774</v>
      </c>
      <c r="B1221" t="s">
        <v>988</v>
      </c>
      <c r="C1221" t="s">
        <v>1110</v>
      </c>
    </row>
    <row r="1222" spans="1:3" x14ac:dyDescent="0.4">
      <c r="A1222">
        <v>60775</v>
      </c>
      <c r="B1222" t="s">
        <v>988</v>
      </c>
      <c r="C1222" t="s">
        <v>1109</v>
      </c>
    </row>
    <row r="1223" spans="1:3" x14ac:dyDescent="0.4">
      <c r="A1223">
        <v>60776</v>
      </c>
      <c r="B1223" t="s">
        <v>988</v>
      </c>
      <c r="C1223" t="s">
        <v>1108</v>
      </c>
    </row>
    <row r="1224" spans="1:3" x14ac:dyDescent="0.4">
      <c r="A1224">
        <v>60777</v>
      </c>
      <c r="B1224" t="s">
        <v>988</v>
      </c>
      <c r="C1224" t="s">
        <v>1107</v>
      </c>
    </row>
    <row r="1225" spans="1:3" x14ac:dyDescent="0.4">
      <c r="A1225">
        <v>60780</v>
      </c>
      <c r="B1225" t="s">
        <v>988</v>
      </c>
      <c r="C1225" t="s">
        <v>1106</v>
      </c>
    </row>
    <row r="1226" spans="1:3" x14ac:dyDescent="0.4">
      <c r="A1226">
        <v>60781</v>
      </c>
      <c r="B1226" t="s">
        <v>988</v>
      </c>
      <c r="C1226" t="s">
        <v>1105</v>
      </c>
    </row>
    <row r="1227" spans="1:3" x14ac:dyDescent="0.4">
      <c r="A1227">
        <v>60784</v>
      </c>
      <c r="B1227" t="s">
        <v>988</v>
      </c>
      <c r="C1227" t="s">
        <v>1104</v>
      </c>
    </row>
    <row r="1228" spans="1:3" x14ac:dyDescent="0.4">
      <c r="A1228">
        <v>60785</v>
      </c>
      <c r="B1228" t="s">
        <v>988</v>
      </c>
      <c r="C1228" t="s">
        <v>1103</v>
      </c>
    </row>
    <row r="1229" spans="1:3" x14ac:dyDescent="0.4">
      <c r="A1229">
        <v>60786</v>
      </c>
      <c r="B1229" t="s">
        <v>988</v>
      </c>
      <c r="C1229" t="s">
        <v>1102</v>
      </c>
    </row>
    <row r="1230" spans="1:3" x14ac:dyDescent="0.4">
      <c r="A1230">
        <v>60787</v>
      </c>
      <c r="B1230" t="s">
        <v>988</v>
      </c>
      <c r="C1230" t="s">
        <v>1101</v>
      </c>
    </row>
    <row r="1231" spans="1:3" x14ac:dyDescent="0.4">
      <c r="A1231">
        <v>60788</v>
      </c>
      <c r="B1231" t="s">
        <v>988</v>
      </c>
      <c r="C1231" t="s">
        <v>1100</v>
      </c>
    </row>
    <row r="1232" spans="1:3" x14ac:dyDescent="0.4">
      <c r="A1232">
        <v>60789</v>
      </c>
      <c r="B1232" t="s">
        <v>988</v>
      </c>
      <c r="C1232" t="s">
        <v>1099</v>
      </c>
    </row>
    <row r="1233" spans="1:3" x14ac:dyDescent="0.4">
      <c r="A1233">
        <v>60790</v>
      </c>
      <c r="B1233" t="s">
        <v>988</v>
      </c>
      <c r="C1233" t="s">
        <v>1098</v>
      </c>
    </row>
    <row r="1234" spans="1:3" x14ac:dyDescent="0.4">
      <c r="A1234">
        <v>60791</v>
      </c>
      <c r="B1234" t="s">
        <v>988</v>
      </c>
      <c r="C1234" t="s">
        <v>1097</v>
      </c>
    </row>
    <row r="1235" spans="1:3" x14ac:dyDescent="0.4">
      <c r="A1235">
        <v>60792</v>
      </c>
      <c r="B1235" t="s">
        <v>988</v>
      </c>
      <c r="C1235" t="s">
        <v>1096</v>
      </c>
    </row>
    <row r="1236" spans="1:3" x14ac:dyDescent="0.4">
      <c r="A1236">
        <v>60793</v>
      </c>
      <c r="B1236" t="s">
        <v>988</v>
      </c>
      <c r="C1236" t="s">
        <v>1095</v>
      </c>
    </row>
    <row r="1237" spans="1:3" x14ac:dyDescent="0.4">
      <c r="A1237">
        <v>60794</v>
      </c>
      <c r="B1237" t="s">
        <v>988</v>
      </c>
      <c r="C1237" t="s">
        <v>1094</v>
      </c>
    </row>
    <row r="1238" spans="1:3" x14ac:dyDescent="0.4">
      <c r="A1238">
        <v>60795</v>
      </c>
      <c r="B1238" t="s">
        <v>988</v>
      </c>
      <c r="C1238" t="s">
        <v>1093</v>
      </c>
    </row>
    <row r="1239" spans="1:3" x14ac:dyDescent="0.4">
      <c r="A1239">
        <v>60796</v>
      </c>
      <c r="B1239" t="s">
        <v>988</v>
      </c>
      <c r="C1239" t="s">
        <v>1092</v>
      </c>
    </row>
    <row r="1240" spans="1:3" x14ac:dyDescent="0.4">
      <c r="A1240">
        <v>60797</v>
      </c>
      <c r="B1240" t="s">
        <v>988</v>
      </c>
      <c r="C1240" t="s">
        <v>1091</v>
      </c>
    </row>
    <row r="1241" spans="1:3" x14ac:dyDescent="0.4">
      <c r="A1241">
        <v>60798</v>
      </c>
      <c r="B1241" t="s">
        <v>988</v>
      </c>
      <c r="C1241" t="s">
        <v>1090</v>
      </c>
    </row>
    <row r="1242" spans="1:3" x14ac:dyDescent="0.4">
      <c r="A1242">
        <v>60799</v>
      </c>
      <c r="B1242" t="s">
        <v>988</v>
      </c>
      <c r="C1242" t="s">
        <v>1089</v>
      </c>
    </row>
    <row r="1243" spans="1:3" x14ac:dyDescent="0.4">
      <c r="A1243">
        <v>60800</v>
      </c>
      <c r="B1243" t="s">
        <v>988</v>
      </c>
      <c r="C1243" t="s">
        <v>1088</v>
      </c>
    </row>
    <row r="1244" spans="1:3" x14ac:dyDescent="0.4">
      <c r="A1244">
        <v>60801</v>
      </c>
      <c r="B1244" t="s">
        <v>988</v>
      </c>
      <c r="C1244" t="s">
        <v>1087</v>
      </c>
    </row>
    <row r="1245" spans="1:3" x14ac:dyDescent="0.4">
      <c r="A1245">
        <v>60802</v>
      </c>
      <c r="B1245" t="s">
        <v>988</v>
      </c>
      <c r="C1245" t="s">
        <v>1086</v>
      </c>
    </row>
    <row r="1246" spans="1:3" x14ac:dyDescent="0.4">
      <c r="A1246">
        <v>60803</v>
      </c>
      <c r="B1246" t="s">
        <v>988</v>
      </c>
      <c r="C1246" t="s">
        <v>1085</v>
      </c>
    </row>
    <row r="1247" spans="1:3" x14ac:dyDescent="0.4">
      <c r="A1247">
        <v>60804</v>
      </c>
      <c r="B1247" t="s">
        <v>988</v>
      </c>
      <c r="C1247" t="s">
        <v>1084</v>
      </c>
    </row>
    <row r="1248" spans="1:3" x14ac:dyDescent="0.4">
      <c r="A1248">
        <v>60805</v>
      </c>
      <c r="B1248" t="s">
        <v>988</v>
      </c>
      <c r="C1248" t="s">
        <v>1083</v>
      </c>
    </row>
    <row r="1249" spans="1:3" x14ac:dyDescent="0.4">
      <c r="A1249">
        <v>60806</v>
      </c>
      <c r="B1249" t="s">
        <v>988</v>
      </c>
      <c r="C1249" t="s">
        <v>1082</v>
      </c>
    </row>
    <row r="1250" spans="1:3" x14ac:dyDescent="0.4">
      <c r="A1250">
        <v>60807</v>
      </c>
      <c r="B1250" t="s">
        <v>988</v>
      </c>
      <c r="C1250" t="s">
        <v>1081</v>
      </c>
    </row>
    <row r="1251" spans="1:3" x14ac:dyDescent="0.4">
      <c r="A1251">
        <v>60808</v>
      </c>
      <c r="B1251" t="s">
        <v>988</v>
      </c>
      <c r="C1251" t="s">
        <v>1080</v>
      </c>
    </row>
    <row r="1252" spans="1:3" x14ac:dyDescent="0.4">
      <c r="A1252">
        <v>60809</v>
      </c>
      <c r="B1252" t="s">
        <v>988</v>
      </c>
      <c r="C1252" t="s">
        <v>1079</v>
      </c>
    </row>
    <row r="1253" spans="1:3" x14ac:dyDescent="0.4">
      <c r="A1253">
        <v>60810</v>
      </c>
      <c r="B1253" t="s">
        <v>988</v>
      </c>
      <c r="C1253" t="s">
        <v>1078</v>
      </c>
    </row>
    <row r="1254" spans="1:3" x14ac:dyDescent="0.4">
      <c r="A1254">
        <v>60811</v>
      </c>
      <c r="B1254" t="s">
        <v>988</v>
      </c>
      <c r="C1254" t="s">
        <v>1077</v>
      </c>
    </row>
    <row r="1255" spans="1:3" x14ac:dyDescent="0.4">
      <c r="A1255">
        <v>60812</v>
      </c>
      <c r="B1255" t="s">
        <v>988</v>
      </c>
      <c r="C1255" t="s">
        <v>1076</v>
      </c>
    </row>
    <row r="1256" spans="1:3" x14ac:dyDescent="0.4">
      <c r="A1256">
        <v>60813</v>
      </c>
      <c r="B1256" t="s">
        <v>988</v>
      </c>
      <c r="C1256" t="s">
        <v>1075</v>
      </c>
    </row>
    <row r="1257" spans="1:3" x14ac:dyDescent="0.4">
      <c r="A1257">
        <v>60814</v>
      </c>
      <c r="B1257" t="s">
        <v>988</v>
      </c>
      <c r="C1257" t="s">
        <v>1074</v>
      </c>
    </row>
    <row r="1258" spans="1:3" x14ac:dyDescent="0.4">
      <c r="A1258">
        <v>60815</v>
      </c>
      <c r="B1258" t="s">
        <v>988</v>
      </c>
      <c r="C1258" t="s">
        <v>1073</v>
      </c>
    </row>
    <row r="1259" spans="1:3" x14ac:dyDescent="0.4">
      <c r="A1259">
        <v>60816</v>
      </c>
      <c r="B1259" t="s">
        <v>988</v>
      </c>
      <c r="C1259" t="s">
        <v>1072</v>
      </c>
    </row>
    <row r="1260" spans="1:3" x14ac:dyDescent="0.4">
      <c r="A1260">
        <v>60817</v>
      </c>
      <c r="B1260" t="s">
        <v>988</v>
      </c>
      <c r="C1260" t="s">
        <v>1071</v>
      </c>
    </row>
    <row r="1261" spans="1:3" x14ac:dyDescent="0.4">
      <c r="A1261">
        <v>60818</v>
      </c>
      <c r="B1261" t="s">
        <v>988</v>
      </c>
      <c r="C1261" t="s">
        <v>1070</v>
      </c>
    </row>
    <row r="1262" spans="1:3" x14ac:dyDescent="0.4">
      <c r="A1262">
        <v>60819</v>
      </c>
      <c r="B1262" t="s">
        <v>988</v>
      </c>
      <c r="C1262" t="s">
        <v>1069</v>
      </c>
    </row>
    <row r="1263" spans="1:3" x14ac:dyDescent="0.4">
      <c r="A1263">
        <v>60823</v>
      </c>
      <c r="B1263" t="s">
        <v>988</v>
      </c>
      <c r="C1263" t="s">
        <v>1068</v>
      </c>
    </row>
    <row r="1264" spans="1:3" x14ac:dyDescent="0.4">
      <c r="A1264">
        <v>60824</v>
      </c>
      <c r="B1264" t="s">
        <v>988</v>
      </c>
      <c r="C1264" t="s">
        <v>1067</v>
      </c>
    </row>
    <row r="1265" spans="1:3" x14ac:dyDescent="0.4">
      <c r="A1265">
        <v>60825</v>
      </c>
      <c r="B1265" t="s">
        <v>988</v>
      </c>
      <c r="C1265" t="s">
        <v>1066</v>
      </c>
    </row>
    <row r="1266" spans="1:3" x14ac:dyDescent="0.4">
      <c r="A1266">
        <v>60826</v>
      </c>
      <c r="B1266" t="s">
        <v>988</v>
      </c>
      <c r="C1266" t="s">
        <v>1065</v>
      </c>
    </row>
    <row r="1267" spans="1:3" x14ac:dyDescent="0.4">
      <c r="A1267">
        <v>62768</v>
      </c>
      <c r="B1267" t="s">
        <v>988</v>
      </c>
      <c r="C1267" t="s">
        <v>1064</v>
      </c>
    </row>
    <row r="1268" spans="1:3" x14ac:dyDescent="0.4">
      <c r="A1268">
        <v>62769</v>
      </c>
      <c r="B1268" t="s">
        <v>988</v>
      </c>
      <c r="C1268" t="s">
        <v>1063</v>
      </c>
    </row>
    <row r="1269" spans="1:3" x14ac:dyDescent="0.4">
      <c r="A1269">
        <v>62770</v>
      </c>
      <c r="B1269" t="s">
        <v>988</v>
      </c>
      <c r="C1269" t="s">
        <v>1062</v>
      </c>
    </row>
    <row r="1270" spans="1:3" x14ac:dyDescent="0.4">
      <c r="A1270">
        <v>62771</v>
      </c>
      <c r="B1270" t="s">
        <v>988</v>
      </c>
      <c r="C1270" t="s">
        <v>1061</v>
      </c>
    </row>
    <row r="1271" spans="1:3" x14ac:dyDescent="0.4">
      <c r="A1271">
        <v>62774</v>
      </c>
      <c r="B1271" t="s">
        <v>988</v>
      </c>
      <c r="C1271" t="s">
        <v>1060</v>
      </c>
    </row>
    <row r="1272" spans="1:3" x14ac:dyDescent="0.4">
      <c r="A1272">
        <v>62775</v>
      </c>
      <c r="B1272" t="s">
        <v>988</v>
      </c>
      <c r="C1272" t="s">
        <v>1059</v>
      </c>
    </row>
    <row r="1273" spans="1:3" x14ac:dyDescent="0.4">
      <c r="A1273">
        <v>62776</v>
      </c>
      <c r="B1273" t="s">
        <v>988</v>
      </c>
      <c r="C1273" t="s">
        <v>1058</v>
      </c>
    </row>
    <row r="1274" spans="1:3" x14ac:dyDescent="0.4">
      <c r="A1274">
        <v>62777</v>
      </c>
      <c r="B1274" t="s">
        <v>988</v>
      </c>
      <c r="C1274" t="s">
        <v>1057</v>
      </c>
    </row>
    <row r="1275" spans="1:3" x14ac:dyDescent="0.4">
      <c r="A1275">
        <v>62780</v>
      </c>
      <c r="B1275" t="s">
        <v>988</v>
      </c>
      <c r="C1275" t="s">
        <v>1056</v>
      </c>
    </row>
    <row r="1276" spans="1:3" x14ac:dyDescent="0.4">
      <c r="A1276">
        <v>62781</v>
      </c>
      <c r="B1276" t="s">
        <v>988</v>
      </c>
      <c r="C1276" t="s">
        <v>1055</v>
      </c>
    </row>
    <row r="1277" spans="1:3" x14ac:dyDescent="0.4">
      <c r="A1277">
        <v>62784</v>
      </c>
      <c r="B1277" t="s">
        <v>988</v>
      </c>
      <c r="C1277" t="s">
        <v>1054</v>
      </c>
    </row>
    <row r="1278" spans="1:3" x14ac:dyDescent="0.4">
      <c r="A1278">
        <v>62785</v>
      </c>
      <c r="B1278" t="s">
        <v>988</v>
      </c>
      <c r="C1278" t="s">
        <v>1053</v>
      </c>
    </row>
    <row r="1279" spans="1:3" x14ac:dyDescent="0.4">
      <c r="A1279">
        <v>62786</v>
      </c>
      <c r="B1279" t="s">
        <v>988</v>
      </c>
      <c r="C1279" t="s">
        <v>1052</v>
      </c>
    </row>
    <row r="1280" spans="1:3" x14ac:dyDescent="0.4">
      <c r="A1280">
        <v>62787</v>
      </c>
      <c r="B1280" t="s">
        <v>988</v>
      </c>
      <c r="C1280" t="s">
        <v>1051</v>
      </c>
    </row>
    <row r="1281" spans="1:3" x14ac:dyDescent="0.4">
      <c r="A1281">
        <v>62788</v>
      </c>
      <c r="B1281" t="s">
        <v>988</v>
      </c>
      <c r="C1281" t="s">
        <v>1050</v>
      </c>
    </row>
    <row r="1282" spans="1:3" x14ac:dyDescent="0.4">
      <c r="A1282">
        <v>62789</v>
      </c>
      <c r="B1282" t="s">
        <v>988</v>
      </c>
      <c r="C1282" t="s">
        <v>1049</v>
      </c>
    </row>
    <row r="1283" spans="1:3" x14ac:dyDescent="0.4">
      <c r="A1283">
        <v>62790</v>
      </c>
      <c r="B1283" t="s">
        <v>988</v>
      </c>
      <c r="C1283" t="s">
        <v>1048</v>
      </c>
    </row>
    <row r="1284" spans="1:3" x14ac:dyDescent="0.4">
      <c r="A1284">
        <v>62791</v>
      </c>
      <c r="B1284" t="s">
        <v>988</v>
      </c>
      <c r="C1284" t="s">
        <v>1047</v>
      </c>
    </row>
    <row r="1285" spans="1:3" x14ac:dyDescent="0.4">
      <c r="A1285">
        <v>62792</v>
      </c>
      <c r="B1285" t="s">
        <v>988</v>
      </c>
      <c r="C1285" t="s">
        <v>1046</v>
      </c>
    </row>
    <row r="1286" spans="1:3" x14ac:dyDescent="0.4">
      <c r="A1286">
        <v>62793</v>
      </c>
      <c r="B1286" t="s">
        <v>988</v>
      </c>
      <c r="C1286" t="s">
        <v>1045</v>
      </c>
    </row>
    <row r="1287" spans="1:3" x14ac:dyDescent="0.4">
      <c r="A1287">
        <v>62794</v>
      </c>
      <c r="B1287" t="s">
        <v>988</v>
      </c>
      <c r="C1287" t="s">
        <v>1044</v>
      </c>
    </row>
    <row r="1288" spans="1:3" x14ac:dyDescent="0.4">
      <c r="A1288">
        <v>62795</v>
      </c>
      <c r="B1288" t="s">
        <v>988</v>
      </c>
      <c r="C1288" t="s">
        <v>1043</v>
      </c>
    </row>
    <row r="1289" spans="1:3" x14ac:dyDescent="0.4">
      <c r="A1289">
        <v>62796</v>
      </c>
      <c r="B1289" t="s">
        <v>988</v>
      </c>
      <c r="C1289" t="s">
        <v>1042</v>
      </c>
    </row>
    <row r="1290" spans="1:3" x14ac:dyDescent="0.4">
      <c r="A1290">
        <v>62797</v>
      </c>
      <c r="B1290" t="s">
        <v>988</v>
      </c>
      <c r="C1290" t="s">
        <v>1041</v>
      </c>
    </row>
    <row r="1291" spans="1:3" x14ac:dyDescent="0.4">
      <c r="A1291">
        <v>62798</v>
      </c>
      <c r="B1291" t="s">
        <v>988</v>
      </c>
      <c r="C1291" t="s">
        <v>1040</v>
      </c>
    </row>
    <row r="1292" spans="1:3" x14ac:dyDescent="0.4">
      <c r="A1292">
        <v>62799</v>
      </c>
      <c r="B1292" t="s">
        <v>988</v>
      </c>
      <c r="C1292" t="s">
        <v>1039</v>
      </c>
    </row>
    <row r="1293" spans="1:3" x14ac:dyDescent="0.4">
      <c r="A1293">
        <v>62800</v>
      </c>
      <c r="B1293" t="s">
        <v>988</v>
      </c>
      <c r="C1293" t="s">
        <v>1038</v>
      </c>
    </row>
    <row r="1294" spans="1:3" x14ac:dyDescent="0.4">
      <c r="A1294">
        <v>62801</v>
      </c>
      <c r="B1294" t="s">
        <v>988</v>
      </c>
      <c r="C1294" t="s">
        <v>1037</v>
      </c>
    </row>
    <row r="1295" spans="1:3" x14ac:dyDescent="0.4">
      <c r="A1295">
        <v>62802</v>
      </c>
      <c r="B1295" t="s">
        <v>988</v>
      </c>
      <c r="C1295" t="s">
        <v>1036</v>
      </c>
    </row>
    <row r="1296" spans="1:3" x14ac:dyDescent="0.4">
      <c r="A1296">
        <v>62803</v>
      </c>
      <c r="B1296" t="s">
        <v>988</v>
      </c>
      <c r="C1296" t="s">
        <v>1035</v>
      </c>
    </row>
    <row r="1297" spans="1:3" x14ac:dyDescent="0.4">
      <c r="A1297">
        <v>62804</v>
      </c>
      <c r="B1297" t="s">
        <v>988</v>
      </c>
      <c r="C1297" t="s">
        <v>1034</v>
      </c>
    </row>
    <row r="1298" spans="1:3" x14ac:dyDescent="0.4">
      <c r="A1298">
        <v>62805</v>
      </c>
      <c r="B1298" t="s">
        <v>988</v>
      </c>
      <c r="C1298" t="s">
        <v>1033</v>
      </c>
    </row>
    <row r="1299" spans="1:3" x14ac:dyDescent="0.4">
      <c r="A1299">
        <v>62806</v>
      </c>
      <c r="B1299" t="s">
        <v>988</v>
      </c>
      <c r="C1299" t="s">
        <v>1032</v>
      </c>
    </row>
    <row r="1300" spans="1:3" x14ac:dyDescent="0.4">
      <c r="A1300">
        <v>62807</v>
      </c>
      <c r="B1300" t="s">
        <v>988</v>
      </c>
      <c r="C1300" t="s">
        <v>1031</v>
      </c>
    </row>
    <row r="1301" spans="1:3" x14ac:dyDescent="0.4">
      <c r="A1301">
        <v>62808</v>
      </c>
      <c r="B1301" t="s">
        <v>988</v>
      </c>
      <c r="C1301" t="s">
        <v>1030</v>
      </c>
    </row>
    <row r="1302" spans="1:3" x14ac:dyDescent="0.4">
      <c r="A1302">
        <v>62809</v>
      </c>
      <c r="B1302" t="s">
        <v>988</v>
      </c>
      <c r="C1302" t="s">
        <v>1029</v>
      </c>
    </row>
    <row r="1303" spans="1:3" x14ac:dyDescent="0.4">
      <c r="A1303">
        <v>62810</v>
      </c>
      <c r="B1303" t="s">
        <v>988</v>
      </c>
      <c r="C1303" t="s">
        <v>1028</v>
      </c>
    </row>
    <row r="1304" spans="1:3" x14ac:dyDescent="0.4">
      <c r="A1304">
        <v>62811</v>
      </c>
      <c r="B1304" t="s">
        <v>988</v>
      </c>
      <c r="C1304" t="s">
        <v>1027</v>
      </c>
    </row>
    <row r="1305" spans="1:3" x14ac:dyDescent="0.4">
      <c r="A1305">
        <v>62812</v>
      </c>
      <c r="B1305" t="s">
        <v>988</v>
      </c>
      <c r="C1305" t="s">
        <v>1026</v>
      </c>
    </row>
    <row r="1306" spans="1:3" x14ac:dyDescent="0.4">
      <c r="A1306">
        <v>62813</v>
      </c>
      <c r="B1306" t="s">
        <v>988</v>
      </c>
      <c r="C1306" t="s">
        <v>1025</v>
      </c>
    </row>
    <row r="1307" spans="1:3" x14ac:dyDescent="0.4">
      <c r="A1307">
        <v>62814</v>
      </c>
      <c r="B1307" t="s">
        <v>988</v>
      </c>
      <c r="C1307" t="s">
        <v>1024</v>
      </c>
    </row>
    <row r="1308" spans="1:3" x14ac:dyDescent="0.4">
      <c r="A1308">
        <v>62815</v>
      </c>
      <c r="B1308" t="s">
        <v>988</v>
      </c>
      <c r="C1308" t="s">
        <v>1023</v>
      </c>
    </row>
    <row r="1309" spans="1:3" x14ac:dyDescent="0.4">
      <c r="A1309">
        <v>62816</v>
      </c>
      <c r="B1309" t="s">
        <v>988</v>
      </c>
      <c r="C1309" t="s">
        <v>1022</v>
      </c>
    </row>
    <row r="1310" spans="1:3" x14ac:dyDescent="0.4">
      <c r="A1310">
        <v>62817</v>
      </c>
      <c r="B1310" t="s">
        <v>988</v>
      </c>
      <c r="C1310" t="s">
        <v>1021</v>
      </c>
    </row>
    <row r="1311" spans="1:3" x14ac:dyDescent="0.4">
      <c r="A1311">
        <v>62818</v>
      </c>
      <c r="B1311" t="s">
        <v>988</v>
      </c>
      <c r="C1311" t="s">
        <v>1020</v>
      </c>
    </row>
    <row r="1312" spans="1:3" x14ac:dyDescent="0.4">
      <c r="A1312">
        <v>62819</v>
      </c>
      <c r="B1312" t="s">
        <v>988</v>
      </c>
      <c r="C1312" t="s">
        <v>1019</v>
      </c>
    </row>
    <row r="1313" spans="1:3" x14ac:dyDescent="0.4">
      <c r="A1313">
        <v>62823</v>
      </c>
      <c r="B1313" t="s">
        <v>988</v>
      </c>
      <c r="C1313" t="s">
        <v>1018</v>
      </c>
    </row>
    <row r="1314" spans="1:3" x14ac:dyDescent="0.4">
      <c r="A1314">
        <v>62824</v>
      </c>
      <c r="B1314" t="s">
        <v>988</v>
      </c>
      <c r="C1314" t="s">
        <v>1017</v>
      </c>
    </row>
    <row r="1315" spans="1:3" x14ac:dyDescent="0.4">
      <c r="A1315">
        <v>62825</v>
      </c>
      <c r="B1315" t="s">
        <v>988</v>
      </c>
      <c r="C1315" t="s">
        <v>1016</v>
      </c>
    </row>
    <row r="1316" spans="1:3" x14ac:dyDescent="0.4">
      <c r="A1316">
        <v>62826</v>
      </c>
      <c r="B1316" t="s">
        <v>988</v>
      </c>
      <c r="C1316" t="s">
        <v>1015</v>
      </c>
    </row>
    <row r="1317" spans="1:3" x14ac:dyDescent="0.4">
      <c r="A1317">
        <v>64120</v>
      </c>
      <c r="B1317" t="s">
        <v>988</v>
      </c>
      <c r="C1317" t="s">
        <v>1014</v>
      </c>
    </row>
    <row r="1318" spans="1:3" x14ac:dyDescent="0.4">
      <c r="A1318">
        <v>64121</v>
      </c>
      <c r="B1318" t="s">
        <v>988</v>
      </c>
      <c r="C1318" t="s">
        <v>1013</v>
      </c>
    </row>
    <row r="1319" spans="1:3" x14ac:dyDescent="0.4">
      <c r="A1319">
        <v>64122</v>
      </c>
      <c r="B1319" t="s">
        <v>988</v>
      </c>
      <c r="C1319" t="s">
        <v>1012</v>
      </c>
    </row>
    <row r="1320" spans="1:3" x14ac:dyDescent="0.4">
      <c r="A1320">
        <v>64123</v>
      </c>
      <c r="B1320" t="s">
        <v>988</v>
      </c>
      <c r="C1320" t="s">
        <v>1011</v>
      </c>
    </row>
    <row r="1321" spans="1:3" x14ac:dyDescent="0.4">
      <c r="A1321">
        <v>64124</v>
      </c>
      <c r="B1321" t="s">
        <v>988</v>
      </c>
      <c r="C1321" t="s">
        <v>1010</v>
      </c>
    </row>
    <row r="1322" spans="1:3" x14ac:dyDescent="0.4">
      <c r="A1322">
        <v>64125</v>
      </c>
      <c r="B1322" t="s">
        <v>988</v>
      </c>
      <c r="C1322" t="s">
        <v>1009</v>
      </c>
    </row>
    <row r="1323" spans="1:3" x14ac:dyDescent="0.4">
      <c r="A1323">
        <v>64126</v>
      </c>
      <c r="B1323" t="s">
        <v>988</v>
      </c>
      <c r="C1323" t="s">
        <v>1008</v>
      </c>
    </row>
    <row r="1324" spans="1:3" x14ac:dyDescent="0.4">
      <c r="A1324">
        <v>64127</v>
      </c>
      <c r="B1324" t="s">
        <v>988</v>
      </c>
      <c r="C1324" t="s">
        <v>1007</v>
      </c>
    </row>
    <row r="1325" spans="1:3" x14ac:dyDescent="0.4">
      <c r="A1325">
        <v>64128</v>
      </c>
      <c r="B1325" t="s">
        <v>988</v>
      </c>
      <c r="C1325" t="s">
        <v>1006</v>
      </c>
    </row>
    <row r="1326" spans="1:3" x14ac:dyDescent="0.4">
      <c r="A1326">
        <v>64129</v>
      </c>
      <c r="B1326" t="s">
        <v>988</v>
      </c>
      <c r="C1326" t="s">
        <v>1005</v>
      </c>
    </row>
    <row r="1327" spans="1:3" x14ac:dyDescent="0.4">
      <c r="A1327">
        <v>64130</v>
      </c>
      <c r="B1327" t="s">
        <v>988</v>
      </c>
      <c r="C1327" t="s">
        <v>1004</v>
      </c>
    </row>
    <row r="1328" spans="1:3" x14ac:dyDescent="0.4">
      <c r="A1328">
        <v>65120</v>
      </c>
      <c r="B1328" t="s">
        <v>988</v>
      </c>
      <c r="C1328" t="s">
        <v>1003</v>
      </c>
    </row>
    <row r="1329" spans="1:3" x14ac:dyDescent="0.4">
      <c r="A1329">
        <v>65121</v>
      </c>
      <c r="B1329" t="s">
        <v>988</v>
      </c>
      <c r="C1329" t="s">
        <v>1002</v>
      </c>
    </row>
    <row r="1330" spans="1:3" x14ac:dyDescent="0.4">
      <c r="A1330">
        <v>65122</v>
      </c>
      <c r="B1330" t="s">
        <v>988</v>
      </c>
      <c r="C1330" t="s">
        <v>1001</v>
      </c>
    </row>
    <row r="1331" spans="1:3" x14ac:dyDescent="0.4">
      <c r="A1331">
        <v>65123</v>
      </c>
      <c r="B1331" t="s">
        <v>988</v>
      </c>
      <c r="C1331" t="s">
        <v>1000</v>
      </c>
    </row>
    <row r="1332" spans="1:3" x14ac:dyDescent="0.4">
      <c r="A1332">
        <v>65124</v>
      </c>
      <c r="B1332" t="s">
        <v>988</v>
      </c>
      <c r="C1332" t="s">
        <v>999</v>
      </c>
    </row>
    <row r="1333" spans="1:3" x14ac:dyDescent="0.4">
      <c r="A1333">
        <v>65125</v>
      </c>
      <c r="B1333" t="s">
        <v>988</v>
      </c>
      <c r="C1333" t="s">
        <v>998</v>
      </c>
    </row>
    <row r="1334" spans="1:3" x14ac:dyDescent="0.4">
      <c r="A1334">
        <v>65126</v>
      </c>
      <c r="B1334" t="s">
        <v>988</v>
      </c>
      <c r="C1334" t="s">
        <v>997</v>
      </c>
    </row>
    <row r="1335" spans="1:3" x14ac:dyDescent="0.4">
      <c r="A1335">
        <v>65127</v>
      </c>
      <c r="B1335" t="s">
        <v>988</v>
      </c>
      <c r="C1335" t="s">
        <v>996</v>
      </c>
    </row>
    <row r="1336" spans="1:3" x14ac:dyDescent="0.4">
      <c r="A1336">
        <v>65128</v>
      </c>
      <c r="B1336" t="s">
        <v>988</v>
      </c>
      <c r="C1336" t="s">
        <v>995</v>
      </c>
    </row>
    <row r="1337" spans="1:3" x14ac:dyDescent="0.4">
      <c r="A1337">
        <v>65129</v>
      </c>
      <c r="B1337" t="s">
        <v>988</v>
      </c>
      <c r="C1337" t="s">
        <v>994</v>
      </c>
    </row>
    <row r="1338" spans="1:3" x14ac:dyDescent="0.4">
      <c r="A1338">
        <v>65130</v>
      </c>
      <c r="B1338" t="s">
        <v>988</v>
      </c>
      <c r="C1338" t="s">
        <v>993</v>
      </c>
    </row>
    <row r="1339" spans="1:3" x14ac:dyDescent="0.4">
      <c r="A1339">
        <v>68000</v>
      </c>
      <c r="B1339" t="s">
        <v>988</v>
      </c>
      <c r="C1339" t="s">
        <v>992</v>
      </c>
    </row>
    <row r="1340" spans="1:3" x14ac:dyDescent="0.4">
      <c r="A1340">
        <v>68001</v>
      </c>
      <c r="B1340" t="s">
        <v>988</v>
      </c>
      <c r="C1340" t="s">
        <v>991</v>
      </c>
    </row>
    <row r="1341" spans="1:3" x14ac:dyDescent="0.4">
      <c r="A1341">
        <v>68002</v>
      </c>
      <c r="B1341" t="s">
        <v>988</v>
      </c>
      <c r="C1341" t="s">
        <v>990</v>
      </c>
    </row>
    <row r="1342" spans="1:3" x14ac:dyDescent="0.4">
      <c r="A1342">
        <v>68003</v>
      </c>
      <c r="B1342" t="s">
        <v>988</v>
      </c>
      <c r="C1342" t="s">
        <v>989</v>
      </c>
    </row>
    <row r="1343" spans="1:3" x14ac:dyDescent="0.4">
      <c r="A1343">
        <v>68004</v>
      </c>
      <c r="B1343" t="s">
        <v>988</v>
      </c>
      <c r="C1343" t="s">
        <v>701</v>
      </c>
    </row>
    <row r="1344" spans="1:3" x14ac:dyDescent="0.4">
      <c r="A1344">
        <v>68005</v>
      </c>
      <c r="B1344" t="s">
        <v>988</v>
      </c>
      <c r="C1344" t="s">
        <v>700</v>
      </c>
    </row>
    <row r="1345" spans="1:3" x14ac:dyDescent="0.4">
      <c r="A1345">
        <v>68006</v>
      </c>
      <c r="B1345" t="s">
        <v>988</v>
      </c>
      <c r="C1345" t="s">
        <v>699</v>
      </c>
    </row>
    <row r="1346" spans="1:3" x14ac:dyDescent="0.4">
      <c r="A1346">
        <v>68007</v>
      </c>
      <c r="B1346" t="s">
        <v>988</v>
      </c>
      <c r="C1346" t="s">
        <v>698</v>
      </c>
    </row>
    <row r="1347" spans="1:3" x14ac:dyDescent="0.4">
      <c r="A1347">
        <v>68008</v>
      </c>
      <c r="B1347" t="s">
        <v>988</v>
      </c>
      <c r="C1347" t="s">
        <v>697</v>
      </c>
    </row>
    <row r="1348" spans="1:3" x14ac:dyDescent="0.4">
      <c r="A1348">
        <v>68009</v>
      </c>
      <c r="B1348" t="s">
        <v>988</v>
      </c>
      <c r="C1348" t="s">
        <v>696</v>
      </c>
    </row>
    <row r="1349" spans="1:3" x14ac:dyDescent="0.4">
      <c r="A1349">
        <v>68010</v>
      </c>
      <c r="B1349" t="s">
        <v>988</v>
      </c>
      <c r="C1349" t="s">
        <v>695</v>
      </c>
    </row>
    <row r="1350" spans="1:3" x14ac:dyDescent="0.4">
      <c r="A1350">
        <v>68011</v>
      </c>
      <c r="B1350" t="s">
        <v>988</v>
      </c>
      <c r="C1350" t="s">
        <v>694</v>
      </c>
    </row>
    <row r="1351" spans="1:3" x14ac:dyDescent="0.4">
      <c r="A1351">
        <v>68012</v>
      </c>
      <c r="B1351" t="s">
        <v>988</v>
      </c>
      <c r="C1351" t="s">
        <v>693</v>
      </c>
    </row>
    <row r="1352" spans="1:3" x14ac:dyDescent="0.4">
      <c r="A1352">
        <v>68013</v>
      </c>
      <c r="B1352" t="s">
        <v>988</v>
      </c>
      <c r="C1352" t="s">
        <v>691</v>
      </c>
    </row>
    <row r="1353" spans="1:3" x14ac:dyDescent="0.4">
      <c r="A1353">
        <v>70868</v>
      </c>
      <c r="B1353" t="s">
        <v>825</v>
      </c>
      <c r="C1353" t="s">
        <v>987</v>
      </c>
    </row>
    <row r="1354" spans="1:3" x14ac:dyDescent="0.4">
      <c r="A1354">
        <v>70869</v>
      </c>
      <c r="B1354" t="s">
        <v>825</v>
      </c>
      <c r="C1354" t="s">
        <v>986</v>
      </c>
    </row>
    <row r="1355" spans="1:3" x14ac:dyDescent="0.4">
      <c r="A1355">
        <v>70874</v>
      </c>
      <c r="B1355" t="s">
        <v>825</v>
      </c>
      <c r="C1355" t="s">
        <v>985</v>
      </c>
    </row>
    <row r="1356" spans="1:3" x14ac:dyDescent="0.4">
      <c r="A1356">
        <v>70875</v>
      </c>
      <c r="B1356" t="s">
        <v>825</v>
      </c>
      <c r="C1356" t="s">
        <v>984</v>
      </c>
    </row>
    <row r="1357" spans="1:3" x14ac:dyDescent="0.4">
      <c r="A1357">
        <v>70928</v>
      </c>
      <c r="B1357" t="s">
        <v>825</v>
      </c>
      <c r="C1357" t="s">
        <v>983</v>
      </c>
    </row>
    <row r="1358" spans="1:3" x14ac:dyDescent="0.4">
      <c r="A1358">
        <v>70929</v>
      </c>
      <c r="B1358" t="s">
        <v>825</v>
      </c>
      <c r="C1358" t="s">
        <v>982</v>
      </c>
    </row>
    <row r="1359" spans="1:3" x14ac:dyDescent="0.4">
      <c r="A1359">
        <v>70930</v>
      </c>
      <c r="B1359" t="s">
        <v>825</v>
      </c>
      <c r="C1359" t="s">
        <v>981</v>
      </c>
    </row>
    <row r="1360" spans="1:3" x14ac:dyDescent="0.4">
      <c r="A1360">
        <v>70931</v>
      </c>
      <c r="B1360" t="s">
        <v>825</v>
      </c>
      <c r="C1360" t="s">
        <v>980</v>
      </c>
    </row>
    <row r="1361" spans="1:3" x14ac:dyDescent="0.4">
      <c r="A1361">
        <v>70932</v>
      </c>
      <c r="B1361" t="s">
        <v>825</v>
      </c>
      <c r="C1361" t="s">
        <v>979</v>
      </c>
    </row>
    <row r="1362" spans="1:3" x14ac:dyDescent="0.4">
      <c r="A1362">
        <v>70933</v>
      </c>
      <c r="B1362" t="s">
        <v>825</v>
      </c>
      <c r="C1362" t="s">
        <v>978</v>
      </c>
    </row>
    <row r="1363" spans="1:3" x14ac:dyDescent="0.4">
      <c r="A1363">
        <v>70936</v>
      </c>
      <c r="B1363" t="s">
        <v>825</v>
      </c>
      <c r="C1363" t="s">
        <v>977</v>
      </c>
    </row>
    <row r="1364" spans="1:3" x14ac:dyDescent="0.4">
      <c r="A1364">
        <v>70937</v>
      </c>
      <c r="B1364" t="s">
        <v>825</v>
      </c>
      <c r="C1364" t="s">
        <v>976</v>
      </c>
    </row>
    <row r="1365" spans="1:3" x14ac:dyDescent="0.4">
      <c r="A1365">
        <v>70938</v>
      </c>
      <c r="B1365" t="s">
        <v>825</v>
      </c>
      <c r="C1365" t="s">
        <v>975</v>
      </c>
    </row>
    <row r="1366" spans="1:3" x14ac:dyDescent="0.4">
      <c r="A1366">
        <v>70939</v>
      </c>
      <c r="B1366" t="s">
        <v>825</v>
      </c>
      <c r="C1366" t="s">
        <v>974</v>
      </c>
    </row>
    <row r="1367" spans="1:3" x14ac:dyDescent="0.4">
      <c r="A1367">
        <v>70940</v>
      </c>
      <c r="B1367" t="s">
        <v>825</v>
      </c>
      <c r="C1367" t="s">
        <v>973</v>
      </c>
    </row>
    <row r="1368" spans="1:3" x14ac:dyDescent="0.4">
      <c r="A1368">
        <v>70941</v>
      </c>
      <c r="B1368" t="s">
        <v>825</v>
      </c>
      <c r="C1368" t="s">
        <v>972</v>
      </c>
    </row>
    <row r="1369" spans="1:3" x14ac:dyDescent="0.4">
      <c r="A1369">
        <v>70944</v>
      </c>
      <c r="B1369" t="s">
        <v>825</v>
      </c>
      <c r="C1369" t="s">
        <v>971</v>
      </c>
    </row>
    <row r="1370" spans="1:3" x14ac:dyDescent="0.4">
      <c r="A1370">
        <v>70945</v>
      </c>
      <c r="B1370" t="s">
        <v>825</v>
      </c>
      <c r="C1370" t="s">
        <v>970</v>
      </c>
    </row>
    <row r="1371" spans="1:3" x14ac:dyDescent="0.4">
      <c r="A1371">
        <v>70946</v>
      </c>
      <c r="B1371" t="s">
        <v>825</v>
      </c>
      <c r="C1371" t="s">
        <v>969</v>
      </c>
    </row>
    <row r="1372" spans="1:3" x14ac:dyDescent="0.4">
      <c r="A1372">
        <v>70947</v>
      </c>
      <c r="B1372" t="s">
        <v>825</v>
      </c>
      <c r="C1372" t="s">
        <v>968</v>
      </c>
    </row>
    <row r="1373" spans="1:3" x14ac:dyDescent="0.4">
      <c r="A1373">
        <v>70950</v>
      </c>
      <c r="B1373" t="s">
        <v>825</v>
      </c>
      <c r="C1373" t="s">
        <v>967</v>
      </c>
    </row>
    <row r="1374" spans="1:3" x14ac:dyDescent="0.4">
      <c r="A1374">
        <v>70951</v>
      </c>
      <c r="B1374" t="s">
        <v>825</v>
      </c>
      <c r="C1374" t="s">
        <v>966</v>
      </c>
    </row>
    <row r="1375" spans="1:3" x14ac:dyDescent="0.4">
      <c r="A1375">
        <v>70952</v>
      </c>
      <c r="B1375" t="s">
        <v>825</v>
      </c>
      <c r="C1375" t="s">
        <v>965</v>
      </c>
    </row>
    <row r="1376" spans="1:3" x14ac:dyDescent="0.4">
      <c r="A1376">
        <v>70953</v>
      </c>
      <c r="B1376" t="s">
        <v>825</v>
      </c>
      <c r="C1376" t="s">
        <v>964</v>
      </c>
    </row>
    <row r="1377" spans="1:3" x14ac:dyDescent="0.4">
      <c r="A1377">
        <v>70960</v>
      </c>
      <c r="B1377" t="s">
        <v>825</v>
      </c>
      <c r="C1377" t="s">
        <v>963</v>
      </c>
    </row>
    <row r="1378" spans="1:3" x14ac:dyDescent="0.4">
      <c r="A1378">
        <v>70961</v>
      </c>
      <c r="B1378" t="s">
        <v>825</v>
      </c>
      <c r="C1378" t="s">
        <v>962</v>
      </c>
    </row>
    <row r="1379" spans="1:3" x14ac:dyDescent="0.4">
      <c r="A1379">
        <v>70962</v>
      </c>
      <c r="B1379" t="s">
        <v>825</v>
      </c>
      <c r="C1379" t="s">
        <v>961</v>
      </c>
    </row>
    <row r="1380" spans="1:3" x14ac:dyDescent="0.4">
      <c r="A1380">
        <v>70963</v>
      </c>
      <c r="B1380" t="s">
        <v>825</v>
      </c>
      <c r="C1380" t="s">
        <v>960</v>
      </c>
    </row>
    <row r="1381" spans="1:3" x14ac:dyDescent="0.4">
      <c r="A1381">
        <v>70964</v>
      </c>
      <c r="B1381" t="s">
        <v>825</v>
      </c>
      <c r="C1381" t="s">
        <v>959</v>
      </c>
    </row>
    <row r="1382" spans="1:3" x14ac:dyDescent="0.4">
      <c r="A1382">
        <v>70965</v>
      </c>
      <c r="B1382" t="s">
        <v>825</v>
      </c>
      <c r="C1382" t="s">
        <v>958</v>
      </c>
    </row>
    <row r="1383" spans="1:3" x14ac:dyDescent="0.4">
      <c r="A1383">
        <v>70966</v>
      </c>
      <c r="B1383" t="s">
        <v>825</v>
      </c>
      <c r="C1383" t="s">
        <v>957</v>
      </c>
    </row>
    <row r="1384" spans="1:3" x14ac:dyDescent="0.4">
      <c r="A1384">
        <v>70967</v>
      </c>
      <c r="B1384" t="s">
        <v>825</v>
      </c>
      <c r="C1384" t="s">
        <v>956</v>
      </c>
    </row>
    <row r="1385" spans="1:3" x14ac:dyDescent="0.4">
      <c r="A1385">
        <v>70968</v>
      </c>
      <c r="B1385" t="s">
        <v>825</v>
      </c>
      <c r="C1385" t="s">
        <v>955</v>
      </c>
    </row>
    <row r="1386" spans="1:3" x14ac:dyDescent="0.4">
      <c r="A1386">
        <v>70969</v>
      </c>
      <c r="B1386" t="s">
        <v>825</v>
      </c>
      <c r="C1386" t="s">
        <v>954</v>
      </c>
    </row>
    <row r="1387" spans="1:3" x14ac:dyDescent="0.4">
      <c r="A1387">
        <v>70970</v>
      </c>
      <c r="B1387" t="s">
        <v>825</v>
      </c>
      <c r="C1387" t="s">
        <v>953</v>
      </c>
    </row>
    <row r="1388" spans="1:3" x14ac:dyDescent="0.4">
      <c r="A1388">
        <v>70971</v>
      </c>
      <c r="B1388" t="s">
        <v>825</v>
      </c>
      <c r="C1388" t="s">
        <v>952</v>
      </c>
    </row>
    <row r="1389" spans="1:3" x14ac:dyDescent="0.4">
      <c r="A1389">
        <v>70976</v>
      </c>
      <c r="B1389" t="s">
        <v>825</v>
      </c>
      <c r="C1389" t="s">
        <v>951</v>
      </c>
    </row>
    <row r="1390" spans="1:3" x14ac:dyDescent="0.4">
      <c r="A1390">
        <v>70977</v>
      </c>
      <c r="B1390" t="s">
        <v>825</v>
      </c>
      <c r="C1390" t="s">
        <v>950</v>
      </c>
    </row>
    <row r="1391" spans="1:3" x14ac:dyDescent="0.4">
      <c r="A1391">
        <v>70978</v>
      </c>
      <c r="B1391" t="s">
        <v>825</v>
      </c>
      <c r="C1391" t="s">
        <v>949</v>
      </c>
    </row>
    <row r="1392" spans="1:3" x14ac:dyDescent="0.4">
      <c r="A1392">
        <v>70979</v>
      </c>
      <c r="B1392" t="s">
        <v>825</v>
      </c>
      <c r="C1392" t="s">
        <v>948</v>
      </c>
    </row>
    <row r="1393" spans="1:3" x14ac:dyDescent="0.4">
      <c r="A1393">
        <v>70980</v>
      </c>
      <c r="B1393" t="s">
        <v>825</v>
      </c>
      <c r="C1393" t="s">
        <v>947</v>
      </c>
    </row>
    <row r="1394" spans="1:3" x14ac:dyDescent="0.4">
      <c r="A1394">
        <v>70981</v>
      </c>
      <c r="B1394" t="s">
        <v>825</v>
      </c>
      <c r="C1394" t="s">
        <v>946</v>
      </c>
    </row>
    <row r="1395" spans="1:3" x14ac:dyDescent="0.4">
      <c r="A1395">
        <v>70982</v>
      </c>
      <c r="B1395" t="s">
        <v>825</v>
      </c>
      <c r="C1395" t="s">
        <v>945</v>
      </c>
    </row>
    <row r="1396" spans="1:3" x14ac:dyDescent="0.4">
      <c r="A1396">
        <v>70984</v>
      </c>
      <c r="B1396" t="s">
        <v>825</v>
      </c>
      <c r="C1396" t="s">
        <v>944</v>
      </c>
    </row>
    <row r="1397" spans="1:3" x14ac:dyDescent="0.4">
      <c r="A1397">
        <v>70985</v>
      </c>
      <c r="B1397" t="s">
        <v>825</v>
      </c>
      <c r="C1397" t="s">
        <v>943</v>
      </c>
    </row>
    <row r="1398" spans="1:3" x14ac:dyDescent="0.4">
      <c r="A1398">
        <v>70986</v>
      </c>
      <c r="B1398" t="s">
        <v>825</v>
      </c>
      <c r="C1398" t="s">
        <v>942</v>
      </c>
    </row>
    <row r="1399" spans="1:3" x14ac:dyDescent="0.4">
      <c r="A1399">
        <v>70987</v>
      </c>
      <c r="B1399" t="s">
        <v>825</v>
      </c>
      <c r="C1399" t="s">
        <v>941</v>
      </c>
    </row>
    <row r="1400" spans="1:3" x14ac:dyDescent="0.4">
      <c r="A1400">
        <v>70988</v>
      </c>
      <c r="B1400" t="s">
        <v>825</v>
      </c>
      <c r="C1400" t="s">
        <v>940</v>
      </c>
    </row>
    <row r="1401" spans="1:3" x14ac:dyDescent="0.4">
      <c r="A1401">
        <v>70989</v>
      </c>
      <c r="B1401" t="s">
        <v>825</v>
      </c>
      <c r="C1401" t="s">
        <v>939</v>
      </c>
    </row>
    <row r="1402" spans="1:3" x14ac:dyDescent="0.4">
      <c r="A1402">
        <v>70990</v>
      </c>
      <c r="B1402" t="s">
        <v>825</v>
      </c>
      <c r="C1402" t="s">
        <v>938</v>
      </c>
    </row>
    <row r="1403" spans="1:3" x14ac:dyDescent="0.4">
      <c r="A1403">
        <v>70992</v>
      </c>
      <c r="B1403" t="s">
        <v>825</v>
      </c>
      <c r="C1403" t="s">
        <v>937</v>
      </c>
    </row>
    <row r="1404" spans="1:3" x14ac:dyDescent="0.4">
      <c r="A1404">
        <v>70993</v>
      </c>
      <c r="B1404" t="s">
        <v>825</v>
      </c>
      <c r="C1404" t="s">
        <v>936</v>
      </c>
    </row>
    <row r="1405" spans="1:3" x14ac:dyDescent="0.4">
      <c r="A1405">
        <v>70994</v>
      </c>
      <c r="B1405" t="s">
        <v>825</v>
      </c>
      <c r="C1405" t="s">
        <v>935</v>
      </c>
    </row>
    <row r="1406" spans="1:3" x14ac:dyDescent="0.4">
      <c r="A1406">
        <v>70995</v>
      </c>
      <c r="B1406" t="s">
        <v>825</v>
      </c>
      <c r="C1406" t="s">
        <v>934</v>
      </c>
    </row>
    <row r="1407" spans="1:3" x14ac:dyDescent="0.4">
      <c r="A1407">
        <v>70996</v>
      </c>
      <c r="B1407" t="s">
        <v>825</v>
      </c>
      <c r="C1407" t="s">
        <v>933</v>
      </c>
    </row>
    <row r="1408" spans="1:3" x14ac:dyDescent="0.4">
      <c r="A1408">
        <v>70997</v>
      </c>
      <c r="B1408" t="s">
        <v>825</v>
      </c>
      <c r="C1408" t="s">
        <v>932</v>
      </c>
    </row>
    <row r="1409" spans="1:3" x14ac:dyDescent="0.4">
      <c r="A1409">
        <v>71000</v>
      </c>
      <c r="B1409" t="s">
        <v>825</v>
      </c>
      <c r="C1409" t="s">
        <v>931</v>
      </c>
    </row>
    <row r="1410" spans="1:3" x14ac:dyDescent="0.4">
      <c r="A1410">
        <v>71001</v>
      </c>
      <c r="B1410" t="s">
        <v>825</v>
      </c>
      <c r="C1410" t="s">
        <v>930</v>
      </c>
    </row>
    <row r="1411" spans="1:3" x14ac:dyDescent="0.4">
      <c r="A1411">
        <v>71002</v>
      </c>
      <c r="B1411" t="s">
        <v>825</v>
      </c>
      <c r="C1411" t="s">
        <v>929</v>
      </c>
    </row>
    <row r="1412" spans="1:3" x14ac:dyDescent="0.4">
      <c r="A1412">
        <v>71003</v>
      </c>
      <c r="B1412" t="s">
        <v>825</v>
      </c>
      <c r="C1412" t="s">
        <v>928</v>
      </c>
    </row>
    <row r="1413" spans="1:3" x14ac:dyDescent="0.4">
      <c r="A1413">
        <v>71004</v>
      </c>
      <c r="B1413" t="s">
        <v>825</v>
      </c>
      <c r="C1413" t="s">
        <v>927</v>
      </c>
    </row>
    <row r="1414" spans="1:3" x14ac:dyDescent="0.4">
      <c r="A1414">
        <v>71005</v>
      </c>
      <c r="B1414" t="s">
        <v>825</v>
      </c>
      <c r="C1414" t="s">
        <v>926</v>
      </c>
    </row>
    <row r="1415" spans="1:3" x14ac:dyDescent="0.4">
      <c r="A1415">
        <v>72868</v>
      </c>
      <c r="B1415" t="s">
        <v>825</v>
      </c>
      <c r="C1415" t="s">
        <v>925</v>
      </c>
    </row>
    <row r="1416" spans="1:3" x14ac:dyDescent="0.4">
      <c r="A1416">
        <v>72869</v>
      </c>
      <c r="B1416" t="s">
        <v>825</v>
      </c>
      <c r="C1416" t="s">
        <v>924</v>
      </c>
    </row>
    <row r="1417" spans="1:3" x14ac:dyDescent="0.4">
      <c r="A1417">
        <v>72874</v>
      </c>
      <c r="B1417" t="s">
        <v>825</v>
      </c>
      <c r="C1417" t="s">
        <v>923</v>
      </c>
    </row>
    <row r="1418" spans="1:3" x14ac:dyDescent="0.4">
      <c r="A1418">
        <v>72875</v>
      </c>
      <c r="B1418" t="s">
        <v>825</v>
      </c>
      <c r="C1418" t="s">
        <v>922</v>
      </c>
    </row>
    <row r="1419" spans="1:3" x14ac:dyDescent="0.4">
      <c r="A1419">
        <v>72928</v>
      </c>
      <c r="B1419" t="s">
        <v>825</v>
      </c>
      <c r="C1419" t="s">
        <v>921</v>
      </c>
    </row>
    <row r="1420" spans="1:3" x14ac:dyDescent="0.4">
      <c r="A1420">
        <v>72929</v>
      </c>
      <c r="B1420" t="s">
        <v>825</v>
      </c>
      <c r="C1420" t="s">
        <v>920</v>
      </c>
    </row>
    <row r="1421" spans="1:3" x14ac:dyDescent="0.4">
      <c r="A1421">
        <v>72930</v>
      </c>
      <c r="B1421" t="s">
        <v>825</v>
      </c>
      <c r="C1421" t="s">
        <v>919</v>
      </c>
    </row>
    <row r="1422" spans="1:3" x14ac:dyDescent="0.4">
      <c r="A1422">
        <v>72931</v>
      </c>
      <c r="B1422" t="s">
        <v>825</v>
      </c>
      <c r="C1422" t="s">
        <v>918</v>
      </c>
    </row>
    <row r="1423" spans="1:3" x14ac:dyDescent="0.4">
      <c r="A1423">
        <v>72932</v>
      </c>
      <c r="B1423" t="s">
        <v>825</v>
      </c>
      <c r="C1423" t="s">
        <v>917</v>
      </c>
    </row>
    <row r="1424" spans="1:3" x14ac:dyDescent="0.4">
      <c r="A1424">
        <v>72933</v>
      </c>
      <c r="B1424" t="s">
        <v>825</v>
      </c>
      <c r="C1424" t="s">
        <v>916</v>
      </c>
    </row>
    <row r="1425" spans="1:3" x14ac:dyDescent="0.4">
      <c r="A1425">
        <v>72936</v>
      </c>
      <c r="B1425" t="s">
        <v>825</v>
      </c>
      <c r="C1425" t="s">
        <v>915</v>
      </c>
    </row>
    <row r="1426" spans="1:3" x14ac:dyDescent="0.4">
      <c r="A1426">
        <v>72937</v>
      </c>
      <c r="B1426" t="s">
        <v>825</v>
      </c>
      <c r="C1426" t="s">
        <v>914</v>
      </c>
    </row>
    <row r="1427" spans="1:3" x14ac:dyDescent="0.4">
      <c r="A1427">
        <v>72938</v>
      </c>
      <c r="B1427" t="s">
        <v>825</v>
      </c>
      <c r="C1427" t="s">
        <v>913</v>
      </c>
    </row>
    <row r="1428" spans="1:3" x14ac:dyDescent="0.4">
      <c r="A1428">
        <v>72939</v>
      </c>
      <c r="B1428" t="s">
        <v>825</v>
      </c>
      <c r="C1428" t="s">
        <v>912</v>
      </c>
    </row>
    <row r="1429" spans="1:3" x14ac:dyDescent="0.4">
      <c r="A1429">
        <v>72940</v>
      </c>
      <c r="B1429" t="s">
        <v>825</v>
      </c>
      <c r="C1429" t="s">
        <v>911</v>
      </c>
    </row>
    <row r="1430" spans="1:3" x14ac:dyDescent="0.4">
      <c r="A1430">
        <v>72941</v>
      </c>
      <c r="B1430" t="s">
        <v>825</v>
      </c>
      <c r="C1430" t="s">
        <v>910</v>
      </c>
    </row>
    <row r="1431" spans="1:3" x14ac:dyDescent="0.4">
      <c r="A1431">
        <v>72944</v>
      </c>
      <c r="B1431" t="s">
        <v>825</v>
      </c>
      <c r="C1431" t="s">
        <v>909</v>
      </c>
    </row>
    <row r="1432" spans="1:3" x14ac:dyDescent="0.4">
      <c r="A1432">
        <v>72945</v>
      </c>
      <c r="B1432" t="s">
        <v>825</v>
      </c>
      <c r="C1432" t="s">
        <v>908</v>
      </c>
    </row>
    <row r="1433" spans="1:3" x14ac:dyDescent="0.4">
      <c r="A1433">
        <v>72946</v>
      </c>
      <c r="B1433" t="s">
        <v>825</v>
      </c>
      <c r="C1433" t="s">
        <v>907</v>
      </c>
    </row>
    <row r="1434" spans="1:3" x14ac:dyDescent="0.4">
      <c r="A1434">
        <v>72947</v>
      </c>
      <c r="B1434" t="s">
        <v>825</v>
      </c>
      <c r="C1434" t="s">
        <v>906</v>
      </c>
    </row>
    <row r="1435" spans="1:3" x14ac:dyDescent="0.4">
      <c r="A1435">
        <v>72950</v>
      </c>
      <c r="B1435" t="s">
        <v>825</v>
      </c>
      <c r="C1435" t="s">
        <v>905</v>
      </c>
    </row>
    <row r="1436" spans="1:3" x14ac:dyDescent="0.4">
      <c r="A1436">
        <v>72951</v>
      </c>
      <c r="B1436" t="s">
        <v>825</v>
      </c>
      <c r="C1436" t="s">
        <v>904</v>
      </c>
    </row>
    <row r="1437" spans="1:3" x14ac:dyDescent="0.4">
      <c r="A1437">
        <v>72952</v>
      </c>
      <c r="B1437" t="s">
        <v>825</v>
      </c>
      <c r="C1437" t="s">
        <v>903</v>
      </c>
    </row>
    <row r="1438" spans="1:3" x14ac:dyDescent="0.4">
      <c r="A1438">
        <v>72953</v>
      </c>
      <c r="B1438" t="s">
        <v>825</v>
      </c>
      <c r="C1438" t="s">
        <v>902</v>
      </c>
    </row>
    <row r="1439" spans="1:3" x14ac:dyDescent="0.4">
      <c r="A1439">
        <v>72960</v>
      </c>
      <c r="B1439" t="s">
        <v>825</v>
      </c>
      <c r="C1439" t="s">
        <v>901</v>
      </c>
    </row>
    <row r="1440" spans="1:3" x14ac:dyDescent="0.4">
      <c r="A1440">
        <v>72961</v>
      </c>
      <c r="B1440" t="s">
        <v>825</v>
      </c>
      <c r="C1440" t="s">
        <v>900</v>
      </c>
    </row>
    <row r="1441" spans="1:3" x14ac:dyDescent="0.4">
      <c r="A1441">
        <v>72962</v>
      </c>
      <c r="B1441" t="s">
        <v>825</v>
      </c>
      <c r="C1441" t="s">
        <v>899</v>
      </c>
    </row>
    <row r="1442" spans="1:3" x14ac:dyDescent="0.4">
      <c r="A1442">
        <v>72963</v>
      </c>
      <c r="B1442" t="s">
        <v>825</v>
      </c>
      <c r="C1442" t="s">
        <v>898</v>
      </c>
    </row>
    <row r="1443" spans="1:3" x14ac:dyDescent="0.4">
      <c r="A1443">
        <v>72964</v>
      </c>
      <c r="B1443" t="s">
        <v>825</v>
      </c>
      <c r="C1443" t="s">
        <v>897</v>
      </c>
    </row>
    <row r="1444" spans="1:3" x14ac:dyDescent="0.4">
      <c r="A1444">
        <v>72965</v>
      </c>
      <c r="B1444" t="s">
        <v>825</v>
      </c>
      <c r="C1444" t="s">
        <v>896</v>
      </c>
    </row>
    <row r="1445" spans="1:3" x14ac:dyDescent="0.4">
      <c r="A1445">
        <v>72966</v>
      </c>
      <c r="B1445" t="s">
        <v>825</v>
      </c>
      <c r="C1445" t="s">
        <v>895</v>
      </c>
    </row>
    <row r="1446" spans="1:3" x14ac:dyDescent="0.4">
      <c r="A1446">
        <v>72967</v>
      </c>
      <c r="B1446" t="s">
        <v>825</v>
      </c>
      <c r="C1446" t="s">
        <v>894</v>
      </c>
    </row>
    <row r="1447" spans="1:3" x14ac:dyDescent="0.4">
      <c r="A1447">
        <v>72968</v>
      </c>
      <c r="B1447" t="s">
        <v>825</v>
      </c>
      <c r="C1447" t="s">
        <v>893</v>
      </c>
    </row>
    <row r="1448" spans="1:3" x14ac:dyDescent="0.4">
      <c r="A1448">
        <v>72969</v>
      </c>
      <c r="B1448" t="s">
        <v>825</v>
      </c>
      <c r="C1448" t="s">
        <v>892</v>
      </c>
    </row>
    <row r="1449" spans="1:3" x14ac:dyDescent="0.4">
      <c r="A1449">
        <v>72970</v>
      </c>
      <c r="B1449" t="s">
        <v>825</v>
      </c>
      <c r="C1449" t="s">
        <v>891</v>
      </c>
    </row>
    <row r="1450" spans="1:3" x14ac:dyDescent="0.4">
      <c r="A1450">
        <v>72971</v>
      </c>
      <c r="B1450" t="s">
        <v>825</v>
      </c>
      <c r="C1450" t="s">
        <v>890</v>
      </c>
    </row>
    <row r="1451" spans="1:3" x14ac:dyDescent="0.4">
      <c r="A1451">
        <v>72976</v>
      </c>
      <c r="B1451" t="s">
        <v>825</v>
      </c>
      <c r="C1451" t="s">
        <v>889</v>
      </c>
    </row>
    <row r="1452" spans="1:3" x14ac:dyDescent="0.4">
      <c r="A1452">
        <v>72977</v>
      </c>
      <c r="B1452" t="s">
        <v>825</v>
      </c>
      <c r="C1452" t="s">
        <v>888</v>
      </c>
    </row>
    <row r="1453" spans="1:3" x14ac:dyDescent="0.4">
      <c r="A1453">
        <v>72978</v>
      </c>
      <c r="B1453" t="s">
        <v>825</v>
      </c>
      <c r="C1453" t="s">
        <v>887</v>
      </c>
    </row>
    <row r="1454" spans="1:3" x14ac:dyDescent="0.4">
      <c r="A1454">
        <v>72979</v>
      </c>
      <c r="B1454" t="s">
        <v>825</v>
      </c>
      <c r="C1454" t="s">
        <v>886</v>
      </c>
    </row>
    <row r="1455" spans="1:3" x14ac:dyDescent="0.4">
      <c r="A1455">
        <v>72980</v>
      </c>
      <c r="B1455" t="s">
        <v>825</v>
      </c>
      <c r="C1455" t="s">
        <v>885</v>
      </c>
    </row>
    <row r="1456" spans="1:3" x14ac:dyDescent="0.4">
      <c r="A1456">
        <v>72981</v>
      </c>
      <c r="B1456" t="s">
        <v>825</v>
      </c>
      <c r="C1456" t="s">
        <v>884</v>
      </c>
    </row>
    <row r="1457" spans="1:3" x14ac:dyDescent="0.4">
      <c r="A1457">
        <v>72982</v>
      </c>
      <c r="B1457" t="s">
        <v>825</v>
      </c>
      <c r="C1457" t="s">
        <v>883</v>
      </c>
    </row>
    <row r="1458" spans="1:3" x14ac:dyDescent="0.4">
      <c r="A1458">
        <v>72984</v>
      </c>
      <c r="B1458" t="s">
        <v>825</v>
      </c>
      <c r="C1458" t="s">
        <v>882</v>
      </c>
    </row>
    <row r="1459" spans="1:3" x14ac:dyDescent="0.4">
      <c r="A1459">
        <v>72985</v>
      </c>
      <c r="B1459" t="s">
        <v>825</v>
      </c>
      <c r="C1459" t="s">
        <v>881</v>
      </c>
    </row>
    <row r="1460" spans="1:3" x14ac:dyDescent="0.4">
      <c r="A1460">
        <v>72986</v>
      </c>
      <c r="B1460" t="s">
        <v>825</v>
      </c>
      <c r="C1460" t="s">
        <v>880</v>
      </c>
    </row>
    <row r="1461" spans="1:3" x14ac:dyDescent="0.4">
      <c r="A1461">
        <v>72987</v>
      </c>
      <c r="B1461" t="s">
        <v>825</v>
      </c>
      <c r="C1461" t="s">
        <v>879</v>
      </c>
    </row>
    <row r="1462" spans="1:3" x14ac:dyDescent="0.4">
      <c r="A1462">
        <v>72988</v>
      </c>
      <c r="B1462" t="s">
        <v>825</v>
      </c>
      <c r="C1462" t="s">
        <v>878</v>
      </c>
    </row>
    <row r="1463" spans="1:3" x14ac:dyDescent="0.4">
      <c r="A1463">
        <v>72989</v>
      </c>
      <c r="B1463" t="s">
        <v>825</v>
      </c>
      <c r="C1463" t="s">
        <v>877</v>
      </c>
    </row>
    <row r="1464" spans="1:3" x14ac:dyDescent="0.4">
      <c r="A1464">
        <v>72990</v>
      </c>
      <c r="B1464" t="s">
        <v>825</v>
      </c>
      <c r="C1464" t="s">
        <v>876</v>
      </c>
    </row>
    <row r="1465" spans="1:3" x14ac:dyDescent="0.4">
      <c r="A1465">
        <v>72992</v>
      </c>
      <c r="B1465" t="s">
        <v>825</v>
      </c>
      <c r="C1465" t="s">
        <v>875</v>
      </c>
    </row>
    <row r="1466" spans="1:3" x14ac:dyDescent="0.4">
      <c r="A1466">
        <v>72993</v>
      </c>
      <c r="B1466" t="s">
        <v>825</v>
      </c>
      <c r="C1466" t="s">
        <v>874</v>
      </c>
    </row>
    <row r="1467" spans="1:3" x14ac:dyDescent="0.4">
      <c r="A1467">
        <v>72994</v>
      </c>
      <c r="B1467" t="s">
        <v>825</v>
      </c>
      <c r="C1467" t="s">
        <v>873</v>
      </c>
    </row>
    <row r="1468" spans="1:3" x14ac:dyDescent="0.4">
      <c r="A1468">
        <v>72995</v>
      </c>
      <c r="B1468" t="s">
        <v>825</v>
      </c>
      <c r="C1468" t="s">
        <v>872</v>
      </c>
    </row>
    <row r="1469" spans="1:3" x14ac:dyDescent="0.4">
      <c r="A1469">
        <v>72996</v>
      </c>
      <c r="B1469" t="s">
        <v>825</v>
      </c>
      <c r="C1469" t="s">
        <v>871</v>
      </c>
    </row>
    <row r="1470" spans="1:3" x14ac:dyDescent="0.4">
      <c r="A1470">
        <v>72997</v>
      </c>
      <c r="B1470" t="s">
        <v>825</v>
      </c>
      <c r="C1470" t="s">
        <v>870</v>
      </c>
    </row>
    <row r="1471" spans="1:3" x14ac:dyDescent="0.4">
      <c r="A1471">
        <v>73000</v>
      </c>
      <c r="B1471" t="s">
        <v>825</v>
      </c>
      <c r="C1471" t="s">
        <v>869</v>
      </c>
    </row>
    <row r="1472" spans="1:3" x14ac:dyDescent="0.4">
      <c r="A1472">
        <v>73001</v>
      </c>
      <c r="B1472" t="s">
        <v>825</v>
      </c>
      <c r="C1472" t="s">
        <v>868</v>
      </c>
    </row>
    <row r="1473" spans="1:3" x14ac:dyDescent="0.4">
      <c r="A1473">
        <v>73002</v>
      </c>
      <c r="B1473" t="s">
        <v>825</v>
      </c>
      <c r="C1473" t="s">
        <v>867</v>
      </c>
    </row>
    <row r="1474" spans="1:3" x14ac:dyDescent="0.4">
      <c r="A1474">
        <v>73003</v>
      </c>
      <c r="B1474" t="s">
        <v>825</v>
      </c>
      <c r="C1474" t="s">
        <v>866</v>
      </c>
    </row>
    <row r="1475" spans="1:3" x14ac:dyDescent="0.4">
      <c r="A1475">
        <v>73004</v>
      </c>
      <c r="B1475" t="s">
        <v>825</v>
      </c>
      <c r="C1475" t="s">
        <v>865</v>
      </c>
    </row>
    <row r="1476" spans="1:3" x14ac:dyDescent="0.4">
      <c r="A1476">
        <v>73005</v>
      </c>
      <c r="B1476" t="s">
        <v>825</v>
      </c>
      <c r="C1476" t="s">
        <v>864</v>
      </c>
    </row>
    <row r="1477" spans="1:3" x14ac:dyDescent="0.4">
      <c r="A1477">
        <v>74131</v>
      </c>
      <c r="B1477" t="s">
        <v>825</v>
      </c>
      <c r="C1477" t="s">
        <v>863</v>
      </c>
    </row>
    <row r="1478" spans="1:3" x14ac:dyDescent="0.4">
      <c r="A1478">
        <v>74132</v>
      </c>
      <c r="B1478" t="s">
        <v>825</v>
      </c>
      <c r="C1478" t="s">
        <v>862</v>
      </c>
    </row>
    <row r="1479" spans="1:3" x14ac:dyDescent="0.4">
      <c r="A1479">
        <v>74133</v>
      </c>
      <c r="B1479" t="s">
        <v>825</v>
      </c>
      <c r="C1479" t="s">
        <v>861</v>
      </c>
    </row>
    <row r="1480" spans="1:3" x14ac:dyDescent="0.4">
      <c r="A1480">
        <v>74134</v>
      </c>
      <c r="B1480" t="s">
        <v>825</v>
      </c>
      <c r="C1480" t="s">
        <v>860</v>
      </c>
    </row>
    <row r="1481" spans="1:3" x14ac:dyDescent="0.4">
      <c r="A1481">
        <v>74135</v>
      </c>
      <c r="B1481" t="s">
        <v>825</v>
      </c>
      <c r="C1481" t="s">
        <v>859</v>
      </c>
    </row>
    <row r="1482" spans="1:3" x14ac:dyDescent="0.4">
      <c r="A1482">
        <v>74136</v>
      </c>
      <c r="B1482" t="s">
        <v>825</v>
      </c>
      <c r="C1482" t="s">
        <v>858</v>
      </c>
    </row>
    <row r="1483" spans="1:3" x14ac:dyDescent="0.4">
      <c r="A1483">
        <v>74137</v>
      </c>
      <c r="B1483" t="s">
        <v>825</v>
      </c>
      <c r="C1483" t="s">
        <v>857</v>
      </c>
    </row>
    <row r="1484" spans="1:3" x14ac:dyDescent="0.4">
      <c r="A1484">
        <v>74138</v>
      </c>
      <c r="B1484" t="s">
        <v>825</v>
      </c>
      <c r="C1484" t="s">
        <v>856</v>
      </c>
    </row>
    <row r="1485" spans="1:3" x14ac:dyDescent="0.4">
      <c r="A1485">
        <v>74139</v>
      </c>
      <c r="B1485" t="s">
        <v>825</v>
      </c>
      <c r="C1485" t="s">
        <v>855</v>
      </c>
    </row>
    <row r="1486" spans="1:3" x14ac:dyDescent="0.4">
      <c r="A1486">
        <v>74140</v>
      </c>
      <c r="B1486" t="s">
        <v>825</v>
      </c>
      <c r="C1486" t="s">
        <v>854</v>
      </c>
    </row>
    <row r="1487" spans="1:3" x14ac:dyDescent="0.4">
      <c r="A1487">
        <v>75131</v>
      </c>
      <c r="B1487" t="s">
        <v>825</v>
      </c>
      <c r="C1487" t="s">
        <v>853</v>
      </c>
    </row>
    <row r="1488" spans="1:3" x14ac:dyDescent="0.4">
      <c r="A1488">
        <v>75132</v>
      </c>
      <c r="B1488" t="s">
        <v>825</v>
      </c>
      <c r="C1488" t="s">
        <v>852</v>
      </c>
    </row>
    <row r="1489" spans="1:3" x14ac:dyDescent="0.4">
      <c r="A1489">
        <v>75133</v>
      </c>
      <c r="B1489" t="s">
        <v>825</v>
      </c>
      <c r="C1489" t="s">
        <v>851</v>
      </c>
    </row>
    <row r="1490" spans="1:3" x14ac:dyDescent="0.4">
      <c r="A1490">
        <v>75134</v>
      </c>
      <c r="B1490" t="s">
        <v>825</v>
      </c>
      <c r="C1490" t="s">
        <v>850</v>
      </c>
    </row>
    <row r="1491" spans="1:3" x14ac:dyDescent="0.4">
      <c r="A1491">
        <v>75135</v>
      </c>
      <c r="B1491" t="s">
        <v>825</v>
      </c>
      <c r="C1491" t="s">
        <v>849</v>
      </c>
    </row>
    <row r="1492" spans="1:3" x14ac:dyDescent="0.4">
      <c r="A1492">
        <v>75136</v>
      </c>
      <c r="B1492" t="s">
        <v>825</v>
      </c>
      <c r="C1492" t="s">
        <v>848</v>
      </c>
    </row>
    <row r="1493" spans="1:3" x14ac:dyDescent="0.4">
      <c r="A1493">
        <v>75137</v>
      </c>
      <c r="B1493" t="s">
        <v>825</v>
      </c>
      <c r="C1493" t="s">
        <v>847</v>
      </c>
    </row>
    <row r="1494" spans="1:3" x14ac:dyDescent="0.4">
      <c r="A1494">
        <v>75138</v>
      </c>
      <c r="B1494" t="s">
        <v>825</v>
      </c>
      <c r="C1494" t="s">
        <v>846</v>
      </c>
    </row>
    <row r="1495" spans="1:3" x14ac:dyDescent="0.4">
      <c r="A1495">
        <v>75139</v>
      </c>
      <c r="B1495" t="s">
        <v>825</v>
      </c>
      <c r="C1495" t="s">
        <v>845</v>
      </c>
    </row>
    <row r="1496" spans="1:3" x14ac:dyDescent="0.4">
      <c r="A1496">
        <v>75140</v>
      </c>
      <c r="B1496" t="s">
        <v>825</v>
      </c>
      <c r="C1496" t="s">
        <v>844</v>
      </c>
    </row>
    <row r="1497" spans="1:3" x14ac:dyDescent="0.4">
      <c r="A1497">
        <v>76131</v>
      </c>
      <c r="B1497" t="s">
        <v>825</v>
      </c>
      <c r="C1497" t="s">
        <v>843</v>
      </c>
    </row>
    <row r="1498" spans="1:3" x14ac:dyDescent="0.4">
      <c r="A1498">
        <v>76135</v>
      </c>
      <c r="B1498" t="s">
        <v>825</v>
      </c>
      <c r="C1498" t="s">
        <v>842</v>
      </c>
    </row>
    <row r="1499" spans="1:3" x14ac:dyDescent="0.4">
      <c r="A1499">
        <v>78000</v>
      </c>
      <c r="B1499" t="s">
        <v>825</v>
      </c>
      <c r="C1499" t="s">
        <v>45</v>
      </c>
    </row>
    <row r="1500" spans="1:3" x14ac:dyDescent="0.4">
      <c r="A1500">
        <v>78001</v>
      </c>
      <c r="B1500" t="s">
        <v>825</v>
      </c>
      <c r="C1500" t="s">
        <v>841</v>
      </c>
    </row>
    <row r="1501" spans="1:3" x14ac:dyDescent="0.4">
      <c r="A1501">
        <v>78002</v>
      </c>
      <c r="B1501" t="s">
        <v>825</v>
      </c>
      <c r="C1501" t="s">
        <v>840</v>
      </c>
    </row>
    <row r="1502" spans="1:3" x14ac:dyDescent="0.4">
      <c r="A1502">
        <v>78003</v>
      </c>
      <c r="B1502" t="s">
        <v>825</v>
      </c>
      <c r="C1502" t="s">
        <v>839</v>
      </c>
    </row>
    <row r="1503" spans="1:3" x14ac:dyDescent="0.4">
      <c r="A1503">
        <v>78004</v>
      </c>
      <c r="B1503" t="s">
        <v>825</v>
      </c>
      <c r="C1503" t="s">
        <v>838</v>
      </c>
    </row>
    <row r="1504" spans="1:3" x14ac:dyDescent="0.4">
      <c r="A1504">
        <v>78005</v>
      </c>
      <c r="B1504" t="s">
        <v>825</v>
      </c>
      <c r="C1504" t="s">
        <v>837</v>
      </c>
    </row>
    <row r="1505" spans="1:3" x14ac:dyDescent="0.4">
      <c r="A1505">
        <v>78006</v>
      </c>
      <c r="B1505" t="s">
        <v>825</v>
      </c>
      <c r="C1505" t="s">
        <v>836</v>
      </c>
    </row>
    <row r="1506" spans="1:3" x14ac:dyDescent="0.4">
      <c r="A1506">
        <v>78007</v>
      </c>
      <c r="B1506" t="s">
        <v>825</v>
      </c>
      <c r="C1506" t="s">
        <v>835</v>
      </c>
    </row>
    <row r="1507" spans="1:3" x14ac:dyDescent="0.4">
      <c r="A1507">
        <v>78008</v>
      </c>
      <c r="B1507" t="s">
        <v>825</v>
      </c>
      <c r="C1507" t="s">
        <v>834</v>
      </c>
    </row>
    <row r="1508" spans="1:3" x14ac:dyDescent="0.4">
      <c r="A1508">
        <v>78009</v>
      </c>
      <c r="B1508" t="s">
        <v>825</v>
      </c>
      <c r="C1508" t="s">
        <v>833</v>
      </c>
    </row>
    <row r="1509" spans="1:3" x14ac:dyDescent="0.4">
      <c r="A1509">
        <v>78010</v>
      </c>
      <c r="B1509" t="s">
        <v>825</v>
      </c>
      <c r="C1509" t="s">
        <v>832</v>
      </c>
    </row>
    <row r="1510" spans="1:3" x14ac:dyDescent="0.4">
      <c r="A1510">
        <v>78012</v>
      </c>
      <c r="B1510" t="s">
        <v>825</v>
      </c>
      <c r="C1510" t="s">
        <v>831</v>
      </c>
    </row>
    <row r="1511" spans="1:3" x14ac:dyDescent="0.4">
      <c r="A1511">
        <v>78013</v>
      </c>
      <c r="B1511" t="s">
        <v>825</v>
      </c>
      <c r="C1511" t="s">
        <v>830</v>
      </c>
    </row>
    <row r="1512" spans="1:3" x14ac:dyDescent="0.4">
      <c r="A1512">
        <v>78014</v>
      </c>
      <c r="B1512" t="s">
        <v>825</v>
      </c>
      <c r="C1512" t="s">
        <v>46</v>
      </c>
    </row>
    <row r="1513" spans="1:3" x14ac:dyDescent="0.4">
      <c r="A1513">
        <v>78015</v>
      </c>
      <c r="B1513" t="s">
        <v>825</v>
      </c>
      <c r="C1513" t="s">
        <v>829</v>
      </c>
    </row>
    <row r="1514" spans="1:3" x14ac:dyDescent="0.4">
      <c r="A1514">
        <v>78016</v>
      </c>
      <c r="B1514" t="s">
        <v>825</v>
      </c>
      <c r="C1514" t="s">
        <v>828</v>
      </c>
    </row>
    <row r="1515" spans="1:3" x14ac:dyDescent="0.4">
      <c r="A1515">
        <v>78017</v>
      </c>
      <c r="B1515" t="s">
        <v>825</v>
      </c>
      <c r="C1515" t="s">
        <v>827</v>
      </c>
    </row>
    <row r="1516" spans="1:3" x14ac:dyDescent="0.4">
      <c r="A1516">
        <v>78018</v>
      </c>
      <c r="B1516" t="s">
        <v>825</v>
      </c>
      <c r="C1516" t="s">
        <v>826</v>
      </c>
    </row>
    <row r="1517" spans="1:3" x14ac:dyDescent="0.4">
      <c r="A1517">
        <v>78019</v>
      </c>
      <c r="B1517" t="s">
        <v>825</v>
      </c>
      <c r="C1517" t="s">
        <v>824</v>
      </c>
    </row>
    <row r="1518" spans="1:3" x14ac:dyDescent="0.4">
      <c r="A1518">
        <v>80832</v>
      </c>
      <c r="B1518" t="s">
        <v>692</v>
      </c>
      <c r="C1518" t="s">
        <v>823</v>
      </c>
    </row>
    <row r="1519" spans="1:3" x14ac:dyDescent="0.4">
      <c r="A1519">
        <v>80833</v>
      </c>
      <c r="B1519" t="s">
        <v>692</v>
      </c>
      <c r="C1519" t="s">
        <v>822</v>
      </c>
    </row>
    <row r="1520" spans="1:3" x14ac:dyDescent="0.4">
      <c r="A1520">
        <v>80834</v>
      </c>
      <c r="B1520" t="s">
        <v>692</v>
      </c>
      <c r="C1520" t="s">
        <v>821</v>
      </c>
    </row>
    <row r="1521" spans="1:3" x14ac:dyDescent="0.4">
      <c r="A1521">
        <v>80835</v>
      </c>
      <c r="B1521" t="s">
        <v>692</v>
      </c>
      <c r="C1521" t="s">
        <v>820</v>
      </c>
    </row>
    <row r="1522" spans="1:3" x14ac:dyDescent="0.4">
      <c r="A1522">
        <v>80836</v>
      </c>
      <c r="B1522" t="s">
        <v>692</v>
      </c>
      <c r="C1522" t="s">
        <v>819</v>
      </c>
    </row>
    <row r="1523" spans="1:3" x14ac:dyDescent="0.4">
      <c r="A1523">
        <v>80837</v>
      </c>
      <c r="B1523" t="s">
        <v>692</v>
      </c>
      <c r="C1523" t="s">
        <v>818</v>
      </c>
    </row>
    <row r="1524" spans="1:3" x14ac:dyDescent="0.4">
      <c r="A1524">
        <v>80838</v>
      </c>
      <c r="B1524" t="s">
        <v>692</v>
      </c>
      <c r="C1524" t="s">
        <v>817</v>
      </c>
    </row>
    <row r="1525" spans="1:3" x14ac:dyDescent="0.4">
      <c r="A1525">
        <v>80839</v>
      </c>
      <c r="B1525" t="s">
        <v>692</v>
      </c>
      <c r="C1525" t="s">
        <v>816</v>
      </c>
    </row>
    <row r="1526" spans="1:3" x14ac:dyDescent="0.4">
      <c r="A1526">
        <v>80840</v>
      </c>
      <c r="B1526" t="s">
        <v>692</v>
      </c>
      <c r="C1526" t="s">
        <v>815</v>
      </c>
    </row>
    <row r="1527" spans="1:3" x14ac:dyDescent="0.4">
      <c r="A1527">
        <v>80841</v>
      </c>
      <c r="B1527" t="s">
        <v>692</v>
      </c>
      <c r="C1527" t="s">
        <v>814</v>
      </c>
    </row>
    <row r="1528" spans="1:3" x14ac:dyDescent="0.4">
      <c r="A1528">
        <v>80842</v>
      </c>
      <c r="B1528" t="s">
        <v>692</v>
      </c>
      <c r="C1528" t="s">
        <v>813</v>
      </c>
    </row>
    <row r="1529" spans="1:3" x14ac:dyDescent="0.4">
      <c r="A1529">
        <v>80843</v>
      </c>
      <c r="B1529" t="s">
        <v>692</v>
      </c>
      <c r="C1529" t="s">
        <v>812</v>
      </c>
    </row>
    <row r="1530" spans="1:3" x14ac:dyDescent="0.4">
      <c r="A1530">
        <v>80844</v>
      </c>
      <c r="B1530" t="s">
        <v>692</v>
      </c>
      <c r="C1530" t="s">
        <v>811</v>
      </c>
    </row>
    <row r="1531" spans="1:3" x14ac:dyDescent="0.4">
      <c r="A1531">
        <v>80845</v>
      </c>
      <c r="B1531" t="s">
        <v>692</v>
      </c>
      <c r="C1531" t="s">
        <v>810</v>
      </c>
    </row>
    <row r="1532" spans="1:3" x14ac:dyDescent="0.4">
      <c r="A1532">
        <v>80846</v>
      </c>
      <c r="B1532" t="s">
        <v>692</v>
      </c>
      <c r="C1532" t="s">
        <v>809</v>
      </c>
    </row>
    <row r="1533" spans="1:3" x14ac:dyDescent="0.4">
      <c r="A1533">
        <v>80847</v>
      </c>
      <c r="B1533" t="s">
        <v>692</v>
      </c>
      <c r="C1533" t="s">
        <v>808</v>
      </c>
    </row>
    <row r="1534" spans="1:3" x14ac:dyDescent="0.4">
      <c r="A1534">
        <v>80848</v>
      </c>
      <c r="B1534" t="s">
        <v>692</v>
      </c>
      <c r="C1534" t="s">
        <v>807</v>
      </c>
    </row>
    <row r="1535" spans="1:3" x14ac:dyDescent="0.4">
      <c r="A1535">
        <v>80849</v>
      </c>
      <c r="B1535" t="s">
        <v>692</v>
      </c>
      <c r="C1535" t="s">
        <v>806</v>
      </c>
    </row>
    <row r="1536" spans="1:3" x14ac:dyDescent="0.4">
      <c r="A1536">
        <v>80850</v>
      </c>
      <c r="B1536" t="s">
        <v>692</v>
      </c>
      <c r="C1536" t="s">
        <v>805</v>
      </c>
    </row>
    <row r="1537" spans="1:3" x14ac:dyDescent="0.4">
      <c r="A1537">
        <v>80851</v>
      </c>
      <c r="B1537" t="s">
        <v>692</v>
      </c>
      <c r="C1537" t="s">
        <v>804</v>
      </c>
    </row>
    <row r="1538" spans="1:3" x14ac:dyDescent="0.4">
      <c r="A1538">
        <v>80855</v>
      </c>
      <c r="B1538" t="s">
        <v>692</v>
      </c>
      <c r="C1538" t="s">
        <v>803</v>
      </c>
    </row>
    <row r="1539" spans="1:3" x14ac:dyDescent="0.4">
      <c r="A1539">
        <v>80856</v>
      </c>
      <c r="B1539" t="s">
        <v>692</v>
      </c>
      <c r="C1539" t="s">
        <v>802</v>
      </c>
    </row>
    <row r="1540" spans="1:3" x14ac:dyDescent="0.4">
      <c r="A1540">
        <v>80857</v>
      </c>
      <c r="B1540" t="s">
        <v>692</v>
      </c>
      <c r="C1540" t="s">
        <v>801</v>
      </c>
    </row>
    <row r="1541" spans="1:3" x14ac:dyDescent="0.4">
      <c r="A1541">
        <v>80858</v>
      </c>
      <c r="B1541" t="s">
        <v>692</v>
      </c>
      <c r="C1541" t="s">
        <v>800</v>
      </c>
    </row>
    <row r="1542" spans="1:3" x14ac:dyDescent="0.4">
      <c r="A1542">
        <v>80864</v>
      </c>
      <c r="B1542" t="s">
        <v>692</v>
      </c>
      <c r="C1542" t="s">
        <v>799</v>
      </c>
    </row>
    <row r="1543" spans="1:3" x14ac:dyDescent="0.4">
      <c r="A1543">
        <v>80865</v>
      </c>
      <c r="B1543" t="s">
        <v>692</v>
      </c>
      <c r="C1543" t="s">
        <v>798</v>
      </c>
    </row>
    <row r="1544" spans="1:3" x14ac:dyDescent="0.4">
      <c r="A1544">
        <v>80866</v>
      </c>
      <c r="B1544" t="s">
        <v>692</v>
      </c>
      <c r="C1544" t="s">
        <v>797</v>
      </c>
    </row>
    <row r="1545" spans="1:3" x14ac:dyDescent="0.4">
      <c r="A1545">
        <v>80867</v>
      </c>
      <c r="B1545" t="s">
        <v>692</v>
      </c>
      <c r="C1545" t="s">
        <v>796</v>
      </c>
    </row>
    <row r="1546" spans="1:3" x14ac:dyDescent="0.4">
      <c r="A1546">
        <v>80870</v>
      </c>
      <c r="B1546" t="s">
        <v>692</v>
      </c>
      <c r="C1546" t="s">
        <v>795</v>
      </c>
    </row>
    <row r="1547" spans="1:3" x14ac:dyDescent="0.4">
      <c r="A1547">
        <v>80871</v>
      </c>
      <c r="B1547" t="s">
        <v>692</v>
      </c>
      <c r="C1547" t="s">
        <v>794</v>
      </c>
    </row>
    <row r="1548" spans="1:3" x14ac:dyDescent="0.4">
      <c r="A1548">
        <v>80872</v>
      </c>
      <c r="B1548" t="s">
        <v>692</v>
      </c>
      <c r="C1548" t="s">
        <v>793</v>
      </c>
    </row>
    <row r="1549" spans="1:3" x14ac:dyDescent="0.4">
      <c r="A1549">
        <v>80873</v>
      </c>
      <c r="B1549" t="s">
        <v>692</v>
      </c>
      <c r="C1549" t="s">
        <v>792</v>
      </c>
    </row>
    <row r="1550" spans="1:3" x14ac:dyDescent="0.4">
      <c r="A1550">
        <v>80876</v>
      </c>
      <c r="B1550" t="s">
        <v>692</v>
      </c>
      <c r="C1550" t="s">
        <v>791</v>
      </c>
    </row>
    <row r="1551" spans="1:3" x14ac:dyDescent="0.4">
      <c r="A1551">
        <v>80877</v>
      </c>
      <c r="B1551" t="s">
        <v>692</v>
      </c>
      <c r="C1551" t="s">
        <v>790</v>
      </c>
    </row>
    <row r="1552" spans="1:3" x14ac:dyDescent="0.4">
      <c r="A1552">
        <v>80880</v>
      </c>
      <c r="B1552" t="s">
        <v>692</v>
      </c>
      <c r="C1552" t="s">
        <v>789</v>
      </c>
    </row>
    <row r="1553" spans="1:3" x14ac:dyDescent="0.4">
      <c r="A1553">
        <v>80881</v>
      </c>
      <c r="B1553" t="s">
        <v>692</v>
      </c>
      <c r="C1553" t="s">
        <v>788</v>
      </c>
    </row>
    <row r="1554" spans="1:3" x14ac:dyDescent="0.4">
      <c r="A1554">
        <v>80882</v>
      </c>
      <c r="B1554" t="s">
        <v>692</v>
      </c>
      <c r="C1554" t="s">
        <v>787</v>
      </c>
    </row>
    <row r="1555" spans="1:3" x14ac:dyDescent="0.4">
      <c r="A1555">
        <v>80883</v>
      </c>
      <c r="B1555" t="s">
        <v>692</v>
      </c>
      <c r="C1555" t="s">
        <v>786</v>
      </c>
    </row>
    <row r="1556" spans="1:3" x14ac:dyDescent="0.4">
      <c r="A1556">
        <v>80884</v>
      </c>
      <c r="B1556" t="s">
        <v>692</v>
      </c>
      <c r="C1556" t="s">
        <v>785</v>
      </c>
    </row>
    <row r="1557" spans="1:3" x14ac:dyDescent="0.4">
      <c r="A1557">
        <v>80885</v>
      </c>
      <c r="B1557" t="s">
        <v>692</v>
      </c>
      <c r="C1557" t="s">
        <v>784</v>
      </c>
    </row>
    <row r="1558" spans="1:3" x14ac:dyDescent="0.4">
      <c r="A1558">
        <v>80886</v>
      </c>
      <c r="B1558" t="s">
        <v>692</v>
      </c>
      <c r="C1558" t="s">
        <v>783</v>
      </c>
    </row>
    <row r="1559" spans="1:3" x14ac:dyDescent="0.4">
      <c r="A1559">
        <v>80887</v>
      </c>
      <c r="B1559" t="s">
        <v>692</v>
      </c>
      <c r="C1559" t="s">
        <v>782</v>
      </c>
    </row>
    <row r="1560" spans="1:3" x14ac:dyDescent="0.4">
      <c r="A1560">
        <v>80888</v>
      </c>
      <c r="B1560" t="s">
        <v>692</v>
      </c>
      <c r="C1560" t="s">
        <v>781</v>
      </c>
    </row>
    <row r="1561" spans="1:3" x14ac:dyDescent="0.4">
      <c r="A1561">
        <v>80889</v>
      </c>
      <c r="B1561" t="s">
        <v>692</v>
      </c>
      <c r="C1561" t="s">
        <v>780</v>
      </c>
    </row>
    <row r="1562" spans="1:3" x14ac:dyDescent="0.4">
      <c r="A1562">
        <v>80890</v>
      </c>
      <c r="B1562" t="s">
        <v>692</v>
      </c>
      <c r="C1562" t="s">
        <v>779</v>
      </c>
    </row>
    <row r="1563" spans="1:3" x14ac:dyDescent="0.4">
      <c r="A1563">
        <v>80891</v>
      </c>
      <c r="B1563" t="s">
        <v>692</v>
      </c>
      <c r="C1563" t="s">
        <v>778</v>
      </c>
    </row>
    <row r="1564" spans="1:3" x14ac:dyDescent="0.4">
      <c r="A1564">
        <v>80892</v>
      </c>
      <c r="B1564" t="s">
        <v>692</v>
      </c>
      <c r="C1564" t="s">
        <v>777</v>
      </c>
    </row>
    <row r="1565" spans="1:3" x14ac:dyDescent="0.4">
      <c r="A1565">
        <v>80893</v>
      </c>
      <c r="B1565" t="s">
        <v>692</v>
      </c>
      <c r="C1565" t="s">
        <v>776</v>
      </c>
    </row>
    <row r="1566" spans="1:3" x14ac:dyDescent="0.4">
      <c r="A1566">
        <v>80894</v>
      </c>
      <c r="B1566" t="s">
        <v>692</v>
      </c>
      <c r="C1566" t="s">
        <v>775</v>
      </c>
    </row>
    <row r="1567" spans="1:3" x14ac:dyDescent="0.4">
      <c r="A1567">
        <v>80895</v>
      </c>
      <c r="B1567" t="s">
        <v>692</v>
      </c>
      <c r="C1567" t="s">
        <v>774</v>
      </c>
    </row>
    <row r="1568" spans="1:3" x14ac:dyDescent="0.4">
      <c r="A1568">
        <v>82832</v>
      </c>
      <c r="B1568" t="s">
        <v>692</v>
      </c>
      <c r="C1568" t="s">
        <v>773</v>
      </c>
    </row>
    <row r="1569" spans="1:3" x14ac:dyDescent="0.4">
      <c r="A1569">
        <v>82833</v>
      </c>
      <c r="B1569" t="s">
        <v>692</v>
      </c>
      <c r="C1569" t="s">
        <v>772</v>
      </c>
    </row>
    <row r="1570" spans="1:3" x14ac:dyDescent="0.4">
      <c r="A1570">
        <v>82834</v>
      </c>
      <c r="B1570" t="s">
        <v>692</v>
      </c>
      <c r="C1570" t="s">
        <v>771</v>
      </c>
    </row>
    <row r="1571" spans="1:3" x14ac:dyDescent="0.4">
      <c r="A1571">
        <v>82835</v>
      </c>
      <c r="B1571" t="s">
        <v>692</v>
      </c>
      <c r="C1571" t="s">
        <v>770</v>
      </c>
    </row>
    <row r="1572" spans="1:3" x14ac:dyDescent="0.4">
      <c r="A1572">
        <v>82836</v>
      </c>
      <c r="B1572" t="s">
        <v>692</v>
      </c>
      <c r="C1572" t="s">
        <v>769</v>
      </c>
    </row>
    <row r="1573" spans="1:3" x14ac:dyDescent="0.4">
      <c r="A1573">
        <v>82837</v>
      </c>
      <c r="B1573" t="s">
        <v>692</v>
      </c>
      <c r="C1573" t="s">
        <v>768</v>
      </c>
    </row>
    <row r="1574" spans="1:3" x14ac:dyDescent="0.4">
      <c r="A1574">
        <v>82838</v>
      </c>
      <c r="B1574" t="s">
        <v>692</v>
      </c>
      <c r="C1574" t="s">
        <v>767</v>
      </c>
    </row>
    <row r="1575" spans="1:3" x14ac:dyDescent="0.4">
      <c r="A1575">
        <v>82839</v>
      </c>
      <c r="B1575" t="s">
        <v>692</v>
      </c>
      <c r="C1575" t="s">
        <v>766</v>
      </c>
    </row>
    <row r="1576" spans="1:3" x14ac:dyDescent="0.4">
      <c r="A1576">
        <v>82840</v>
      </c>
      <c r="B1576" t="s">
        <v>692</v>
      </c>
      <c r="C1576" t="s">
        <v>765</v>
      </c>
    </row>
    <row r="1577" spans="1:3" x14ac:dyDescent="0.4">
      <c r="A1577">
        <v>82841</v>
      </c>
      <c r="B1577" t="s">
        <v>692</v>
      </c>
      <c r="C1577" t="s">
        <v>764</v>
      </c>
    </row>
    <row r="1578" spans="1:3" x14ac:dyDescent="0.4">
      <c r="A1578">
        <v>82842</v>
      </c>
      <c r="B1578" t="s">
        <v>692</v>
      </c>
      <c r="C1578" t="s">
        <v>763</v>
      </c>
    </row>
    <row r="1579" spans="1:3" x14ac:dyDescent="0.4">
      <c r="A1579">
        <v>82843</v>
      </c>
      <c r="B1579" t="s">
        <v>692</v>
      </c>
      <c r="C1579" t="s">
        <v>762</v>
      </c>
    </row>
    <row r="1580" spans="1:3" x14ac:dyDescent="0.4">
      <c r="A1580">
        <v>82844</v>
      </c>
      <c r="B1580" t="s">
        <v>692</v>
      </c>
      <c r="C1580" t="s">
        <v>761</v>
      </c>
    </row>
    <row r="1581" spans="1:3" x14ac:dyDescent="0.4">
      <c r="A1581">
        <v>82845</v>
      </c>
      <c r="B1581" t="s">
        <v>692</v>
      </c>
      <c r="C1581" t="s">
        <v>760</v>
      </c>
    </row>
    <row r="1582" spans="1:3" x14ac:dyDescent="0.4">
      <c r="A1582">
        <v>82846</v>
      </c>
      <c r="B1582" t="s">
        <v>692</v>
      </c>
      <c r="C1582" t="s">
        <v>759</v>
      </c>
    </row>
    <row r="1583" spans="1:3" x14ac:dyDescent="0.4">
      <c r="A1583">
        <v>82847</v>
      </c>
      <c r="B1583" t="s">
        <v>692</v>
      </c>
      <c r="C1583" t="s">
        <v>758</v>
      </c>
    </row>
    <row r="1584" spans="1:3" x14ac:dyDescent="0.4">
      <c r="A1584">
        <v>82848</v>
      </c>
      <c r="B1584" t="s">
        <v>692</v>
      </c>
      <c r="C1584" t="s">
        <v>757</v>
      </c>
    </row>
    <row r="1585" spans="1:3" x14ac:dyDescent="0.4">
      <c r="A1585">
        <v>82849</v>
      </c>
      <c r="B1585" t="s">
        <v>692</v>
      </c>
      <c r="C1585" t="s">
        <v>756</v>
      </c>
    </row>
    <row r="1586" spans="1:3" x14ac:dyDescent="0.4">
      <c r="A1586">
        <v>82850</v>
      </c>
      <c r="B1586" t="s">
        <v>692</v>
      </c>
      <c r="C1586" t="s">
        <v>755</v>
      </c>
    </row>
    <row r="1587" spans="1:3" x14ac:dyDescent="0.4">
      <c r="A1587">
        <v>82851</v>
      </c>
      <c r="B1587" t="s">
        <v>692</v>
      </c>
      <c r="C1587" t="s">
        <v>754</v>
      </c>
    </row>
    <row r="1588" spans="1:3" x14ac:dyDescent="0.4">
      <c r="A1588">
        <v>82855</v>
      </c>
      <c r="B1588" t="s">
        <v>692</v>
      </c>
      <c r="C1588" t="s">
        <v>753</v>
      </c>
    </row>
    <row r="1589" spans="1:3" x14ac:dyDescent="0.4">
      <c r="A1589">
        <v>82856</v>
      </c>
      <c r="B1589" t="s">
        <v>692</v>
      </c>
      <c r="C1589" t="s">
        <v>752</v>
      </c>
    </row>
    <row r="1590" spans="1:3" x14ac:dyDescent="0.4">
      <c r="A1590">
        <v>82857</v>
      </c>
      <c r="B1590" t="s">
        <v>692</v>
      </c>
      <c r="C1590" t="s">
        <v>751</v>
      </c>
    </row>
    <row r="1591" spans="1:3" x14ac:dyDescent="0.4">
      <c r="A1591">
        <v>82858</v>
      </c>
      <c r="B1591" t="s">
        <v>692</v>
      </c>
      <c r="C1591" t="s">
        <v>750</v>
      </c>
    </row>
    <row r="1592" spans="1:3" x14ac:dyDescent="0.4">
      <c r="A1592">
        <v>82864</v>
      </c>
      <c r="B1592" t="s">
        <v>692</v>
      </c>
      <c r="C1592" t="s">
        <v>749</v>
      </c>
    </row>
    <row r="1593" spans="1:3" x14ac:dyDescent="0.4">
      <c r="A1593">
        <v>82865</v>
      </c>
      <c r="B1593" t="s">
        <v>692</v>
      </c>
      <c r="C1593" t="s">
        <v>748</v>
      </c>
    </row>
    <row r="1594" spans="1:3" x14ac:dyDescent="0.4">
      <c r="A1594">
        <v>82866</v>
      </c>
      <c r="B1594" t="s">
        <v>692</v>
      </c>
      <c r="C1594" t="s">
        <v>747</v>
      </c>
    </row>
    <row r="1595" spans="1:3" x14ac:dyDescent="0.4">
      <c r="A1595">
        <v>82867</v>
      </c>
      <c r="B1595" t="s">
        <v>692</v>
      </c>
      <c r="C1595" t="s">
        <v>746</v>
      </c>
    </row>
    <row r="1596" spans="1:3" x14ac:dyDescent="0.4">
      <c r="A1596">
        <v>82870</v>
      </c>
      <c r="B1596" t="s">
        <v>692</v>
      </c>
      <c r="C1596" t="s">
        <v>745</v>
      </c>
    </row>
    <row r="1597" spans="1:3" x14ac:dyDescent="0.4">
      <c r="A1597">
        <v>82871</v>
      </c>
      <c r="B1597" t="s">
        <v>692</v>
      </c>
      <c r="C1597" t="s">
        <v>744</v>
      </c>
    </row>
    <row r="1598" spans="1:3" x14ac:dyDescent="0.4">
      <c r="A1598">
        <v>82872</v>
      </c>
      <c r="B1598" t="s">
        <v>692</v>
      </c>
      <c r="C1598" t="s">
        <v>743</v>
      </c>
    </row>
    <row r="1599" spans="1:3" x14ac:dyDescent="0.4">
      <c r="A1599">
        <v>82873</v>
      </c>
      <c r="B1599" t="s">
        <v>692</v>
      </c>
      <c r="C1599" t="s">
        <v>742</v>
      </c>
    </row>
    <row r="1600" spans="1:3" x14ac:dyDescent="0.4">
      <c r="A1600">
        <v>82876</v>
      </c>
      <c r="B1600" t="s">
        <v>692</v>
      </c>
      <c r="C1600" t="s">
        <v>741</v>
      </c>
    </row>
    <row r="1601" spans="1:3" x14ac:dyDescent="0.4">
      <c r="A1601">
        <v>82877</v>
      </c>
      <c r="B1601" t="s">
        <v>692</v>
      </c>
      <c r="C1601" t="s">
        <v>740</v>
      </c>
    </row>
    <row r="1602" spans="1:3" x14ac:dyDescent="0.4">
      <c r="A1602">
        <v>82880</v>
      </c>
      <c r="B1602" t="s">
        <v>692</v>
      </c>
      <c r="C1602" t="s">
        <v>739</v>
      </c>
    </row>
    <row r="1603" spans="1:3" x14ac:dyDescent="0.4">
      <c r="A1603">
        <v>82881</v>
      </c>
      <c r="B1603" t="s">
        <v>692</v>
      </c>
      <c r="C1603" t="s">
        <v>738</v>
      </c>
    </row>
    <row r="1604" spans="1:3" x14ac:dyDescent="0.4">
      <c r="A1604">
        <v>82882</v>
      </c>
      <c r="B1604" t="s">
        <v>692</v>
      </c>
      <c r="C1604" t="s">
        <v>737</v>
      </c>
    </row>
    <row r="1605" spans="1:3" x14ac:dyDescent="0.4">
      <c r="A1605">
        <v>82883</v>
      </c>
      <c r="B1605" t="s">
        <v>692</v>
      </c>
      <c r="C1605" t="s">
        <v>736</v>
      </c>
    </row>
    <row r="1606" spans="1:3" x14ac:dyDescent="0.4">
      <c r="A1606">
        <v>82884</v>
      </c>
      <c r="B1606" t="s">
        <v>692</v>
      </c>
      <c r="C1606" t="s">
        <v>735</v>
      </c>
    </row>
    <row r="1607" spans="1:3" x14ac:dyDescent="0.4">
      <c r="A1607">
        <v>82885</v>
      </c>
      <c r="B1607" t="s">
        <v>692</v>
      </c>
      <c r="C1607" t="s">
        <v>734</v>
      </c>
    </row>
    <row r="1608" spans="1:3" x14ac:dyDescent="0.4">
      <c r="A1608">
        <v>82886</v>
      </c>
      <c r="B1608" t="s">
        <v>692</v>
      </c>
      <c r="C1608" t="s">
        <v>733</v>
      </c>
    </row>
    <row r="1609" spans="1:3" x14ac:dyDescent="0.4">
      <c r="A1609">
        <v>82887</v>
      </c>
      <c r="B1609" t="s">
        <v>692</v>
      </c>
      <c r="C1609" t="s">
        <v>732</v>
      </c>
    </row>
    <row r="1610" spans="1:3" x14ac:dyDescent="0.4">
      <c r="A1610">
        <v>82888</v>
      </c>
      <c r="B1610" t="s">
        <v>692</v>
      </c>
      <c r="C1610" t="s">
        <v>731</v>
      </c>
    </row>
    <row r="1611" spans="1:3" x14ac:dyDescent="0.4">
      <c r="A1611">
        <v>82889</v>
      </c>
      <c r="B1611" t="s">
        <v>692</v>
      </c>
      <c r="C1611" t="s">
        <v>730</v>
      </c>
    </row>
    <row r="1612" spans="1:3" x14ac:dyDescent="0.4">
      <c r="A1612">
        <v>82890</v>
      </c>
      <c r="B1612" t="s">
        <v>692</v>
      </c>
      <c r="C1612" t="s">
        <v>729</v>
      </c>
    </row>
    <row r="1613" spans="1:3" x14ac:dyDescent="0.4">
      <c r="A1613">
        <v>82891</v>
      </c>
      <c r="B1613" t="s">
        <v>692</v>
      </c>
      <c r="C1613" t="s">
        <v>728</v>
      </c>
    </row>
    <row r="1614" spans="1:3" x14ac:dyDescent="0.4">
      <c r="A1614">
        <v>82892</v>
      </c>
      <c r="B1614" t="s">
        <v>692</v>
      </c>
      <c r="C1614" t="s">
        <v>727</v>
      </c>
    </row>
    <row r="1615" spans="1:3" x14ac:dyDescent="0.4">
      <c r="A1615">
        <v>82893</v>
      </c>
      <c r="B1615" t="s">
        <v>692</v>
      </c>
      <c r="C1615" t="s">
        <v>726</v>
      </c>
    </row>
    <row r="1616" spans="1:3" x14ac:dyDescent="0.4">
      <c r="A1616">
        <v>82894</v>
      </c>
      <c r="B1616" t="s">
        <v>692</v>
      </c>
      <c r="C1616" t="s">
        <v>725</v>
      </c>
    </row>
    <row r="1617" spans="1:3" x14ac:dyDescent="0.4">
      <c r="A1617">
        <v>82895</v>
      </c>
      <c r="B1617" t="s">
        <v>692</v>
      </c>
      <c r="C1617" t="s">
        <v>724</v>
      </c>
    </row>
    <row r="1618" spans="1:3" x14ac:dyDescent="0.4">
      <c r="A1618">
        <v>84141</v>
      </c>
      <c r="B1618" t="s">
        <v>692</v>
      </c>
      <c r="C1618" t="s">
        <v>723</v>
      </c>
    </row>
    <row r="1619" spans="1:3" x14ac:dyDescent="0.4">
      <c r="A1619">
        <v>84142</v>
      </c>
      <c r="B1619" t="s">
        <v>692</v>
      </c>
      <c r="C1619" t="s">
        <v>722</v>
      </c>
    </row>
    <row r="1620" spans="1:3" x14ac:dyDescent="0.4">
      <c r="A1620">
        <v>84143</v>
      </c>
      <c r="B1620" t="s">
        <v>692</v>
      </c>
      <c r="C1620" t="s">
        <v>721</v>
      </c>
    </row>
    <row r="1621" spans="1:3" x14ac:dyDescent="0.4">
      <c r="A1621">
        <v>84144</v>
      </c>
      <c r="B1621" t="s">
        <v>692</v>
      </c>
      <c r="C1621" t="s">
        <v>720</v>
      </c>
    </row>
    <row r="1622" spans="1:3" x14ac:dyDescent="0.4">
      <c r="A1622">
        <v>84145</v>
      </c>
      <c r="B1622" t="s">
        <v>692</v>
      </c>
      <c r="C1622" t="s">
        <v>719</v>
      </c>
    </row>
    <row r="1623" spans="1:3" x14ac:dyDescent="0.4">
      <c r="A1623">
        <v>84146</v>
      </c>
      <c r="B1623" t="s">
        <v>692</v>
      </c>
      <c r="C1623" t="s">
        <v>718</v>
      </c>
    </row>
    <row r="1624" spans="1:3" x14ac:dyDescent="0.4">
      <c r="A1624">
        <v>84147</v>
      </c>
      <c r="B1624" t="s">
        <v>692</v>
      </c>
      <c r="C1624" t="s">
        <v>717</v>
      </c>
    </row>
    <row r="1625" spans="1:3" x14ac:dyDescent="0.4">
      <c r="A1625">
        <v>84148</v>
      </c>
      <c r="B1625" t="s">
        <v>692</v>
      </c>
      <c r="C1625" t="s">
        <v>716</v>
      </c>
    </row>
    <row r="1626" spans="1:3" x14ac:dyDescent="0.4">
      <c r="A1626">
        <v>84149</v>
      </c>
      <c r="B1626" t="s">
        <v>692</v>
      </c>
      <c r="C1626" t="s">
        <v>715</v>
      </c>
    </row>
    <row r="1627" spans="1:3" x14ac:dyDescent="0.4">
      <c r="A1627">
        <v>84150</v>
      </c>
      <c r="B1627" t="s">
        <v>692</v>
      </c>
      <c r="C1627" t="s">
        <v>714</v>
      </c>
    </row>
    <row r="1628" spans="1:3" x14ac:dyDescent="0.4">
      <c r="A1628">
        <v>84151</v>
      </c>
      <c r="B1628" t="s">
        <v>692</v>
      </c>
      <c r="C1628" t="s">
        <v>713</v>
      </c>
    </row>
    <row r="1629" spans="1:3" x14ac:dyDescent="0.4">
      <c r="A1629">
        <v>85141</v>
      </c>
      <c r="B1629" t="s">
        <v>692</v>
      </c>
      <c r="C1629" t="s">
        <v>712</v>
      </c>
    </row>
    <row r="1630" spans="1:3" x14ac:dyDescent="0.4">
      <c r="A1630">
        <v>85142</v>
      </c>
      <c r="B1630" t="s">
        <v>692</v>
      </c>
      <c r="C1630" t="s">
        <v>711</v>
      </c>
    </row>
    <row r="1631" spans="1:3" x14ac:dyDescent="0.4">
      <c r="A1631">
        <v>85143</v>
      </c>
      <c r="B1631" t="s">
        <v>692</v>
      </c>
      <c r="C1631" t="s">
        <v>710</v>
      </c>
    </row>
    <row r="1632" spans="1:3" x14ac:dyDescent="0.4">
      <c r="A1632">
        <v>85144</v>
      </c>
      <c r="B1632" t="s">
        <v>692</v>
      </c>
      <c r="C1632" t="s">
        <v>709</v>
      </c>
    </row>
    <row r="1633" spans="1:3" x14ac:dyDescent="0.4">
      <c r="A1633">
        <v>85145</v>
      </c>
      <c r="B1633" t="s">
        <v>692</v>
      </c>
      <c r="C1633" t="s">
        <v>708</v>
      </c>
    </row>
    <row r="1634" spans="1:3" x14ac:dyDescent="0.4">
      <c r="A1634">
        <v>85146</v>
      </c>
      <c r="B1634" t="s">
        <v>692</v>
      </c>
      <c r="C1634" t="s">
        <v>707</v>
      </c>
    </row>
    <row r="1635" spans="1:3" x14ac:dyDescent="0.4">
      <c r="A1635">
        <v>85147</v>
      </c>
      <c r="B1635" t="s">
        <v>692</v>
      </c>
      <c r="C1635" t="s">
        <v>706</v>
      </c>
    </row>
    <row r="1636" spans="1:3" x14ac:dyDescent="0.4">
      <c r="A1636">
        <v>85148</v>
      </c>
      <c r="B1636" t="s">
        <v>692</v>
      </c>
      <c r="C1636" t="s">
        <v>705</v>
      </c>
    </row>
    <row r="1637" spans="1:3" x14ac:dyDescent="0.4">
      <c r="A1637">
        <v>85149</v>
      </c>
      <c r="B1637" t="s">
        <v>692</v>
      </c>
      <c r="C1637" t="s">
        <v>704</v>
      </c>
    </row>
    <row r="1638" spans="1:3" x14ac:dyDescent="0.4">
      <c r="A1638">
        <v>85150</v>
      </c>
      <c r="B1638" t="s">
        <v>692</v>
      </c>
      <c r="C1638" t="s">
        <v>703</v>
      </c>
    </row>
    <row r="1639" spans="1:3" x14ac:dyDescent="0.4">
      <c r="A1639">
        <v>85151</v>
      </c>
      <c r="B1639" t="s">
        <v>692</v>
      </c>
      <c r="C1639" t="s">
        <v>702</v>
      </c>
    </row>
    <row r="1640" spans="1:3" x14ac:dyDescent="0.4">
      <c r="A1640">
        <v>88000</v>
      </c>
      <c r="B1640" t="s">
        <v>692</v>
      </c>
      <c r="C1640" t="s">
        <v>701</v>
      </c>
    </row>
    <row r="1641" spans="1:3" x14ac:dyDescent="0.4">
      <c r="A1641">
        <v>88001</v>
      </c>
      <c r="B1641" t="s">
        <v>692</v>
      </c>
      <c r="C1641" t="s">
        <v>700</v>
      </c>
    </row>
    <row r="1642" spans="1:3" x14ac:dyDescent="0.4">
      <c r="A1642">
        <v>88002</v>
      </c>
      <c r="B1642" t="s">
        <v>692</v>
      </c>
      <c r="C1642" t="s">
        <v>699</v>
      </c>
    </row>
    <row r="1643" spans="1:3" x14ac:dyDescent="0.4">
      <c r="A1643">
        <v>88003</v>
      </c>
      <c r="B1643" t="s">
        <v>692</v>
      </c>
      <c r="C1643" t="s">
        <v>698</v>
      </c>
    </row>
    <row r="1644" spans="1:3" x14ac:dyDescent="0.4">
      <c r="A1644">
        <v>88004</v>
      </c>
      <c r="B1644" t="s">
        <v>692</v>
      </c>
      <c r="C1644" t="s">
        <v>697</v>
      </c>
    </row>
    <row r="1645" spans="1:3" x14ac:dyDescent="0.4">
      <c r="A1645">
        <v>88005</v>
      </c>
      <c r="B1645" t="s">
        <v>692</v>
      </c>
      <c r="C1645" t="s">
        <v>696</v>
      </c>
    </row>
    <row r="1646" spans="1:3" x14ac:dyDescent="0.4">
      <c r="A1646">
        <v>88006</v>
      </c>
      <c r="B1646" t="s">
        <v>692</v>
      </c>
      <c r="C1646" t="s">
        <v>695</v>
      </c>
    </row>
    <row r="1647" spans="1:3" x14ac:dyDescent="0.4">
      <c r="A1647">
        <v>88007</v>
      </c>
      <c r="B1647" t="s">
        <v>692</v>
      </c>
      <c r="C1647" t="s">
        <v>694</v>
      </c>
    </row>
    <row r="1648" spans="1:3" x14ac:dyDescent="0.4">
      <c r="A1648">
        <v>88008</v>
      </c>
      <c r="B1648" t="s">
        <v>692</v>
      </c>
      <c r="C1648" t="s">
        <v>693</v>
      </c>
    </row>
    <row r="1649" spans="1:3" x14ac:dyDescent="0.4">
      <c r="A1649">
        <v>88009</v>
      </c>
      <c r="B1649" t="s">
        <v>692</v>
      </c>
      <c r="C1649" t="s">
        <v>691</v>
      </c>
    </row>
    <row r="1650" spans="1:3" x14ac:dyDescent="0.4">
      <c r="A1650">
        <v>90396</v>
      </c>
      <c r="B1650" t="s">
        <v>535</v>
      </c>
      <c r="C1650" t="s">
        <v>690</v>
      </c>
    </row>
    <row r="1651" spans="1:3" x14ac:dyDescent="0.4">
      <c r="A1651">
        <v>90397</v>
      </c>
      <c r="B1651" t="s">
        <v>535</v>
      </c>
      <c r="C1651" t="s">
        <v>689</v>
      </c>
    </row>
    <row r="1652" spans="1:3" x14ac:dyDescent="0.4">
      <c r="A1652">
        <v>90528</v>
      </c>
      <c r="B1652" t="s">
        <v>535</v>
      </c>
      <c r="C1652" t="s">
        <v>688</v>
      </c>
    </row>
    <row r="1653" spans="1:3" x14ac:dyDescent="0.4">
      <c r="A1653">
        <v>90529</v>
      </c>
      <c r="B1653" t="s">
        <v>535</v>
      </c>
      <c r="C1653" t="s">
        <v>687</v>
      </c>
    </row>
    <row r="1654" spans="1:3" x14ac:dyDescent="0.4">
      <c r="A1654">
        <v>90530</v>
      </c>
      <c r="B1654" t="s">
        <v>535</v>
      </c>
      <c r="C1654" t="s">
        <v>686</v>
      </c>
    </row>
    <row r="1655" spans="1:3" x14ac:dyDescent="0.4">
      <c r="A1655">
        <v>90531</v>
      </c>
      <c r="B1655" t="s">
        <v>535</v>
      </c>
      <c r="C1655" t="s">
        <v>685</v>
      </c>
    </row>
    <row r="1656" spans="1:3" x14ac:dyDescent="0.4">
      <c r="A1656">
        <v>90532</v>
      </c>
      <c r="B1656" t="s">
        <v>535</v>
      </c>
      <c r="C1656" t="s">
        <v>684</v>
      </c>
    </row>
    <row r="1657" spans="1:3" x14ac:dyDescent="0.4">
      <c r="A1657">
        <v>90533</v>
      </c>
      <c r="B1657" t="s">
        <v>535</v>
      </c>
      <c r="C1657" t="s">
        <v>683</v>
      </c>
    </row>
    <row r="1658" spans="1:3" x14ac:dyDescent="0.4">
      <c r="A1658">
        <v>90534</v>
      </c>
      <c r="B1658" t="s">
        <v>535</v>
      </c>
      <c r="C1658" t="s">
        <v>682</v>
      </c>
    </row>
    <row r="1659" spans="1:3" x14ac:dyDescent="0.4">
      <c r="A1659">
        <v>90535</v>
      </c>
      <c r="B1659" t="s">
        <v>535</v>
      </c>
      <c r="C1659" t="s">
        <v>681</v>
      </c>
    </row>
    <row r="1660" spans="1:3" x14ac:dyDescent="0.4">
      <c r="A1660">
        <v>90536</v>
      </c>
      <c r="B1660" t="s">
        <v>535</v>
      </c>
      <c r="C1660" t="s">
        <v>680</v>
      </c>
    </row>
    <row r="1661" spans="1:3" x14ac:dyDescent="0.4">
      <c r="A1661">
        <v>90537</v>
      </c>
      <c r="B1661" t="s">
        <v>535</v>
      </c>
      <c r="C1661" t="s">
        <v>679</v>
      </c>
    </row>
    <row r="1662" spans="1:3" x14ac:dyDescent="0.4">
      <c r="A1662">
        <v>90538</v>
      </c>
      <c r="B1662" t="s">
        <v>535</v>
      </c>
      <c r="C1662" t="s">
        <v>678</v>
      </c>
    </row>
    <row r="1663" spans="1:3" x14ac:dyDescent="0.4">
      <c r="A1663">
        <v>90539</v>
      </c>
      <c r="B1663" t="s">
        <v>535</v>
      </c>
      <c r="C1663" t="s">
        <v>677</v>
      </c>
    </row>
    <row r="1664" spans="1:3" x14ac:dyDescent="0.4">
      <c r="A1664">
        <v>90540</v>
      </c>
      <c r="B1664" t="s">
        <v>535</v>
      </c>
      <c r="C1664" t="s">
        <v>676</v>
      </c>
    </row>
    <row r="1665" spans="1:3" x14ac:dyDescent="0.4">
      <c r="A1665">
        <v>90541</v>
      </c>
      <c r="B1665" t="s">
        <v>535</v>
      </c>
      <c r="C1665" t="s">
        <v>675</v>
      </c>
    </row>
    <row r="1666" spans="1:3" x14ac:dyDescent="0.4">
      <c r="A1666">
        <v>90544</v>
      </c>
      <c r="B1666" t="s">
        <v>535</v>
      </c>
      <c r="C1666" t="s">
        <v>674</v>
      </c>
    </row>
    <row r="1667" spans="1:3" x14ac:dyDescent="0.4">
      <c r="A1667">
        <v>90545</v>
      </c>
      <c r="B1667" t="s">
        <v>535</v>
      </c>
      <c r="C1667" t="s">
        <v>673</v>
      </c>
    </row>
    <row r="1668" spans="1:3" x14ac:dyDescent="0.4">
      <c r="A1668">
        <v>90548</v>
      </c>
      <c r="B1668" t="s">
        <v>535</v>
      </c>
      <c r="C1668" t="s">
        <v>672</v>
      </c>
    </row>
    <row r="1669" spans="1:3" x14ac:dyDescent="0.4">
      <c r="A1669">
        <v>90549</v>
      </c>
      <c r="B1669" t="s">
        <v>535</v>
      </c>
      <c r="C1669" t="s">
        <v>671</v>
      </c>
    </row>
    <row r="1670" spans="1:3" x14ac:dyDescent="0.4">
      <c r="A1670">
        <v>90552</v>
      </c>
      <c r="B1670" t="s">
        <v>535</v>
      </c>
      <c r="C1670" t="s">
        <v>670</v>
      </c>
    </row>
    <row r="1671" spans="1:3" x14ac:dyDescent="0.4">
      <c r="A1671">
        <v>90553</v>
      </c>
      <c r="B1671" t="s">
        <v>535</v>
      </c>
      <c r="C1671" t="s">
        <v>669</v>
      </c>
    </row>
    <row r="1672" spans="1:3" x14ac:dyDescent="0.4">
      <c r="A1672">
        <v>90554</v>
      </c>
      <c r="B1672" t="s">
        <v>535</v>
      </c>
      <c r="C1672" t="s">
        <v>668</v>
      </c>
    </row>
    <row r="1673" spans="1:3" x14ac:dyDescent="0.4">
      <c r="A1673">
        <v>90555</v>
      </c>
      <c r="B1673" t="s">
        <v>535</v>
      </c>
      <c r="C1673" t="s">
        <v>667</v>
      </c>
    </row>
    <row r="1674" spans="1:3" x14ac:dyDescent="0.4">
      <c r="A1674">
        <v>90560</v>
      </c>
      <c r="B1674" t="s">
        <v>535</v>
      </c>
      <c r="C1674" t="s">
        <v>666</v>
      </c>
    </row>
    <row r="1675" spans="1:3" x14ac:dyDescent="0.4">
      <c r="A1675">
        <v>90561</v>
      </c>
      <c r="B1675" t="s">
        <v>535</v>
      </c>
      <c r="C1675" t="s">
        <v>665</v>
      </c>
    </row>
    <row r="1676" spans="1:3" x14ac:dyDescent="0.4">
      <c r="A1676">
        <v>90562</v>
      </c>
      <c r="B1676" t="s">
        <v>535</v>
      </c>
      <c r="C1676" t="s">
        <v>664</v>
      </c>
    </row>
    <row r="1677" spans="1:3" x14ac:dyDescent="0.4">
      <c r="A1677">
        <v>90563</v>
      </c>
      <c r="B1677" t="s">
        <v>535</v>
      </c>
      <c r="C1677" t="s">
        <v>663</v>
      </c>
    </row>
    <row r="1678" spans="1:3" x14ac:dyDescent="0.4">
      <c r="A1678">
        <v>90564</v>
      </c>
      <c r="B1678" t="s">
        <v>535</v>
      </c>
      <c r="C1678" t="s">
        <v>662</v>
      </c>
    </row>
    <row r="1679" spans="1:3" x14ac:dyDescent="0.4">
      <c r="A1679">
        <v>90565</v>
      </c>
      <c r="B1679" t="s">
        <v>535</v>
      </c>
      <c r="C1679" t="s">
        <v>661</v>
      </c>
    </row>
    <row r="1680" spans="1:3" x14ac:dyDescent="0.4">
      <c r="A1680">
        <v>90566</v>
      </c>
      <c r="B1680" t="s">
        <v>535</v>
      </c>
      <c r="C1680" t="s">
        <v>660</v>
      </c>
    </row>
    <row r="1681" spans="1:3" x14ac:dyDescent="0.4">
      <c r="A1681">
        <v>90567</v>
      </c>
      <c r="B1681" t="s">
        <v>535</v>
      </c>
      <c r="C1681" t="s">
        <v>659</v>
      </c>
    </row>
    <row r="1682" spans="1:3" x14ac:dyDescent="0.4">
      <c r="A1682">
        <v>90570</v>
      </c>
      <c r="B1682" t="s">
        <v>535</v>
      </c>
      <c r="C1682" t="s">
        <v>658</v>
      </c>
    </row>
    <row r="1683" spans="1:3" x14ac:dyDescent="0.4">
      <c r="A1683">
        <v>90571</v>
      </c>
      <c r="B1683" t="s">
        <v>535</v>
      </c>
      <c r="C1683" t="s">
        <v>657</v>
      </c>
    </row>
    <row r="1684" spans="1:3" x14ac:dyDescent="0.4">
      <c r="A1684">
        <v>90572</v>
      </c>
      <c r="B1684" t="s">
        <v>535</v>
      </c>
      <c r="C1684" t="s">
        <v>656</v>
      </c>
    </row>
    <row r="1685" spans="1:3" x14ac:dyDescent="0.4">
      <c r="A1685">
        <v>90573</v>
      </c>
      <c r="B1685" t="s">
        <v>535</v>
      </c>
      <c r="C1685" t="s">
        <v>655</v>
      </c>
    </row>
    <row r="1686" spans="1:3" x14ac:dyDescent="0.4">
      <c r="A1686">
        <v>90576</v>
      </c>
      <c r="B1686" t="s">
        <v>535</v>
      </c>
      <c r="C1686" t="s">
        <v>654</v>
      </c>
    </row>
    <row r="1687" spans="1:3" x14ac:dyDescent="0.4">
      <c r="A1687">
        <v>90577</v>
      </c>
      <c r="B1687" t="s">
        <v>535</v>
      </c>
      <c r="C1687" t="s">
        <v>653</v>
      </c>
    </row>
    <row r="1688" spans="1:3" x14ac:dyDescent="0.4">
      <c r="A1688">
        <v>90578</v>
      </c>
      <c r="B1688" t="s">
        <v>535</v>
      </c>
      <c r="C1688" t="s">
        <v>652</v>
      </c>
    </row>
    <row r="1689" spans="1:3" x14ac:dyDescent="0.4">
      <c r="A1689">
        <v>90579</v>
      </c>
      <c r="B1689" t="s">
        <v>535</v>
      </c>
      <c r="C1689" t="s">
        <v>651</v>
      </c>
    </row>
    <row r="1690" spans="1:3" x14ac:dyDescent="0.4">
      <c r="A1690">
        <v>90582</v>
      </c>
      <c r="B1690" t="s">
        <v>535</v>
      </c>
      <c r="C1690" t="s">
        <v>650</v>
      </c>
    </row>
    <row r="1691" spans="1:3" x14ac:dyDescent="0.4">
      <c r="A1691">
        <v>90583</v>
      </c>
      <c r="B1691" t="s">
        <v>535</v>
      </c>
      <c r="C1691" t="s">
        <v>649</v>
      </c>
    </row>
    <row r="1692" spans="1:3" x14ac:dyDescent="0.4">
      <c r="A1692">
        <v>90584</v>
      </c>
      <c r="B1692" t="s">
        <v>535</v>
      </c>
      <c r="C1692" t="s">
        <v>648</v>
      </c>
    </row>
    <row r="1693" spans="1:3" x14ac:dyDescent="0.4">
      <c r="A1693">
        <v>90585</v>
      </c>
      <c r="B1693" t="s">
        <v>535</v>
      </c>
      <c r="C1693" t="s">
        <v>647</v>
      </c>
    </row>
    <row r="1694" spans="1:3" x14ac:dyDescent="0.4">
      <c r="A1694">
        <v>90588</v>
      </c>
      <c r="B1694" t="s">
        <v>535</v>
      </c>
      <c r="C1694" t="s">
        <v>646</v>
      </c>
    </row>
    <row r="1695" spans="1:3" x14ac:dyDescent="0.4">
      <c r="A1695">
        <v>90589</v>
      </c>
      <c r="B1695" t="s">
        <v>535</v>
      </c>
      <c r="C1695" t="s">
        <v>645</v>
      </c>
    </row>
    <row r="1696" spans="1:3" x14ac:dyDescent="0.4">
      <c r="A1696">
        <v>90590</v>
      </c>
      <c r="B1696" t="s">
        <v>535</v>
      </c>
      <c r="C1696" t="s">
        <v>644</v>
      </c>
    </row>
    <row r="1697" spans="1:3" x14ac:dyDescent="0.4">
      <c r="A1697">
        <v>90591</v>
      </c>
      <c r="B1697" t="s">
        <v>535</v>
      </c>
      <c r="C1697" t="s">
        <v>643</v>
      </c>
    </row>
    <row r="1698" spans="1:3" x14ac:dyDescent="0.4">
      <c r="A1698">
        <v>90752</v>
      </c>
      <c r="B1698" t="s">
        <v>535</v>
      </c>
      <c r="C1698" t="s">
        <v>642</v>
      </c>
    </row>
    <row r="1699" spans="1:3" x14ac:dyDescent="0.4">
      <c r="A1699">
        <v>90861</v>
      </c>
      <c r="B1699" t="s">
        <v>535</v>
      </c>
      <c r="C1699" t="s">
        <v>641</v>
      </c>
    </row>
    <row r="1700" spans="1:3" x14ac:dyDescent="0.4">
      <c r="A1700">
        <v>90862</v>
      </c>
      <c r="B1700" t="s">
        <v>535</v>
      </c>
      <c r="C1700" t="s">
        <v>640</v>
      </c>
    </row>
    <row r="1701" spans="1:3" x14ac:dyDescent="0.4">
      <c r="A1701">
        <v>90912</v>
      </c>
      <c r="B1701" t="s">
        <v>535</v>
      </c>
      <c r="C1701" t="s">
        <v>639</v>
      </c>
    </row>
    <row r="1702" spans="1:3" x14ac:dyDescent="0.4">
      <c r="A1702">
        <v>90913</v>
      </c>
      <c r="B1702" t="s">
        <v>535</v>
      </c>
      <c r="C1702" t="s">
        <v>638</v>
      </c>
    </row>
    <row r="1703" spans="1:3" x14ac:dyDescent="0.4">
      <c r="A1703">
        <v>90914</v>
      </c>
      <c r="B1703" t="s">
        <v>535</v>
      </c>
      <c r="C1703" t="s">
        <v>637</v>
      </c>
    </row>
    <row r="1704" spans="1:3" x14ac:dyDescent="0.4">
      <c r="A1704">
        <v>90915</v>
      </c>
      <c r="B1704" t="s">
        <v>535</v>
      </c>
      <c r="C1704" t="s">
        <v>636</v>
      </c>
    </row>
    <row r="1705" spans="1:3" x14ac:dyDescent="0.4">
      <c r="A1705">
        <v>90916</v>
      </c>
      <c r="B1705" t="s">
        <v>535</v>
      </c>
      <c r="C1705" t="s">
        <v>635</v>
      </c>
    </row>
    <row r="1706" spans="1:3" x14ac:dyDescent="0.4">
      <c r="A1706">
        <v>90917</v>
      </c>
      <c r="B1706" t="s">
        <v>535</v>
      </c>
      <c r="C1706" t="s">
        <v>634</v>
      </c>
    </row>
    <row r="1707" spans="1:3" x14ac:dyDescent="0.4">
      <c r="A1707">
        <v>90918</v>
      </c>
      <c r="B1707" t="s">
        <v>535</v>
      </c>
      <c r="C1707" t="s">
        <v>633</v>
      </c>
    </row>
    <row r="1708" spans="1:3" x14ac:dyDescent="0.4">
      <c r="A1708">
        <v>90919</v>
      </c>
      <c r="B1708" t="s">
        <v>535</v>
      </c>
      <c r="C1708" t="s">
        <v>632</v>
      </c>
    </row>
    <row r="1709" spans="1:3" x14ac:dyDescent="0.4">
      <c r="A1709">
        <v>90920</v>
      </c>
      <c r="B1709" t="s">
        <v>535</v>
      </c>
      <c r="C1709" t="s">
        <v>631</v>
      </c>
    </row>
    <row r="1710" spans="1:3" x14ac:dyDescent="0.4">
      <c r="A1710">
        <v>90921</v>
      </c>
      <c r="B1710" t="s">
        <v>535</v>
      </c>
      <c r="C1710" t="s">
        <v>630</v>
      </c>
    </row>
    <row r="1711" spans="1:3" x14ac:dyDescent="0.4">
      <c r="A1711">
        <v>92396</v>
      </c>
      <c r="B1711" t="s">
        <v>535</v>
      </c>
      <c r="C1711" t="s">
        <v>629</v>
      </c>
    </row>
    <row r="1712" spans="1:3" x14ac:dyDescent="0.4">
      <c r="A1712">
        <v>92397</v>
      </c>
      <c r="B1712" t="s">
        <v>535</v>
      </c>
      <c r="C1712" t="s">
        <v>628</v>
      </c>
    </row>
    <row r="1713" spans="1:3" x14ac:dyDescent="0.4">
      <c r="A1713">
        <v>92528</v>
      </c>
      <c r="B1713" t="s">
        <v>535</v>
      </c>
      <c r="C1713" t="s">
        <v>627</v>
      </c>
    </row>
    <row r="1714" spans="1:3" x14ac:dyDescent="0.4">
      <c r="A1714">
        <v>92529</v>
      </c>
      <c r="B1714" t="s">
        <v>535</v>
      </c>
      <c r="C1714" t="s">
        <v>626</v>
      </c>
    </row>
    <row r="1715" spans="1:3" x14ac:dyDescent="0.4">
      <c r="A1715">
        <v>92530</v>
      </c>
      <c r="B1715" t="s">
        <v>535</v>
      </c>
      <c r="C1715" t="s">
        <v>625</v>
      </c>
    </row>
    <row r="1716" spans="1:3" x14ac:dyDescent="0.4">
      <c r="A1716">
        <v>92531</v>
      </c>
      <c r="B1716" t="s">
        <v>535</v>
      </c>
      <c r="C1716" t="s">
        <v>624</v>
      </c>
    </row>
    <row r="1717" spans="1:3" x14ac:dyDescent="0.4">
      <c r="A1717">
        <v>92532</v>
      </c>
      <c r="B1717" t="s">
        <v>535</v>
      </c>
      <c r="C1717" t="s">
        <v>623</v>
      </c>
    </row>
    <row r="1718" spans="1:3" x14ac:dyDescent="0.4">
      <c r="A1718">
        <v>92533</v>
      </c>
      <c r="B1718" t="s">
        <v>535</v>
      </c>
      <c r="C1718" t="s">
        <v>622</v>
      </c>
    </row>
    <row r="1719" spans="1:3" x14ac:dyDescent="0.4">
      <c r="A1719">
        <v>92534</v>
      </c>
      <c r="B1719" t="s">
        <v>535</v>
      </c>
      <c r="C1719" t="s">
        <v>621</v>
      </c>
    </row>
    <row r="1720" spans="1:3" x14ac:dyDescent="0.4">
      <c r="A1720">
        <v>92535</v>
      </c>
      <c r="B1720" t="s">
        <v>535</v>
      </c>
      <c r="C1720" t="s">
        <v>620</v>
      </c>
    </row>
    <row r="1721" spans="1:3" x14ac:dyDescent="0.4">
      <c r="A1721">
        <v>92536</v>
      </c>
      <c r="B1721" t="s">
        <v>535</v>
      </c>
      <c r="C1721" t="s">
        <v>619</v>
      </c>
    </row>
    <row r="1722" spans="1:3" x14ac:dyDescent="0.4">
      <c r="A1722">
        <v>92537</v>
      </c>
      <c r="B1722" t="s">
        <v>535</v>
      </c>
      <c r="C1722" t="s">
        <v>618</v>
      </c>
    </row>
    <row r="1723" spans="1:3" x14ac:dyDescent="0.4">
      <c r="A1723">
        <v>92538</v>
      </c>
      <c r="B1723" t="s">
        <v>535</v>
      </c>
      <c r="C1723" t="s">
        <v>617</v>
      </c>
    </row>
    <row r="1724" spans="1:3" x14ac:dyDescent="0.4">
      <c r="A1724">
        <v>92539</v>
      </c>
      <c r="B1724" t="s">
        <v>535</v>
      </c>
      <c r="C1724" t="s">
        <v>616</v>
      </c>
    </row>
    <row r="1725" spans="1:3" x14ac:dyDescent="0.4">
      <c r="A1725">
        <v>92540</v>
      </c>
      <c r="B1725" t="s">
        <v>535</v>
      </c>
      <c r="C1725" t="s">
        <v>615</v>
      </c>
    </row>
    <row r="1726" spans="1:3" x14ac:dyDescent="0.4">
      <c r="A1726">
        <v>92541</v>
      </c>
      <c r="B1726" t="s">
        <v>535</v>
      </c>
      <c r="C1726" t="s">
        <v>614</v>
      </c>
    </row>
    <row r="1727" spans="1:3" x14ac:dyDescent="0.4">
      <c r="A1727">
        <v>92544</v>
      </c>
      <c r="B1727" t="s">
        <v>535</v>
      </c>
      <c r="C1727" t="s">
        <v>613</v>
      </c>
    </row>
    <row r="1728" spans="1:3" x14ac:dyDescent="0.4">
      <c r="A1728">
        <v>92545</v>
      </c>
      <c r="B1728" t="s">
        <v>535</v>
      </c>
      <c r="C1728" t="s">
        <v>612</v>
      </c>
    </row>
    <row r="1729" spans="1:3" x14ac:dyDescent="0.4">
      <c r="A1729">
        <v>92548</v>
      </c>
      <c r="B1729" t="s">
        <v>535</v>
      </c>
      <c r="C1729" t="s">
        <v>611</v>
      </c>
    </row>
    <row r="1730" spans="1:3" x14ac:dyDescent="0.4">
      <c r="A1730">
        <v>92549</v>
      </c>
      <c r="B1730" t="s">
        <v>535</v>
      </c>
      <c r="C1730" t="s">
        <v>610</v>
      </c>
    </row>
    <row r="1731" spans="1:3" x14ac:dyDescent="0.4">
      <c r="A1731">
        <v>92552</v>
      </c>
      <c r="B1731" t="s">
        <v>535</v>
      </c>
      <c r="C1731" t="s">
        <v>609</v>
      </c>
    </row>
    <row r="1732" spans="1:3" x14ac:dyDescent="0.4">
      <c r="A1732">
        <v>92553</v>
      </c>
      <c r="B1732" t="s">
        <v>535</v>
      </c>
      <c r="C1732" t="s">
        <v>608</v>
      </c>
    </row>
    <row r="1733" spans="1:3" x14ac:dyDescent="0.4">
      <c r="A1733">
        <v>92554</v>
      </c>
      <c r="B1733" t="s">
        <v>535</v>
      </c>
      <c r="C1733" t="s">
        <v>607</v>
      </c>
    </row>
    <row r="1734" spans="1:3" x14ac:dyDescent="0.4">
      <c r="A1734">
        <v>92555</v>
      </c>
      <c r="B1734" t="s">
        <v>535</v>
      </c>
      <c r="C1734" t="s">
        <v>606</v>
      </c>
    </row>
    <row r="1735" spans="1:3" x14ac:dyDescent="0.4">
      <c r="A1735">
        <v>92560</v>
      </c>
      <c r="B1735" t="s">
        <v>535</v>
      </c>
      <c r="C1735" t="s">
        <v>605</v>
      </c>
    </row>
    <row r="1736" spans="1:3" x14ac:dyDescent="0.4">
      <c r="A1736">
        <v>92561</v>
      </c>
      <c r="B1736" t="s">
        <v>535</v>
      </c>
      <c r="C1736" t="s">
        <v>604</v>
      </c>
    </row>
    <row r="1737" spans="1:3" x14ac:dyDescent="0.4">
      <c r="A1737">
        <v>92562</v>
      </c>
      <c r="B1737" t="s">
        <v>535</v>
      </c>
      <c r="C1737" t="s">
        <v>603</v>
      </c>
    </row>
    <row r="1738" spans="1:3" x14ac:dyDescent="0.4">
      <c r="A1738">
        <v>92563</v>
      </c>
      <c r="B1738" t="s">
        <v>535</v>
      </c>
      <c r="C1738" t="s">
        <v>602</v>
      </c>
    </row>
    <row r="1739" spans="1:3" x14ac:dyDescent="0.4">
      <c r="A1739">
        <v>92564</v>
      </c>
      <c r="B1739" t="s">
        <v>535</v>
      </c>
      <c r="C1739" t="s">
        <v>601</v>
      </c>
    </row>
    <row r="1740" spans="1:3" x14ac:dyDescent="0.4">
      <c r="A1740">
        <v>92565</v>
      </c>
      <c r="B1740" t="s">
        <v>535</v>
      </c>
      <c r="C1740" t="s">
        <v>600</v>
      </c>
    </row>
    <row r="1741" spans="1:3" x14ac:dyDescent="0.4">
      <c r="A1741">
        <v>92566</v>
      </c>
      <c r="B1741" t="s">
        <v>535</v>
      </c>
      <c r="C1741" t="s">
        <v>599</v>
      </c>
    </row>
    <row r="1742" spans="1:3" x14ac:dyDescent="0.4">
      <c r="A1742">
        <v>92567</v>
      </c>
      <c r="B1742" t="s">
        <v>535</v>
      </c>
      <c r="C1742" t="s">
        <v>598</v>
      </c>
    </row>
    <row r="1743" spans="1:3" x14ac:dyDescent="0.4">
      <c r="A1743">
        <v>92570</v>
      </c>
      <c r="B1743" t="s">
        <v>535</v>
      </c>
      <c r="C1743" t="s">
        <v>597</v>
      </c>
    </row>
    <row r="1744" spans="1:3" x14ac:dyDescent="0.4">
      <c r="A1744">
        <v>92571</v>
      </c>
      <c r="B1744" t="s">
        <v>535</v>
      </c>
      <c r="C1744" t="s">
        <v>596</v>
      </c>
    </row>
    <row r="1745" spans="1:3" x14ac:dyDescent="0.4">
      <c r="A1745">
        <v>92572</v>
      </c>
      <c r="B1745" t="s">
        <v>535</v>
      </c>
      <c r="C1745" t="s">
        <v>595</v>
      </c>
    </row>
    <row r="1746" spans="1:3" x14ac:dyDescent="0.4">
      <c r="A1746">
        <v>92573</v>
      </c>
      <c r="B1746" t="s">
        <v>535</v>
      </c>
      <c r="C1746" t="s">
        <v>594</v>
      </c>
    </row>
    <row r="1747" spans="1:3" x14ac:dyDescent="0.4">
      <c r="A1747">
        <v>92576</v>
      </c>
      <c r="B1747" t="s">
        <v>535</v>
      </c>
      <c r="C1747" t="s">
        <v>593</v>
      </c>
    </row>
    <row r="1748" spans="1:3" x14ac:dyDescent="0.4">
      <c r="A1748">
        <v>92577</v>
      </c>
      <c r="B1748" t="s">
        <v>535</v>
      </c>
      <c r="C1748" t="s">
        <v>592</v>
      </c>
    </row>
    <row r="1749" spans="1:3" x14ac:dyDescent="0.4">
      <c r="A1749">
        <v>92578</v>
      </c>
      <c r="B1749" t="s">
        <v>535</v>
      </c>
      <c r="C1749" t="s">
        <v>591</v>
      </c>
    </row>
    <row r="1750" spans="1:3" x14ac:dyDescent="0.4">
      <c r="A1750">
        <v>92579</v>
      </c>
      <c r="B1750" t="s">
        <v>535</v>
      </c>
      <c r="C1750" t="s">
        <v>590</v>
      </c>
    </row>
    <row r="1751" spans="1:3" x14ac:dyDescent="0.4">
      <c r="A1751">
        <v>92582</v>
      </c>
      <c r="B1751" t="s">
        <v>535</v>
      </c>
      <c r="C1751" t="s">
        <v>589</v>
      </c>
    </row>
    <row r="1752" spans="1:3" x14ac:dyDescent="0.4">
      <c r="A1752">
        <v>92583</v>
      </c>
      <c r="B1752" t="s">
        <v>535</v>
      </c>
      <c r="C1752" t="s">
        <v>588</v>
      </c>
    </row>
    <row r="1753" spans="1:3" x14ac:dyDescent="0.4">
      <c r="A1753">
        <v>92584</v>
      </c>
      <c r="B1753" t="s">
        <v>535</v>
      </c>
      <c r="C1753" t="s">
        <v>587</v>
      </c>
    </row>
    <row r="1754" spans="1:3" x14ac:dyDescent="0.4">
      <c r="A1754">
        <v>92585</v>
      </c>
      <c r="B1754" t="s">
        <v>535</v>
      </c>
      <c r="C1754" t="s">
        <v>586</v>
      </c>
    </row>
    <row r="1755" spans="1:3" x14ac:dyDescent="0.4">
      <c r="A1755">
        <v>92588</v>
      </c>
      <c r="B1755" t="s">
        <v>535</v>
      </c>
      <c r="C1755" t="s">
        <v>585</v>
      </c>
    </row>
    <row r="1756" spans="1:3" x14ac:dyDescent="0.4">
      <c r="A1756">
        <v>92589</v>
      </c>
      <c r="B1756" t="s">
        <v>535</v>
      </c>
      <c r="C1756" t="s">
        <v>584</v>
      </c>
    </row>
    <row r="1757" spans="1:3" x14ac:dyDescent="0.4">
      <c r="A1757">
        <v>92590</v>
      </c>
      <c r="B1757" t="s">
        <v>535</v>
      </c>
      <c r="C1757" t="s">
        <v>583</v>
      </c>
    </row>
    <row r="1758" spans="1:3" x14ac:dyDescent="0.4">
      <c r="A1758">
        <v>92591</v>
      </c>
      <c r="B1758" t="s">
        <v>535</v>
      </c>
      <c r="C1758" t="s">
        <v>582</v>
      </c>
    </row>
    <row r="1759" spans="1:3" x14ac:dyDescent="0.4">
      <c r="A1759">
        <v>92752</v>
      </c>
      <c r="B1759" t="s">
        <v>535</v>
      </c>
      <c r="C1759" t="s">
        <v>581</v>
      </c>
    </row>
    <row r="1760" spans="1:3" x14ac:dyDescent="0.4">
      <c r="A1760">
        <v>92861</v>
      </c>
      <c r="B1760" t="s">
        <v>535</v>
      </c>
      <c r="C1760" t="s">
        <v>580</v>
      </c>
    </row>
    <row r="1761" spans="1:3" x14ac:dyDescent="0.4">
      <c r="A1761">
        <v>92862</v>
      </c>
      <c r="B1761" t="s">
        <v>535</v>
      </c>
      <c r="C1761" t="s">
        <v>579</v>
      </c>
    </row>
    <row r="1762" spans="1:3" x14ac:dyDescent="0.4">
      <c r="A1762">
        <v>92912</v>
      </c>
      <c r="B1762" t="s">
        <v>535</v>
      </c>
      <c r="C1762" t="s">
        <v>578</v>
      </c>
    </row>
    <row r="1763" spans="1:3" x14ac:dyDescent="0.4">
      <c r="A1763">
        <v>92913</v>
      </c>
      <c r="B1763" t="s">
        <v>535</v>
      </c>
      <c r="C1763" t="s">
        <v>577</v>
      </c>
    </row>
    <row r="1764" spans="1:3" x14ac:dyDescent="0.4">
      <c r="A1764">
        <v>92914</v>
      </c>
      <c r="B1764" t="s">
        <v>535</v>
      </c>
      <c r="C1764" t="s">
        <v>576</v>
      </c>
    </row>
    <row r="1765" spans="1:3" x14ac:dyDescent="0.4">
      <c r="A1765">
        <v>92915</v>
      </c>
      <c r="B1765" t="s">
        <v>535</v>
      </c>
      <c r="C1765" t="s">
        <v>575</v>
      </c>
    </row>
    <row r="1766" spans="1:3" x14ac:dyDescent="0.4">
      <c r="A1766">
        <v>92916</v>
      </c>
      <c r="B1766" t="s">
        <v>535</v>
      </c>
      <c r="C1766" t="s">
        <v>574</v>
      </c>
    </row>
    <row r="1767" spans="1:3" x14ac:dyDescent="0.4">
      <c r="A1767">
        <v>92917</v>
      </c>
      <c r="B1767" t="s">
        <v>535</v>
      </c>
      <c r="C1767" t="s">
        <v>573</v>
      </c>
    </row>
    <row r="1768" spans="1:3" x14ac:dyDescent="0.4">
      <c r="A1768">
        <v>92918</v>
      </c>
      <c r="B1768" t="s">
        <v>535</v>
      </c>
      <c r="C1768" t="s">
        <v>572</v>
      </c>
    </row>
    <row r="1769" spans="1:3" x14ac:dyDescent="0.4">
      <c r="A1769">
        <v>92919</v>
      </c>
      <c r="B1769" t="s">
        <v>535</v>
      </c>
      <c r="C1769" t="s">
        <v>571</v>
      </c>
    </row>
    <row r="1770" spans="1:3" x14ac:dyDescent="0.4">
      <c r="A1770">
        <v>92920</v>
      </c>
      <c r="B1770" t="s">
        <v>535</v>
      </c>
      <c r="C1770" t="s">
        <v>570</v>
      </c>
    </row>
    <row r="1771" spans="1:3" x14ac:dyDescent="0.4">
      <c r="A1771">
        <v>92921</v>
      </c>
      <c r="B1771" t="s">
        <v>535</v>
      </c>
      <c r="C1771" t="s">
        <v>569</v>
      </c>
    </row>
    <row r="1772" spans="1:3" x14ac:dyDescent="0.4">
      <c r="A1772">
        <v>94152</v>
      </c>
      <c r="B1772" t="s">
        <v>535</v>
      </c>
      <c r="C1772" t="s">
        <v>568</v>
      </c>
    </row>
    <row r="1773" spans="1:3" x14ac:dyDescent="0.4">
      <c r="A1773">
        <v>94153</v>
      </c>
      <c r="B1773" t="s">
        <v>535</v>
      </c>
      <c r="C1773" t="s">
        <v>567</v>
      </c>
    </row>
    <row r="1774" spans="1:3" x14ac:dyDescent="0.4">
      <c r="A1774">
        <v>94154</v>
      </c>
      <c r="B1774" t="s">
        <v>535</v>
      </c>
      <c r="C1774" t="s">
        <v>566</v>
      </c>
    </row>
    <row r="1775" spans="1:3" x14ac:dyDescent="0.4">
      <c r="A1775">
        <v>94155</v>
      </c>
      <c r="B1775" t="s">
        <v>535</v>
      </c>
      <c r="C1775" t="s">
        <v>565</v>
      </c>
    </row>
    <row r="1776" spans="1:3" x14ac:dyDescent="0.4">
      <c r="A1776">
        <v>94156</v>
      </c>
      <c r="B1776" t="s">
        <v>535</v>
      </c>
      <c r="C1776" t="s">
        <v>564</v>
      </c>
    </row>
    <row r="1777" spans="1:3" x14ac:dyDescent="0.4">
      <c r="A1777">
        <v>94157</v>
      </c>
      <c r="B1777" t="s">
        <v>535</v>
      </c>
      <c r="C1777" t="s">
        <v>563</v>
      </c>
    </row>
    <row r="1778" spans="1:3" x14ac:dyDescent="0.4">
      <c r="A1778">
        <v>94158</v>
      </c>
      <c r="B1778" t="s">
        <v>535</v>
      </c>
      <c r="C1778" t="s">
        <v>562</v>
      </c>
    </row>
    <row r="1779" spans="1:3" x14ac:dyDescent="0.4">
      <c r="A1779">
        <v>94159</v>
      </c>
      <c r="B1779" t="s">
        <v>535</v>
      </c>
      <c r="C1779" t="s">
        <v>561</v>
      </c>
    </row>
    <row r="1780" spans="1:3" x14ac:dyDescent="0.4">
      <c r="A1780">
        <v>94160</v>
      </c>
      <c r="B1780" t="s">
        <v>535</v>
      </c>
      <c r="C1780" t="s">
        <v>560</v>
      </c>
    </row>
    <row r="1781" spans="1:3" x14ac:dyDescent="0.4">
      <c r="A1781">
        <v>94161</v>
      </c>
      <c r="B1781" t="s">
        <v>535</v>
      </c>
      <c r="C1781" t="s">
        <v>559</v>
      </c>
    </row>
    <row r="1782" spans="1:3" x14ac:dyDescent="0.4">
      <c r="A1782">
        <v>94162</v>
      </c>
      <c r="B1782" t="s">
        <v>535</v>
      </c>
      <c r="C1782" t="s">
        <v>558</v>
      </c>
    </row>
    <row r="1783" spans="1:3" x14ac:dyDescent="0.4">
      <c r="A1783">
        <v>94163</v>
      </c>
      <c r="B1783" t="s">
        <v>535</v>
      </c>
      <c r="C1783" t="s">
        <v>557</v>
      </c>
    </row>
    <row r="1784" spans="1:3" x14ac:dyDescent="0.4">
      <c r="A1784">
        <v>95152</v>
      </c>
      <c r="B1784" t="s">
        <v>535</v>
      </c>
      <c r="C1784" t="s">
        <v>556</v>
      </c>
    </row>
    <row r="1785" spans="1:3" x14ac:dyDescent="0.4">
      <c r="A1785">
        <v>95153</v>
      </c>
      <c r="B1785" t="s">
        <v>535</v>
      </c>
      <c r="C1785" t="s">
        <v>555</v>
      </c>
    </row>
    <row r="1786" spans="1:3" x14ac:dyDescent="0.4">
      <c r="A1786">
        <v>95154</v>
      </c>
      <c r="B1786" t="s">
        <v>535</v>
      </c>
      <c r="C1786" t="s">
        <v>554</v>
      </c>
    </row>
    <row r="1787" spans="1:3" x14ac:dyDescent="0.4">
      <c r="A1787">
        <v>95155</v>
      </c>
      <c r="B1787" t="s">
        <v>535</v>
      </c>
      <c r="C1787" t="s">
        <v>553</v>
      </c>
    </row>
    <row r="1788" spans="1:3" x14ac:dyDescent="0.4">
      <c r="A1788">
        <v>95156</v>
      </c>
      <c r="B1788" t="s">
        <v>535</v>
      </c>
      <c r="C1788" t="s">
        <v>552</v>
      </c>
    </row>
    <row r="1789" spans="1:3" x14ac:dyDescent="0.4">
      <c r="A1789">
        <v>95157</v>
      </c>
      <c r="B1789" t="s">
        <v>535</v>
      </c>
      <c r="C1789" t="s">
        <v>551</v>
      </c>
    </row>
    <row r="1790" spans="1:3" x14ac:dyDescent="0.4">
      <c r="A1790">
        <v>95158</v>
      </c>
      <c r="B1790" t="s">
        <v>535</v>
      </c>
      <c r="C1790" t="s">
        <v>550</v>
      </c>
    </row>
    <row r="1791" spans="1:3" x14ac:dyDescent="0.4">
      <c r="A1791">
        <v>95159</v>
      </c>
      <c r="B1791" t="s">
        <v>535</v>
      </c>
      <c r="C1791" t="s">
        <v>549</v>
      </c>
    </row>
    <row r="1792" spans="1:3" x14ac:dyDescent="0.4">
      <c r="A1792">
        <v>95160</v>
      </c>
      <c r="B1792" t="s">
        <v>535</v>
      </c>
      <c r="C1792" t="s">
        <v>548</v>
      </c>
    </row>
    <row r="1793" spans="1:3" x14ac:dyDescent="0.4">
      <c r="A1793">
        <v>95161</v>
      </c>
      <c r="B1793" t="s">
        <v>535</v>
      </c>
      <c r="C1793" t="s">
        <v>547</v>
      </c>
    </row>
    <row r="1794" spans="1:3" x14ac:dyDescent="0.4">
      <c r="A1794">
        <v>95162</v>
      </c>
      <c r="B1794" t="s">
        <v>535</v>
      </c>
      <c r="C1794" t="s">
        <v>546</v>
      </c>
    </row>
    <row r="1795" spans="1:3" x14ac:dyDescent="0.4">
      <c r="A1795">
        <v>95163</v>
      </c>
      <c r="B1795" t="s">
        <v>535</v>
      </c>
      <c r="C1795" t="s">
        <v>545</v>
      </c>
    </row>
    <row r="1796" spans="1:3" x14ac:dyDescent="0.4">
      <c r="A1796">
        <v>97157</v>
      </c>
      <c r="B1796" t="s">
        <v>535</v>
      </c>
      <c r="C1796" t="s">
        <v>544</v>
      </c>
    </row>
    <row r="1797" spans="1:3" x14ac:dyDescent="0.4">
      <c r="A1797">
        <v>98000</v>
      </c>
      <c r="B1797" t="s">
        <v>535</v>
      </c>
      <c r="C1797" t="s">
        <v>543</v>
      </c>
    </row>
    <row r="1798" spans="1:3" x14ac:dyDescent="0.4">
      <c r="A1798">
        <v>98001</v>
      </c>
      <c r="B1798" t="s">
        <v>535</v>
      </c>
      <c r="C1798" t="s">
        <v>542</v>
      </c>
    </row>
    <row r="1799" spans="1:3" x14ac:dyDescent="0.4">
      <c r="A1799">
        <v>98002</v>
      </c>
      <c r="B1799" t="s">
        <v>535</v>
      </c>
      <c r="C1799" t="s">
        <v>541</v>
      </c>
    </row>
    <row r="1800" spans="1:3" x14ac:dyDescent="0.4">
      <c r="A1800">
        <v>98003</v>
      </c>
      <c r="B1800" t="s">
        <v>535</v>
      </c>
      <c r="C1800" t="s">
        <v>540</v>
      </c>
    </row>
    <row r="1801" spans="1:3" x14ac:dyDescent="0.4">
      <c r="A1801">
        <v>98004</v>
      </c>
      <c r="B1801" t="s">
        <v>535</v>
      </c>
      <c r="C1801" t="s">
        <v>539</v>
      </c>
    </row>
    <row r="1802" spans="1:3" x14ac:dyDescent="0.4">
      <c r="A1802">
        <v>98005</v>
      </c>
      <c r="B1802" t="s">
        <v>535</v>
      </c>
      <c r="C1802" t="s">
        <v>538</v>
      </c>
    </row>
    <row r="1803" spans="1:3" x14ac:dyDescent="0.4">
      <c r="A1803">
        <v>98006</v>
      </c>
      <c r="B1803" t="s">
        <v>535</v>
      </c>
      <c r="C1803" t="s">
        <v>537</v>
      </c>
    </row>
    <row r="1804" spans="1:3" x14ac:dyDescent="0.4">
      <c r="A1804">
        <v>98007</v>
      </c>
      <c r="B1804" t="s">
        <v>535</v>
      </c>
      <c r="C1804" t="s">
        <v>536</v>
      </c>
    </row>
    <row r="1805" spans="1:3" x14ac:dyDescent="0.4">
      <c r="A1805">
        <v>98008</v>
      </c>
      <c r="B1805" t="s">
        <v>535</v>
      </c>
      <c r="C1805" t="s">
        <v>534</v>
      </c>
    </row>
    <row r="1806" spans="1:3" x14ac:dyDescent="0.4">
      <c r="A1806">
        <v>100000</v>
      </c>
      <c r="B1806" t="s">
        <v>274</v>
      </c>
      <c r="C1806" t="s">
        <v>533</v>
      </c>
    </row>
    <row r="1807" spans="1:3" x14ac:dyDescent="0.4">
      <c r="A1807">
        <v>100001</v>
      </c>
      <c r="B1807" t="s">
        <v>274</v>
      </c>
      <c r="C1807" t="s">
        <v>532</v>
      </c>
    </row>
    <row r="1808" spans="1:3" x14ac:dyDescent="0.4">
      <c r="A1808">
        <v>100002</v>
      </c>
      <c r="B1808" t="s">
        <v>274</v>
      </c>
      <c r="C1808" t="s">
        <v>531</v>
      </c>
    </row>
    <row r="1809" spans="1:3" x14ac:dyDescent="0.4">
      <c r="A1809">
        <v>100003</v>
      </c>
      <c r="B1809" t="s">
        <v>274</v>
      </c>
      <c r="C1809" t="s">
        <v>530</v>
      </c>
    </row>
    <row r="1810" spans="1:3" x14ac:dyDescent="0.4">
      <c r="A1810">
        <v>100004</v>
      </c>
      <c r="B1810" t="s">
        <v>274</v>
      </c>
      <c r="C1810" t="s">
        <v>529</v>
      </c>
    </row>
    <row r="1811" spans="1:3" x14ac:dyDescent="0.4">
      <c r="A1811">
        <v>100005</v>
      </c>
      <c r="B1811" t="s">
        <v>274</v>
      </c>
      <c r="C1811" t="s">
        <v>528</v>
      </c>
    </row>
    <row r="1812" spans="1:3" x14ac:dyDescent="0.4">
      <c r="A1812">
        <v>100006</v>
      </c>
      <c r="B1812" t="s">
        <v>274</v>
      </c>
      <c r="C1812" t="s">
        <v>527</v>
      </c>
    </row>
    <row r="1813" spans="1:3" x14ac:dyDescent="0.4">
      <c r="A1813">
        <v>100007</v>
      </c>
      <c r="B1813" t="s">
        <v>274</v>
      </c>
      <c r="C1813" t="s">
        <v>526</v>
      </c>
    </row>
    <row r="1814" spans="1:3" x14ac:dyDescent="0.4">
      <c r="A1814">
        <v>100008</v>
      </c>
      <c r="B1814" t="s">
        <v>274</v>
      </c>
      <c r="C1814" t="s">
        <v>525</v>
      </c>
    </row>
    <row r="1815" spans="1:3" x14ac:dyDescent="0.4">
      <c r="A1815">
        <v>100009</v>
      </c>
      <c r="B1815" t="s">
        <v>274</v>
      </c>
      <c r="C1815" t="s">
        <v>524</v>
      </c>
    </row>
    <row r="1816" spans="1:3" x14ac:dyDescent="0.4">
      <c r="A1816">
        <v>100010</v>
      </c>
      <c r="B1816" t="s">
        <v>274</v>
      </c>
      <c r="C1816" t="s">
        <v>523</v>
      </c>
    </row>
    <row r="1817" spans="1:3" x14ac:dyDescent="0.4">
      <c r="A1817">
        <v>100011</v>
      </c>
      <c r="B1817" t="s">
        <v>274</v>
      </c>
      <c r="C1817" t="s">
        <v>522</v>
      </c>
    </row>
    <row r="1818" spans="1:3" x14ac:dyDescent="0.4">
      <c r="A1818">
        <v>100012</v>
      </c>
      <c r="B1818" t="s">
        <v>274</v>
      </c>
      <c r="C1818" t="s">
        <v>521</v>
      </c>
    </row>
    <row r="1819" spans="1:3" x14ac:dyDescent="0.4">
      <c r="A1819">
        <v>100013</v>
      </c>
      <c r="B1819" t="s">
        <v>274</v>
      </c>
      <c r="C1819" t="s">
        <v>520</v>
      </c>
    </row>
    <row r="1820" spans="1:3" x14ac:dyDescent="0.4">
      <c r="A1820">
        <v>100014</v>
      </c>
      <c r="B1820" t="s">
        <v>274</v>
      </c>
      <c r="C1820" t="s">
        <v>519</v>
      </c>
    </row>
    <row r="1821" spans="1:3" x14ac:dyDescent="0.4">
      <c r="A1821">
        <v>100015</v>
      </c>
      <c r="B1821" t="s">
        <v>274</v>
      </c>
      <c r="C1821" t="s">
        <v>518</v>
      </c>
    </row>
    <row r="1822" spans="1:3" x14ac:dyDescent="0.4">
      <c r="A1822">
        <v>100016</v>
      </c>
      <c r="B1822" t="s">
        <v>274</v>
      </c>
      <c r="C1822" t="s">
        <v>517</v>
      </c>
    </row>
    <row r="1823" spans="1:3" x14ac:dyDescent="0.4">
      <c r="A1823">
        <v>100017</v>
      </c>
      <c r="B1823" t="s">
        <v>274</v>
      </c>
      <c r="C1823" t="s">
        <v>516</v>
      </c>
    </row>
    <row r="1824" spans="1:3" x14ac:dyDescent="0.4">
      <c r="A1824">
        <v>100018</v>
      </c>
      <c r="B1824" t="s">
        <v>274</v>
      </c>
      <c r="C1824" t="s">
        <v>515</v>
      </c>
    </row>
    <row r="1825" spans="1:3" x14ac:dyDescent="0.4">
      <c r="A1825">
        <v>100019</v>
      </c>
      <c r="B1825" t="s">
        <v>274</v>
      </c>
      <c r="C1825" t="s">
        <v>514</v>
      </c>
    </row>
    <row r="1826" spans="1:3" x14ac:dyDescent="0.4">
      <c r="A1826">
        <v>100020</v>
      </c>
      <c r="B1826" t="s">
        <v>274</v>
      </c>
      <c r="C1826" t="s">
        <v>513</v>
      </c>
    </row>
    <row r="1827" spans="1:3" x14ac:dyDescent="0.4">
      <c r="A1827">
        <v>100021</v>
      </c>
      <c r="B1827" t="s">
        <v>274</v>
      </c>
      <c r="C1827" t="s">
        <v>512</v>
      </c>
    </row>
    <row r="1828" spans="1:3" x14ac:dyDescent="0.4">
      <c r="A1828">
        <v>100022</v>
      </c>
      <c r="B1828" t="s">
        <v>274</v>
      </c>
      <c r="C1828" t="s">
        <v>511</v>
      </c>
    </row>
    <row r="1829" spans="1:3" x14ac:dyDescent="0.4">
      <c r="A1829">
        <v>100023</v>
      </c>
      <c r="B1829" t="s">
        <v>274</v>
      </c>
      <c r="C1829" t="s">
        <v>510</v>
      </c>
    </row>
    <row r="1830" spans="1:3" x14ac:dyDescent="0.4">
      <c r="A1830">
        <v>100024</v>
      </c>
      <c r="B1830" t="s">
        <v>274</v>
      </c>
      <c r="C1830" t="s">
        <v>509</v>
      </c>
    </row>
    <row r="1831" spans="1:3" x14ac:dyDescent="0.4">
      <c r="A1831">
        <v>100025</v>
      </c>
      <c r="B1831" t="s">
        <v>274</v>
      </c>
      <c r="C1831" t="s">
        <v>508</v>
      </c>
    </row>
    <row r="1832" spans="1:3" x14ac:dyDescent="0.4">
      <c r="A1832">
        <v>101000</v>
      </c>
      <c r="B1832" t="s">
        <v>274</v>
      </c>
      <c r="C1832" t="s">
        <v>507</v>
      </c>
    </row>
    <row r="1833" spans="1:3" x14ac:dyDescent="0.4">
      <c r="A1833">
        <v>101001</v>
      </c>
      <c r="B1833" t="s">
        <v>274</v>
      </c>
      <c r="C1833" t="s">
        <v>506</v>
      </c>
    </row>
    <row r="1834" spans="1:3" x14ac:dyDescent="0.4">
      <c r="A1834">
        <v>101002</v>
      </c>
      <c r="B1834" t="s">
        <v>274</v>
      </c>
      <c r="C1834" t="s">
        <v>505</v>
      </c>
    </row>
    <row r="1835" spans="1:3" x14ac:dyDescent="0.4">
      <c r="A1835">
        <v>101003</v>
      </c>
      <c r="B1835" t="s">
        <v>274</v>
      </c>
      <c r="C1835" t="s">
        <v>504</v>
      </c>
    </row>
    <row r="1836" spans="1:3" x14ac:dyDescent="0.4">
      <c r="A1836">
        <v>101004</v>
      </c>
      <c r="B1836" t="s">
        <v>274</v>
      </c>
      <c r="C1836" t="s">
        <v>503</v>
      </c>
    </row>
    <row r="1837" spans="1:3" x14ac:dyDescent="0.4">
      <c r="A1837">
        <v>101005</v>
      </c>
      <c r="B1837" t="s">
        <v>274</v>
      </c>
      <c r="C1837" t="s">
        <v>502</v>
      </c>
    </row>
    <row r="1838" spans="1:3" x14ac:dyDescent="0.4">
      <c r="A1838">
        <v>101006</v>
      </c>
      <c r="B1838" t="s">
        <v>274</v>
      </c>
      <c r="C1838" t="s">
        <v>501</v>
      </c>
    </row>
    <row r="1839" spans="1:3" x14ac:dyDescent="0.4">
      <c r="A1839">
        <v>101007</v>
      </c>
      <c r="B1839" t="s">
        <v>274</v>
      </c>
      <c r="C1839" t="s">
        <v>500</v>
      </c>
    </row>
    <row r="1840" spans="1:3" x14ac:dyDescent="0.4">
      <c r="A1840">
        <v>101008</v>
      </c>
      <c r="B1840" t="s">
        <v>274</v>
      </c>
      <c r="C1840" t="s">
        <v>499</v>
      </c>
    </row>
    <row r="1841" spans="1:3" x14ac:dyDescent="0.4">
      <c r="A1841">
        <v>101009</v>
      </c>
      <c r="B1841" t="s">
        <v>274</v>
      </c>
      <c r="C1841" t="s">
        <v>498</v>
      </c>
    </row>
    <row r="1842" spans="1:3" x14ac:dyDescent="0.4">
      <c r="A1842">
        <v>101010</v>
      </c>
      <c r="B1842" t="s">
        <v>274</v>
      </c>
      <c r="C1842" t="s">
        <v>497</v>
      </c>
    </row>
    <row r="1843" spans="1:3" x14ac:dyDescent="0.4">
      <c r="A1843">
        <v>101011</v>
      </c>
      <c r="B1843" t="s">
        <v>274</v>
      </c>
      <c r="C1843" t="s">
        <v>496</v>
      </c>
    </row>
    <row r="1844" spans="1:3" x14ac:dyDescent="0.4">
      <c r="A1844">
        <v>101012</v>
      </c>
      <c r="B1844" t="s">
        <v>274</v>
      </c>
      <c r="C1844" t="s">
        <v>495</v>
      </c>
    </row>
    <row r="1845" spans="1:3" x14ac:dyDescent="0.4">
      <c r="A1845">
        <v>101013</v>
      </c>
      <c r="B1845" t="s">
        <v>274</v>
      </c>
      <c r="C1845" t="s">
        <v>494</v>
      </c>
    </row>
    <row r="1846" spans="1:3" x14ac:dyDescent="0.4">
      <c r="A1846">
        <v>101014</v>
      </c>
      <c r="B1846" t="s">
        <v>274</v>
      </c>
      <c r="C1846" t="s">
        <v>493</v>
      </c>
    </row>
    <row r="1847" spans="1:3" x14ac:dyDescent="0.4">
      <c r="A1847">
        <v>101015</v>
      </c>
      <c r="B1847" t="s">
        <v>274</v>
      </c>
      <c r="C1847" t="s">
        <v>492</v>
      </c>
    </row>
    <row r="1848" spans="1:3" x14ac:dyDescent="0.4">
      <c r="A1848">
        <v>101016</v>
      </c>
      <c r="B1848" t="s">
        <v>274</v>
      </c>
      <c r="C1848" t="s">
        <v>491</v>
      </c>
    </row>
    <row r="1849" spans="1:3" x14ac:dyDescent="0.4">
      <c r="A1849">
        <v>101017</v>
      </c>
      <c r="B1849" t="s">
        <v>274</v>
      </c>
      <c r="C1849" t="s">
        <v>490</v>
      </c>
    </row>
    <row r="1850" spans="1:3" x14ac:dyDescent="0.4">
      <c r="A1850">
        <v>101018</v>
      </c>
      <c r="B1850" t="s">
        <v>274</v>
      </c>
      <c r="C1850" t="s">
        <v>489</v>
      </c>
    </row>
    <row r="1851" spans="1:3" x14ac:dyDescent="0.4">
      <c r="A1851">
        <v>101019</v>
      </c>
      <c r="B1851" t="s">
        <v>274</v>
      </c>
      <c r="C1851" t="s">
        <v>488</v>
      </c>
    </row>
    <row r="1852" spans="1:3" x14ac:dyDescent="0.4">
      <c r="A1852">
        <v>101020</v>
      </c>
      <c r="B1852" t="s">
        <v>274</v>
      </c>
      <c r="C1852" t="s">
        <v>487</v>
      </c>
    </row>
    <row r="1853" spans="1:3" x14ac:dyDescent="0.4">
      <c r="A1853">
        <v>101021</v>
      </c>
      <c r="B1853" t="s">
        <v>274</v>
      </c>
      <c r="C1853" t="s">
        <v>486</v>
      </c>
    </row>
    <row r="1854" spans="1:3" x14ac:dyDescent="0.4">
      <c r="A1854">
        <v>101022</v>
      </c>
      <c r="B1854" t="s">
        <v>274</v>
      </c>
      <c r="C1854" t="s">
        <v>485</v>
      </c>
    </row>
    <row r="1855" spans="1:3" x14ac:dyDescent="0.4">
      <c r="A1855">
        <v>101023</v>
      </c>
      <c r="B1855" t="s">
        <v>274</v>
      </c>
      <c r="C1855" t="s">
        <v>484</v>
      </c>
    </row>
    <row r="1856" spans="1:3" x14ac:dyDescent="0.4">
      <c r="A1856">
        <v>101024</v>
      </c>
      <c r="B1856" t="s">
        <v>274</v>
      </c>
      <c r="C1856" t="s">
        <v>483</v>
      </c>
    </row>
    <row r="1857" spans="1:3" x14ac:dyDescent="0.4">
      <c r="A1857">
        <v>101025</v>
      </c>
      <c r="B1857" t="s">
        <v>274</v>
      </c>
      <c r="C1857" t="s">
        <v>482</v>
      </c>
    </row>
    <row r="1858" spans="1:3" x14ac:dyDescent="0.4">
      <c r="A1858">
        <v>102000</v>
      </c>
      <c r="B1858" t="s">
        <v>274</v>
      </c>
      <c r="C1858" t="s">
        <v>481</v>
      </c>
    </row>
    <row r="1859" spans="1:3" x14ac:dyDescent="0.4">
      <c r="A1859">
        <v>102001</v>
      </c>
      <c r="B1859" t="s">
        <v>274</v>
      </c>
      <c r="C1859" t="s">
        <v>480</v>
      </c>
    </row>
    <row r="1860" spans="1:3" x14ac:dyDescent="0.4">
      <c r="A1860">
        <v>102002</v>
      </c>
      <c r="B1860" t="s">
        <v>274</v>
      </c>
      <c r="C1860" t="s">
        <v>479</v>
      </c>
    </row>
    <row r="1861" spans="1:3" x14ac:dyDescent="0.4">
      <c r="A1861">
        <v>102003</v>
      </c>
      <c r="B1861" t="s">
        <v>274</v>
      </c>
      <c r="C1861" t="s">
        <v>478</v>
      </c>
    </row>
    <row r="1862" spans="1:3" x14ac:dyDescent="0.4">
      <c r="A1862">
        <v>102004</v>
      </c>
      <c r="B1862" t="s">
        <v>274</v>
      </c>
      <c r="C1862" t="s">
        <v>477</v>
      </c>
    </row>
    <row r="1863" spans="1:3" x14ac:dyDescent="0.4">
      <c r="A1863">
        <v>102005</v>
      </c>
      <c r="B1863" t="s">
        <v>274</v>
      </c>
      <c r="C1863" t="s">
        <v>476</v>
      </c>
    </row>
    <row r="1864" spans="1:3" x14ac:dyDescent="0.4">
      <c r="A1864">
        <v>102006</v>
      </c>
      <c r="B1864" t="s">
        <v>274</v>
      </c>
      <c r="C1864" t="s">
        <v>475</v>
      </c>
    </row>
    <row r="1865" spans="1:3" x14ac:dyDescent="0.4">
      <c r="A1865">
        <v>102007</v>
      </c>
      <c r="B1865" t="s">
        <v>274</v>
      </c>
      <c r="C1865" t="s">
        <v>474</v>
      </c>
    </row>
    <row r="1866" spans="1:3" x14ac:dyDescent="0.4">
      <c r="A1866">
        <v>102008</v>
      </c>
      <c r="B1866" t="s">
        <v>274</v>
      </c>
      <c r="C1866" t="s">
        <v>473</v>
      </c>
    </row>
    <row r="1867" spans="1:3" x14ac:dyDescent="0.4">
      <c r="A1867">
        <v>102009</v>
      </c>
      <c r="B1867" t="s">
        <v>274</v>
      </c>
      <c r="C1867" t="s">
        <v>472</v>
      </c>
    </row>
    <row r="1868" spans="1:3" x14ac:dyDescent="0.4">
      <c r="A1868">
        <v>102010</v>
      </c>
      <c r="B1868" t="s">
        <v>274</v>
      </c>
      <c r="C1868" t="s">
        <v>471</v>
      </c>
    </row>
    <row r="1869" spans="1:3" x14ac:dyDescent="0.4">
      <c r="A1869">
        <v>102011</v>
      </c>
      <c r="B1869" t="s">
        <v>274</v>
      </c>
      <c r="C1869" t="s">
        <v>470</v>
      </c>
    </row>
    <row r="1870" spans="1:3" x14ac:dyDescent="0.4">
      <c r="A1870">
        <v>102012</v>
      </c>
      <c r="B1870" t="s">
        <v>274</v>
      </c>
      <c r="C1870" t="s">
        <v>469</v>
      </c>
    </row>
    <row r="1871" spans="1:3" x14ac:dyDescent="0.4">
      <c r="A1871">
        <v>102013</v>
      </c>
      <c r="B1871" t="s">
        <v>274</v>
      </c>
      <c r="C1871" t="s">
        <v>468</v>
      </c>
    </row>
    <row r="1872" spans="1:3" x14ac:dyDescent="0.4">
      <c r="A1872">
        <v>102014</v>
      </c>
      <c r="B1872" t="s">
        <v>274</v>
      </c>
      <c r="C1872" t="s">
        <v>467</v>
      </c>
    </row>
    <row r="1873" spans="1:3" x14ac:dyDescent="0.4">
      <c r="A1873">
        <v>102015</v>
      </c>
      <c r="B1873" t="s">
        <v>274</v>
      </c>
      <c r="C1873" t="s">
        <v>466</v>
      </c>
    </row>
    <row r="1874" spans="1:3" x14ac:dyDescent="0.4">
      <c r="A1874">
        <v>102016</v>
      </c>
      <c r="B1874" t="s">
        <v>274</v>
      </c>
      <c r="C1874" t="s">
        <v>465</v>
      </c>
    </row>
    <row r="1875" spans="1:3" x14ac:dyDescent="0.4">
      <c r="A1875">
        <v>102017</v>
      </c>
      <c r="B1875" t="s">
        <v>274</v>
      </c>
      <c r="C1875" t="s">
        <v>464</v>
      </c>
    </row>
    <row r="1876" spans="1:3" x14ac:dyDescent="0.4">
      <c r="A1876">
        <v>102018</v>
      </c>
      <c r="B1876" t="s">
        <v>274</v>
      </c>
      <c r="C1876" t="s">
        <v>463</v>
      </c>
    </row>
    <row r="1877" spans="1:3" x14ac:dyDescent="0.4">
      <c r="A1877">
        <v>102019</v>
      </c>
      <c r="B1877" t="s">
        <v>274</v>
      </c>
      <c r="C1877" t="s">
        <v>462</v>
      </c>
    </row>
    <row r="1878" spans="1:3" x14ac:dyDescent="0.4">
      <c r="A1878">
        <v>102020</v>
      </c>
      <c r="B1878" t="s">
        <v>274</v>
      </c>
      <c r="C1878" t="s">
        <v>461</v>
      </c>
    </row>
    <row r="1879" spans="1:3" x14ac:dyDescent="0.4">
      <c r="A1879">
        <v>102021</v>
      </c>
      <c r="B1879" t="s">
        <v>274</v>
      </c>
      <c r="C1879" t="s">
        <v>460</v>
      </c>
    </row>
    <row r="1880" spans="1:3" x14ac:dyDescent="0.4">
      <c r="A1880">
        <v>102022</v>
      </c>
      <c r="B1880" t="s">
        <v>274</v>
      </c>
      <c r="C1880" t="s">
        <v>459</v>
      </c>
    </row>
    <row r="1881" spans="1:3" x14ac:dyDescent="0.4">
      <c r="A1881">
        <v>102023</v>
      </c>
      <c r="B1881" t="s">
        <v>274</v>
      </c>
      <c r="C1881" t="s">
        <v>458</v>
      </c>
    </row>
    <row r="1882" spans="1:3" x14ac:dyDescent="0.4">
      <c r="A1882">
        <v>102024</v>
      </c>
      <c r="B1882" t="s">
        <v>274</v>
      </c>
      <c r="C1882" t="s">
        <v>457</v>
      </c>
    </row>
    <row r="1883" spans="1:3" x14ac:dyDescent="0.4">
      <c r="A1883">
        <v>102025</v>
      </c>
      <c r="B1883" t="s">
        <v>274</v>
      </c>
      <c r="C1883" t="s">
        <v>456</v>
      </c>
    </row>
    <row r="1884" spans="1:3" x14ac:dyDescent="0.4">
      <c r="A1884">
        <v>103000</v>
      </c>
      <c r="B1884" t="s">
        <v>274</v>
      </c>
      <c r="C1884" t="s">
        <v>455</v>
      </c>
    </row>
    <row r="1885" spans="1:3" x14ac:dyDescent="0.4">
      <c r="A1885">
        <v>103001</v>
      </c>
      <c r="B1885" t="s">
        <v>274</v>
      </c>
      <c r="C1885" t="s">
        <v>454</v>
      </c>
    </row>
    <row r="1886" spans="1:3" x14ac:dyDescent="0.4">
      <c r="A1886">
        <v>103002</v>
      </c>
      <c r="B1886" t="s">
        <v>274</v>
      </c>
      <c r="C1886" t="s">
        <v>453</v>
      </c>
    </row>
    <row r="1887" spans="1:3" x14ac:dyDescent="0.4">
      <c r="A1887">
        <v>103003</v>
      </c>
      <c r="B1887" t="s">
        <v>274</v>
      </c>
      <c r="C1887" t="s">
        <v>452</v>
      </c>
    </row>
    <row r="1888" spans="1:3" x14ac:dyDescent="0.4">
      <c r="A1888">
        <v>103004</v>
      </c>
      <c r="B1888" t="s">
        <v>274</v>
      </c>
      <c r="C1888" t="s">
        <v>451</v>
      </c>
    </row>
    <row r="1889" spans="1:3" x14ac:dyDescent="0.4">
      <c r="A1889">
        <v>103005</v>
      </c>
      <c r="B1889" t="s">
        <v>274</v>
      </c>
      <c r="C1889" t="s">
        <v>450</v>
      </c>
    </row>
    <row r="1890" spans="1:3" x14ac:dyDescent="0.4">
      <c r="A1890">
        <v>103006</v>
      </c>
      <c r="B1890" t="s">
        <v>274</v>
      </c>
      <c r="C1890" t="s">
        <v>449</v>
      </c>
    </row>
    <row r="1891" spans="1:3" x14ac:dyDescent="0.4">
      <c r="A1891">
        <v>103007</v>
      </c>
      <c r="B1891" t="s">
        <v>274</v>
      </c>
      <c r="C1891" t="s">
        <v>448</v>
      </c>
    </row>
    <row r="1892" spans="1:3" x14ac:dyDescent="0.4">
      <c r="A1892">
        <v>103008</v>
      </c>
      <c r="B1892" t="s">
        <v>274</v>
      </c>
      <c r="C1892" t="s">
        <v>447</v>
      </c>
    </row>
    <row r="1893" spans="1:3" x14ac:dyDescent="0.4">
      <c r="A1893">
        <v>103009</v>
      </c>
      <c r="B1893" t="s">
        <v>274</v>
      </c>
      <c r="C1893" t="s">
        <v>446</v>
      </c>
    </row>
    <row r="1894" spans="1:3" x14ac:dyDescent="0.4">
      <c r="A1894">
        <v>103010</v>
      </c>
      <c r="B1894" t="s">
        <v>274</v>
      </c>
      <c r="C1894" t="s">
        <v>445</v>
      </c>
    </row>
    <row r="1895" spans="1:3" x14ac:dyDescent="0.4">
      <c r="A1895">
        <v>103011</v>
      </c>
      <c r="B1895" t="s">
        <v>274</v>
      </c>
      <c r="C1895" t="s">
        <v>444</v>
      </c>
    </row>
    <row r="1896" spans="1:3" x14ac:dyDescent="0.4">
      <c r="A1896">
        <v>103012</v>
      </c>
      <c r="B1896" t="s">
        <v>274</v>
      </c>
      <c r="C1896" t="s">
        <v>443</v>
      </c>
    </row>
    <row r="1897" spans="1:3" x14ac:dyDescent="0.4">
      <c r="A1897">
        <v>103013</v>
      </c>
      <c r="B1897" t="s">
        <v>274</v>
      </c>
      <c r="C1897" t="s">
        <v>442</v>
      </c>
    </row>
    <row r="1898" spans="1:3" x14ac:dyDescent="0.4">
      <c r="A1898">
        <v>103014</v>
      </c>
      <c r="B1898" t="s">
        <v>274</v>
      </c>
      <c r="C1898" t="s">
        <v>441</v>
      </c>
    </row>
    <row r="1899" spans="1:3" x14ac:dyDescent="0.4">
      <c r="A1899">
        <v>103015</v>
      </c>
      <c r="B1899" t="s">
        <v>274</v>
      </c>
      <c r="C1899" t="s">
        <v>440</v>
      </c>
    </row>
    <row r="1900" spans="1:3" x14ac:dyDescent="0.4">
      <c r="A1900">
        <v>103016</v>
      </c>
      <c r="B1900" t="s">
        <v>274</v>
      </c>
      <c r="C1900" t="s">
        <v>439</v>
      </c>
    </row>
    <row r="1901" spans="1:3" x14ac:dyDescent="0.4">
      <c r="A1901">
        <v>103017</v>
      </c>
      <c r="B1901" t="s">
        <v>274</v>
      </c>
      <c r="C1901" t="s">
        <v>438</v>
      </c>
    </row>
    <row r="1902" spans="1:3" x14ac:dyDescent="0.4">
      <c r="A1902">
        <v>103018</v>
      </c>
      <c r="B1902" t="s">
        <v>274</v>
      </c>
      <c r="C1902" t="s">
        <v>437</v>
      </c>
    </row>
    <row r="1903" spans="1:3" x14ac:dyDescent="0.4">
      <c r="A1903">
        <v>103019</v>
      </c>
      <c r="B1903" t="s">
        <v>274</v>
      </c>
      <c r="C1903" t="s">
        <v>436</v>
      </c>
    </row>
    <row r="1904" spans="1:3" x14ac:dyDescent="0.4">
      <c r="A1904">
        <v>103020</v>
      </c>
      <c r="B1904" t="s">
        <v>274</v>
      </c>
      <c r="C1904" t="s">
        <v>435</v>
      </c>
    </row>
    <row r="1905" spans="1:3" x14ac:dyDescent="0.4">
      <c r="A1905">
        <v>103021</v>
      </c>
      <c r="B1905" t="s">
        <v>274</v>
      </c>
      <c r="C1905" t="s">
        <v>434</v>
      </c>
    </row>
    <row r="1906" spans="1:3" x14ac:dyDescent="0.4">
      <c r="A1906">
        <v>103022</v>
      </c>
      <c r="B1906" t="s">
        <v>274</v>
      </c>
      <c r="C1906" t="s">
        <v>433</v>
      </c>
    </row>
    <row r="1907" spans="1:3" x14ac:dyDescent="0.4">
      <c r="A1907">
        <v>103023</v>
      </c>
      <c r="B1907" t="s">
        <v>274</v>
      </c>
      <c r="C1907" t="s">
        <v>432</v>
      </c>
    </row>
    <row r="1908" spans="1:3" x14ac:dyDescent="0.4">
      <c r="A1908">
        <v>103024</v>
      </c>
      <c r="B1908" t="s">
        <v>274</v>
      </c>
      <c r="C1908" t="s">
        <v>431</v>
      </c>
    </row>
    <row r="1909" spans="1:3" x14ac:dyDescent="0.4">
      <c r="A1909">
        <v>103025</v>
      </c>
      <c r="B1909" t="s">
        <v>274</v>
      </c>
      <c r="C1909" t="s">
        <v>430</v>
      </c>
    </row>
    <row r="1910" spans="1:3" x14ac:dyDescent="0.4">
      <c r="A1910">
        <v>104000</v>
      </c>
      <c r="B1910" t="s">
        <v>274</v>
      </c>
      <c r="C1910" t="s">
        <v>429</v>
      </c>
    </row>
    <row r="1911" spans="1:3" x14ac:dyDescent="0.4">
      <c r="A1911">
        <v>104001</v>
      </c>
      <c r="B1911" t="s">
        <v>274</v>
      </c>
      <c r="C1911" t="s">
        <v>428</v>
      </c>
    </row>
    <row r="1912" spans="1:3" x14ac:dyDescent="0.4">
      <c r="A1912">
        <v>104002</v>
      </c>
      <c r="B1912" t="s">
        <v>274</v>
      </c>
      <c r="C1912" t="s">
        <v>427</v>
      </c>
    </row>
    <row r="1913" spans="1:3" x14ac:dyDescent="0.4">
      <c r="A1913">
        <v>104003</v>
      </c>
      <c r="B1913" t="s">
        <v>274</v>
      </c>
      <c r="C1913" t="s">
        <v>426</v>
      </c>
    </row>
    <row r="1914" spans="1:3" x14ac:dyDescent="0.4">
      <c r="A1914">
        <v>104004</v>
      </c>
      <c r="B1914" t="s">
        <v>274</v>
      </c>
      <c r="C1914" t="s">
        <v>425</v>
      </c>
    </row>
    <row r="1915" spans="1:3" x14ac:dyDescent="0.4">
      <c r="A1915">
        <v>104005</v>
      </c>
      <c r="B1915" t="s">
        <v>274</v>
      </c>
      <c r="C1915" t="s">
        <v>424</v>
      </c>
    </row>
    <row r="1916" spans="1:3" x14ac:dyDescent="0.4">
      <c r="A1916">
        <v>104006</v>
      </c>
      <c r="B1916" t="s">
        <v>274</v>
      </c>
      <c r="C1916" t="s">
        <v>423</v>
      </c>
    </row>
    <row r="1917" spans="1:3" x14ac:dyDescent="0.4">
      <c r="A1917">
        <v>104007</v>
      </c>
      <c r="B1917" t="s">
        <v>274</v>
      </c>
      <c r="C1917" t="s">
        <v>422</v>
      </c>
    </row>
    <row r="1918" spans="1:3" x14ac:dyDescent="0.4">
      <c r="A1918">
        <v>104008</v>
      </c>
      <c r="B1918" t="s">
        <v>274</v>
      </c>
      <c r="C1918" t="s">
        <v>421</v>
      </c>
    </row>
    <row r="1919" spans="1:3" x14ac:dyDescent="0.4">
      <c r="A1919">
        <v>104009</v>
      </c>
      <c r="B1919" t="s">
        <v>274</v>
      </c>
      <c r="C1919" t="s">
        <v>420</v>
      </c>
    </row>
    <row r="1920" spans="1:3" x14ac:dyDescent="0.4">
      <c r="A1920">
        <v>104010</v>
      </c>
      <c r="B1920" t="s">
        <v>274</v>
      </c>
      <c r="C1920" t="s">
        <v>419</v>
      </c>
    </row>
    <row r="1921" spans="1:3" x14ac:dyDescent="0.4">
      <c r="A1921">
        <v>104011</v>
      </c>
      <c r="B1921" t="s">
        <v>274</v>
      </c>
      <c r="C1921" t="s">
        <v>418</v>
      </c>
    </row>
    <row r="1922" spans="1:3" x14ac:dyDescent="0.4">
      <c r="A1922">
        <v>104012</v>
      </c>
      <c r="B1922" t="s">
        <v>274</v>
      </c>
      <c r="C1922" t="s">
        <v>417</v>
      </c>
    </row>
    <row r="1923" spans="1:3" x14ac:dyDescent="0.4">
      <c r="A1923">
        <v>104013</v>
      </c>
      <c r="B1923" t="s">
        <v>274</v>
      </c>
      <c r="C1923" t="s">
        <v>416</v>
      </c>
    </row>
    <row r="1924" spans="1:3" x14ac:dyDescent="0.4">
      <c r="A1924">
        <v>104014</v>
      </c>
      <c r="B1924" t="s">
        <v>274</v>
      </c>
      <c r="C1924" t="s">
        <v>415</v>
      </c>
    </row>
    <row r="1925" spans="1:3" x14ac:dyDescent="0.4">
      <c r="A1925">
        <v>104015</v>
      </c>
      <c r="B1925" t="s">
        <v>274</v>
      </c>
      <c r="C1925" t="s">
        <v>414</v>
      </c>
    </row>
    <row r="1926" spans="1:3" x14ac:dyDescent="0.4">
      <c r="A1926">
        <v>104016</v>
      </c>
      <c r="B1926" t="s">
        <v>274</v>
      </c>
      <c r="C1926" t="s">
        <v>413</v>
      </c>
    </row>
    <row r="1927" spans="1:3" x14ac:dyDescent="0.4">
      <c r="A1927">
        <v>104017</v>
      </c>
      <c r="B1927" t="s">
        <v>274</v>
      </c>
      <c r="C1927" t="s">
        <v>412</v>
      </c>
    </row>
    <row r="1928" spans="1:3" x14ac:dyDescent="0.4">
      <c r="A1928">
        <v>104018</v>
      </c>
      <c r="B1928" t="s">
        <v>274</v>
      </c>
      <c r="C1928" t="s">
        <v>411</v>
      </c>
    </row>
    <row r="1929" spans="1:3" x14ac:dyDescent="0.4">
      <c r="A1929">
        <v>104019</v>
      </c>
      <c r="B1929" t="s">
        <v>274</v>
      </c>
      <c r="C1929" t="s">
        <v>410</v>
      </c>
    </row>
    <row r="1930" spans="1:3" x14ac:dyDescent="0.4">
      <c r="A1930">
        <v>104020</v>
      </c>
      <c r="B1930" t="s">
        <v>274</v>
      </c>
      <c r="C1930" t="s">
        <v>409</v>
      </c>
    </row>
    <row r="1931" spans="1:3" x14ac:dyDescent="0.4">
      <c r="A1931">
        <v>104021</v>
      </c>
      <c r="B1931" t="s">
        <v>274</v>
      </c>
      <c r="C1931" t="s">
        <v>408</v>
      </c>
    </row>
    <row r="1932" spans="1:3" x14ac:dyDescent="0.4">
      <c r="A1932">
        <v>104022</v>
      </c>
      <c r="B1932" t="s">
        <v>274</v>
      </c>
      <c r="C1932" t="s">
        <v>407</v>
      </c>
    </row>
    <row r="1933" spans="1:3" x14ac:dyDescent="0.4">
      <c r="A1933">
        <v>104023</v>
      </c>
      <c r="B1933" t="s">
        <v>274</v>
      </c>
      <c r="C1933" t="s">
        <v>406</v>
      </c>
    </row>
    <row r="1934" spans="1:3" x14ac:dyDescent="0.4">
      <c r="A1934">
        <v>104024</v>
      </c>
      <c r="B1934" t="s">
        <v>274</v>
      </c>
      <c r="C1934" t="s">
        <v>405</v>
      </c>
    </row>
    <row r="1935" spans="1:3" x14ac:dyDescent="0.4">
      <c r="A1935">
        <v>104025</v>
      </c>
      <c r="B1935" t="s">
        <v>274</v>
      </c>
      <c r="C1935" t="s">
        <v>404</v>
      </c>
    </row>
    <row r="1936" spans="1:3" x14ac:dyDescent="0.4">
      <c r="A1936">
        <v>105000</v>
      </c>
      <c r="B1936" t="s">
        <v>274</v>
      </c>
      <c r="C1936" t="s">
        <v>403</v>
      </c>
    </row>
    <row r="1937" spans="1:3" x14ac:dyDescent="0.4">
      <c r="A1937">
        <v>105001</v>
      </c>
      <c r="B1937" t="s">
        <v>274</v>
      </c>
      <c r="C1937" t="s">
        <v>402</v>
      </c>
    </row>
    <row r="1938" spans="1:3" x14ac:dyDescent="0.4">
      <c r="A1938">
        <v>105002</v>
      </c>
      <c r="B1938" t="s">
        <v>274</v>
      </c>
      <c r="C1938" t="s">
        <v>401</v>
      </c>
    </row>
    <row r="1939" spans="1:3" x14ac:dyDescent="0.4">
      <c r="A1939">
        <v>105003</v>
      </c>
      <c r="B1939" t="s">
        <v>274</v>
      </c>
      <c r="C1939" t="s">
        <v>400</v>
      </c>
    </row>
    <row r="1940" spans="1:3" x14ac:dyDescent="0.4">
      <c r="A1940">
        <v>105004</v>
      </c>
      <c r="B1940" t="s">
        <v>274</v>
      </c>
      <c r="C1940" t="s">
        <v>399</v>
      </c>
    </row>
    <row r="1941" spans="1:3" x14ac:dyDescent="0.4">
      <c r="A1941">
        <v>105005</v>
      </c>
      <c r="B1941" t="s">
        <v>274</v>
      </c>
      <c r="C1941" t="s">
        <v>398</v>
      </c>
    </row>
    <row r="1942" spans="1:3" x14ac:dyDescent="0.4">
      <c r="A1942">
        <v>105006</v>
      </c>
      <c r="B1942" t="s">
        <v>274</v>
      </c>
      <c r="C1942" t="s">
        <v>397</v>
      </c>
    </row>
    <row r="1943" spans="1:3" x14ac:dyDescent="0.4">
      <c r="A1943">
        <v>105007</v>
      </c>
      <c r="B1943" t="s">
        <v>274</v>
      </c>
      <c r="C1943" t="s">
        <v>396</v>
      </c>
    </row>
    <row r="1944" spans="1:3" x14ac:dyDescent="0.4">
      <c r="A1944">
        <v>105008</v>
      </c>
      <c r="B1944" t="s">
        <v>274</v>
      </c>
      <c r="C1944" t="s">
        <v>395</v>
      </c>
    </row>
    <row r="1945" spans="1:3" x14ac:dyDescent="0.4">
      <c r="A1945">
        <v>105009</v>
      </c>
      <c r="B1945" t="s">
        <v>274</v>
      </c>
      <c r="C1945" t="s">
        <v>394</v>
      </c>
    </row>
    <row r="1946" spans="1:3" x14ac:dyDescent="0.4">
      <c r="A1946">
        <v>105010</v>
      </c>
      <c r="B1946" t="s">
        <v>274</v>
      </c>
      <c r="C1946" t="s">
        <v>393</v>
      </c>
    </row>
    <row r="1947" spans="1:3" x14ac:dyDescent="0.4">
      <c r="A1947">
        <v>105011</v>
      </c>
      <c r="B1947" t="s">
        <v>274</v>
      </c>
      <c r="C1947" t="s">
        <v>392</v>
      </c>
    </row>
    <row r="1948" spans="1:3" x14ac:dyDescent="0.4">
      <c r="A1948">
        <v>105012</v>
      </c>
      <c r="B1948" t="s">
        <v>274</v>
      </c>
      <c r="C1948" t="s">
        <v>391</v>
      </c>
    </row>
    <row r="1949" spans="1:3" x14ac:dyDescent="0.4">
      <c r="A1949">
        <v>105013</v>
      </c>
      <c r="B1949" t="s">
        <v>274</v>
      </c>
      <c r="C1949" t="s">
        <v>390</v>
      </c>
    </row>
    <row r="1950" spans="1:3" x14ac:dyDescent="0.4">
      <c r="A1950">
        <v>105014</v>
      </c>
      <c r="B1950" t="s">
        <v>274</v>
      </c>
      <c r="C1950" t="s">
        <v>389</v>
      </c>
    </row>
    <row r="1951" spans="1:3" x14ac:dyDescent="0.4">
      <c r="A1951">
        <v>105015</v>
      </c>
      <c r="B1951" t="s">
        <v>274</v>
      </c>
      <c r="C1951" t="s">
        <v>388</v>
      </c>
    </row>
    <row r="1952" spans="1:3" x14ac:dyDescent="0.4">
      <c r="A1952">
        <v>105016</v>
      </c>
      <c r="B1952" t="s">
        <v>274</v>
      </c>
      <c r="C1952" t="s">
        <v>387</v>
      </c>
    </row>
    <row r="1953" spans="1:3" x14ac:dyDescent="0.4">
      <c r="A1953">
        <v>105017</v>
      </c>
      <c r="B1953" t="s">
        <v>274</v>
      </c>
      <c r="C1953" t="s">
        <v>386</v>
      </c>
    </row>
    <row r="1954" spans="1:3" x14ac:dyDescent="0.4">
      <c r="A1954">
        <v>105018</v>
      </c>
      <c r="B1954" t="s">
        <v>274</v>
      </c>
      <c r="C1954" t="s">
        <v>385</v>
      </c>
    </row>
    <row r="1955" spans="1:3" x14ac:dyDescent="0.4">
      <c r="A1955">
        <v>105019</v>
      </c>
      <c r="B1955" t="s">
        <v>274</v>
      </c>
      <c r="C1955" t="s">
        <v>384</v>
      </c>
    </row>
    <row r="1956" spans="1:3" x14ac:dyDescent="0.4">
      <c r="A1956">
        <v>105020</v>
      </c>
      <c r="B1956" t="s">
        <v>274</v>
      </c>
      <c r="C1956" t="s">
        <v>383</v>
      </c>
    </row>
    <row r="1957" spans="1:3" x14ac:dyDescent="0.4">
      <c r="A1957">
        <v>105021</v>
      </c>
      <c r="B1957" t="s">
        <v>274</v>
      </c>
      <c r="C1957" t="s">
        <v>382</v>
      </c>
    </row>
    <row r="1958" spans="1:3" x14ac:dyDescent="0.4">
      <c r="A1958">
        <v>105022</v>
      </c>
      <c r="B1958" t="s">
        <v>274</v>
      </c>
      <c r="C1958" t="s">
        <v>381</v>
      </c>
    </row>
    <row r="1959" spans="1:3" x14ac:dyDescent="0.4">
      <c r="A1959">
        <v>105023</v>
      </c>
      <c r="B1959" t="s">
        <v>274</v>
      </c>
      <c r="C1959" t="s">
        <v>380</v>
      </c>
    </row>
    <row r="1960" spans="1:3" x14ac:dyDescent="0.4">
      <c r="A1960">
        <v>105024</v>
      </c>
      <c r="B1960" t="s">
        <v>274</v>
      </c>
      <c r="C1960" t="s">
        <v>379</v>
      </c>
    </row>
    <row r="1961" spans="1:3" x14ac:dyDescent="0.4">
      <c r="A1961">
        <v>105025</v>
      </c>
      <c r="B1961" t="s">
        <v>274</v>
      </c>
      <c r="C1961" t="s">
        <v>378</v>
      </c>
    </row>
    <row r="1962" spans="1:3" x14ac:dyDescent="0.4">
      <c r="A1962">
        <v>106000</v>
      </c>
      <c r="B1962" t="s">
        <v>274</v>
      </c>
      <c r="C1962" t="s">
        <v>377</v>
      </c>
    </row>
    <row r="1963" spans="1:3" x14ac:dyDescent="0.4">
      <c r="A1963">
        <v>106001</v>
      </c>
      <c r="B1963" t="s">
        <v>274</v>
      </c>
      <c r="C1963" t="s">
        <v>376</v>
      </c>
    </row>
    <row r="1964" spans="1:3" x14ac:dyDescent="0.4">
      <c r="A1964">
        <v>106002</v>
      </c>
      <c r="B1964" t="s">
        <v>274</v>
      </c>
      <c r="C1964" t="s">
        <v>375</v>
      </c>
    </row>
    <row r="1965" spans="1:3" x14ac:dyDescent="0.4">
      <c r="A1965">
        <v>106003</v>
      </c>
      <c r="B1965" t="s">
        <v>274</v>
      </c>
      <c r="C1965" t="s">
        <v>374</v>
      </c>
    </row>
    <row r="1966" spans="1:3" x14ac:dyDescent="0.4">
      <c r="A1966">
        <v>106004</v>
      </c>
      <c r="B1966" t="s">
        <v>274</v>
      </c>
      <c r="C1966" t="s">
        <v>373</v>
      </c>
    </row>
    <row r="1967" spans="1:3" x14ac:dyDescent="0.4">
      <c r="A1967">
        <v>106005</v>
      </c>
      <c r="B1967" t="s">
        <v>274</v>
      </c>
      <c r="C1967" t="s">
        <v>372</v>
      </c>
    </row>
    <row r="1968" spans="1:3" x14ac:dyDescent="0.4">
      <c r="A1968">
        <v>106006</v>
      </c>
      <c r="B1968" t="s">
        <v>274</v>
      </c>
      <c r="C1968" t="s">
        <v>371</v>
      </c>
    </row>
    <row r="1969" spans="1:3" x14ac:dyDescent="0.4">
      <c r="A1969">
        <v>106007</v>
      </c>
      <c r="B1969" t="s">
        <v>274</v>
      </c>
      <c r="C1969" t="s">
        <v>370</v>
      </c>
    </row>
    <row r="1970" spans="1:3" x14ac:dyDescent="0.4">
      <c r="A1970">
        <v>106008</v>
      </c>
      <c r="B1970" t="s">
        <v>274</v>
      </c>
      <c r="C1970" t="s">
        <v>369</v>
      </c>
    </row>
    <row r="1971" spans="1:3" x14ac:dyDescent="0.4">
      <c r="A1971">
        <v>106009</v>
      </c>
      <c r="B1971" t="s">
        <v>274</v>
      </c>
      <c r="C1971" t="s">
        <v>368</v>
      </c>
    </row>
    <row r="1972" spans="1:3" x14ac:dyDescent="0.4">
      <c r="A1972">
        <v>106010</v>
      </c>
      <c r="B1972" t="s">
        <v>274</v>
      </c>
      <c r="C1972" t="s">
        <v>367</v>
      </c>
    </row>
    <row r="1973" spans="1:3" x14ac:dyDescent="0.4">
      <c r="A1973">
        <v>106011</v>
      </c>
      <c r="B1973" t="s">
        <v>274</v>
      </c>
      <c r="C1973" t="s">
        <v>366</v>
      </c>
    </row>
    <row r="1974" spans="1:3" x14ac:dyDescent="0.4">
      <c r="A1974">
        <v>106012</v>
      </c>
      <c r="B1974" t="s">
        <v>274</v>
      </c>
      <c r="C1974" t="s">
        <v>365</v>
      </c>
    </row>
    <row r="1975" spans="1:3" x14ac:dyDescent="0.4">
      <c r="A1975">
        <v>106013</v>
      </c>
      <c r="B1975" t="s">
        <v>274</v>
      </c>
      <c r="C1975" t="s">
        <v>364</v>
      </c>
    </row>
    <row r="1976" spans="1:3" x14ac:dyDescent="0.4">
      <c r="A1976">
        <v>106014</v>
      </c>
      <c r="B1976" t="s">
        <v>274</v>
      </c>
      <c r="C1976" t="s">
        <v>363</v>
      </c>
    </row>
    <row r="1977" spans="1:3" x14ac:dyDescent="0.4">
      <c r="A1977">
        <v>106015</v>
      </c>
      <c r="B1977" t="s">
        <v>274</v>
      </c>
      <c r="C1977" t="s">
        <v>362</v>
      </c>
    </row>
    <row r="1978" spans="1:3" x14ac:dyDescent="0.4">
      <c r="A1978">
        <v>106016</v>
      </c>
      <c r="B1978" t="s">
        <v>274</v>
      </c>
      <c r="C1978" t="s">
        <v>361</v>
      </c>
    </row>
    <row r="1979" spans="1:3" x14ac:dyDescent="0.4">
      <c r="A1979">
        <v>106017</v>
      </c>
      <c r="B1979" t="s">
        <v>274</v>
      </c>
      <c r="C1979" t="s">
        <v>360</v>
      </c>
    </row>
    <row r="1980" spans="1:3" x14ac:dyDescent="0.4">
      <c r="A1980">
        <v>106018</v>
      </c>
      <c r="B1980" t="s">
        <v>274</v>
      </c>
      <c r="C1980" t="s">
        <v>359</v>
      </c>
    </row>
    <row r="1981" spans="1:3" x14ac:dyDescent="0.4">
      <c r="A1981">
        <v>106019</v>
      </c>
      <c r="B1981" t="s">
        <v>274</v>
      </c>
      <c r="C1981" t="s">
        <v>358</v>
      </c>
    </row>
    <row r="1982" spans="1:3" x14ac:dyDescent="0.4">
      <c r="A1982">
        <v>106020</v>
      </c>
      <c r="B1982" t="s">
        <v>274</v>
      </c>
      <c r="C1982" t="s">
        <v>357</v>
      </c>
    </row>
    <row r="1983" spans="1:3" x14ac:dyDescent="0.4">
      <c r="A1983">
        <v>106021</v>
      </c>
      <c r="B1983" t="s">
        <v>274</v>
      </c>
      <c r="C1983" t="s">
        <v>356</v>
      </c>
    </row>
    <row r="1984" spans="1:3" x14ac:dyDescent="0.4">
      <c r="A1984">
        <v>106022</v>
      </c>
      <c r="B1984" t="s">
        <v>274</v>
      </c>
      <c r="C1984" t="s">
        <v>355</v>
      </c>
    </row>
    <row r="1985" spans="1:3" x14ac:dyDescent="0.4">
      <c r="A1985">
        <v>106023</v>
      </c>
      <c r="B1985" t="s">
        <v>274</v>
      </c>
      <c r="C1985" t="s">
        <v>354</v>
      </c>
    </row>
    <row r="1986" spans="1:3" x14ac:dyDescent="0.4">
      <c r="A1986">
        <v>106024</v>
      </c>
      <c r="B1986" t="s">
        <v>274</v>
      </c>
      <c r="C1986" t="s">
        <v>353</v>
      </c>
    </row>
    <row r="1987" spans="1:3" x14ac:dyDescent="0.4">
      <c r="A1987">
        <v>106025</v>
      </c>
      <c r="B1987" t="s">
        <v>274</v>
      </c>
      <c r="C1987" t="s">
        <v>352</v>
      </c>
    </row>
    <row r="1988" spans="1:3" x14ac:dyDescent="0.4">
      <c r="A1988">
        <v>107000</v>
      </c>
      <c r="B1988" t="s">
        <v>274</v>
      </c>
      <c r="C1988" t="s">
        <v>351</v>
      </c>
    </row>
    <row r="1989" spans="1:3" x14ac:dyDescent="0.4">
      <c r="A1989">
        <v>107001</v>
      </c>
      <c r="B1989" t="s">
        <v>274</v>
      </c>
      <c r="C1989" t="s">
        <v>350</v>
      </c>
    </row>
    <row r="1990" spans="1:3" x14ac:dyDescent="0.4">
      <c r="A1990">
        <v>107002</v>
      </c>
      <c r="B1990" t="s">
        <v>274</v>
      </c>
      <c r="C1990" t="s">
        <v>349</v>
      </c>
    </row>
    <row r="1991" spans="1:3" x14ac:dyDescent="0.4">
      <c r="A1991">
        <v>107003</v>
      </c>
      <c r="B1991" t="s">
        <v>274</v>
      </c>
      <c r="C1991" t="s">
        <v>348</v>
      </c>
    </row>
    <row r="1992" spans="1:3" x14ac:dyDescent="0.4">
      <c r="A1992">
        <v>107004</v>
      </c>
      <c r="B1992" t="s">
        <v>274</v>
      </c>
      <c r="C1992" t="s">
        <v>347</v>
      </c>
    </row>
    <row r="1993" spans="1:3" x14ac:dyDescent="0.4">
      <c r="A1993">
        <v>107005</v>
      </c>
      <c r="B1993" t="s">
        <v>274</v>
      </c>
      <c r="C1993" t="s">
        <v>346</v>
      </c>
    </row>
    <row r="1994" spans="1:3" x14ac:dyDescent="0.4">
      <c r="A1994">
        <v>107006</v>
      </c>
      <c r="B1994" t="s">
        <v>274</v>
      </c>
      <c r="C1994" t="s">
        <v>345</v>
      </c>
    </row>
    <row r="1995" spans="1:3" x14ac:dyDescent="0.4">
      <c r="A1995">
        <v>107007</v>
      </c>
      <c r="B1995" t="s">
        <v>274</v>
      </c>
      <c r="C1995" t="s">
        <v>344</v>
      </c>
    </row>
    <row r="1996" spans="1:3" x14ac:dyDescent="0.4">
      <c r="A1996">
        <v>107008</v>
      </c>
      <c r="B1996" t="s">
        <v>274</v>
      </c>
      <c r="C1996" t="s">
        <v>343</v>
      </c>
    </row>
    <row r="1997" spans="1:3" x14ac:dyDescent="0.4">
      <c r="A1997">
        <v>107009</v>
      </c>
      <c r="B1997" t="s">
        <v>274</v>
      </c>
      <c r="C1997" t="s">
        <v>342</v>
      </c>
    </row>
    <row r="1998" spans="1:3" x14ac:dyDescent="0.4">
      <c r="A1998">
        <v>107010</v>
      </c>
      <c r="B1998" t="s">
        <v>274</v>
      </c>
      <c r="C1998" t="s">
        <v>341</v>
      </c>
    </row>
    <row r="1999" spans="1:3" x14ac:dyDescent="0.4">
      <c r="A1999">
        <v>107011</v>
      </c>
      <c r="B1999" t="s">
        <v>274</v>
      </c>
      <c r="C1999" t="s">
        <v>340</v>
      </c>
    </row>
    <row r="2000" spans="1:3" x14ac:dyDescent="0.4">
      <c r="A2000">
        <v>107012</v>
      </c>
      <c r="B2000" t="s">
        <v>274</v>
      </c>
      <c r="C2000" t="s">
        <v>339</v>
      </c>
    </row>
    <row r="2001" spans="1:3" x14ac:dyDescent="0.4">
      <c r="A2001">
        <v>107013</v>
      </c>
      <c r="B2001" t="s">
        <v>274</v>
      </c>
      <c r="C2001" t="s">
        <v>338</v>
      </c>
    </row>
    <row r="2002" spans="1:3" x14ac:dyDescent="0.4">
      <c r="A2002">
        <v>107014</v>
      </c>
      <c r="B2002" t="s">
        <v>274</v>
      </c>
      <c r="C2002" t="s">
        <v>337</v>
      </c>
    </row>
    <row r="2003" spans="1:3" x14ac:dyDescent="0.4">
      <c r="A2003">
        <v>107015</v>
      </c>
      <c r="B2003" t="s">
        <v>274</v>
      </c>
      <c r="C2003" t="s">
        <v>336</v>
      </c>
    </row>
    <row r="2004" spans="1:3" x14ac:dyDescent="0.4">
      <c r="A2004">
        <v>107016</v>
      </c>
      <c r="B2004" t="s">
        <v>274</v>
      </c>
      <c r="C2004" t="s">
        <v>335</v>
      </c>
    </row>
    <row r="2005" spans="1:3" x14ac:dyDescent="0.4">
      <c r="A2005">
        <v>107017</v>
      </c>
      <c r="B2005" t="s">
        <v>274</v>
      </c>
      <c r="C2005" t="s">
        <v>334</v>
      </c>
    </row>
    <row r="2006" spans="1:3" x14ac:dyDescent="0.4">
      <c r="A2006">
        <v>107018</v>
      </c>
      <c r="B2006" t="s">
        <v>274</v>
      </c>
      <c r="C2006" t="s">
        <v>333</v>
      </c>
    </row>
    <row r="2007" spans="1:3" x14ac:dyDescent="0.4">
      <c r="A2007">
        <v>107019</v>
      </c>
      <c r="B2007" t="s">
        <v>274</v>
      </c>
      <c r="C2007" t="s">
        <v>332</v>
      </c>
    </row>
    <row r="2008" spans="1:3" x14ac:dyDescent="0.4">
      <c r="A2008">
        <v>107020</v>
      </c>
      <c r="B2008" t="s">
        <v>274</v>
      </c>
      <c r="C2008" t="s">
        <v>331</v>
      </c>
    </row>
    <row r="2009" spans="1:3" x14ac:dyDescent="0.4">
      <c r="A2009">
        <v>107021</v>
      </c>
      <c r="B2009" t="s">
        <v>274</v>
      </c>
      <c r="C2009" t="s">
        <v>330</v>
      </c>
    </row>
    <row r="2010" spans="1:3" x14ac:dyDescent="0.4">
      <c r="A2010">
        <v>107022</v>
      </c>
      <c r="B2010" t="s">
        <v>274</v>
      </c>
      <c r="C2010" t="s">
        <v>329</v>
      </c>
    </row>
    <row r="2011" spans="1:3" x14ac:dyDescent="0.4">
      <c r="A2011">
        <v>107023</v>
      </c>
      <c r="B2011" t="s">
        <v>274</v>
      </c>
      <c r="C2011" t="s">
        <v>328</v>
      </c>
    </row>
    <row r="2012" spans="1:3" x14ac:dyDescent="0.4">
      <c r="A2012">
        <v>107024</v>
      </c>
      <c r="B2012" t="s">
        <v>274</v>
      </c>
      <c r="C2012" t="s">
        <v>327</v>
      </c>
    </row>
    <row r="2013" spans="1:3" x14ac:dyDescent="0.4">
      <c r="A2013">
        <v>107025</v>
      </c>
      <c r="B2013" t="s">
        <v>274</v>
      </c>
      <c r="C2013" t="s">
        <v>326</v>
      </c>
    </row>
    <row r="2014" spans="1:3" x14ac:dyDescent="0.4">
      <c r="A2014">
        <v>108000</v>
      </c>
      <c r="B2014" t="s">
        <v>274</v>
      </c>
      <c r="C2014" t="s">
        <v>325</v>
      </c>
    </row>
    <row r="2015" spans="1:3" x14ac:dyDescent="0.4">
      <c r="A2015">
        <v>108001</v>
      </c>
      <c r="B2015" t="s">
        <v>274</v>
      </c>
      <c r="C2015" t="s">
        <v>324</v>
      </c>
    </row>
    <row r="2016" spans="1:3" x14ac:dyDescent="0.4">
      <c r="A2016">
        <v>108002</v>
      </c>
      <c r="B2016" t="s">
        <v>274</v>
      </c>
      <c r="C2016" t="s">
        <v>323</v>
      </c>
    </row>
    <row r="2017" spans="1:3" x14ac:dyDescent="0.4">
      <c r="A2017">
        <v>108003</v>
      </c>
      <c r="B2017" t="s">
        <v>274</v>
      </c>
      <c r="C2017" t="s">
        <v>322</v>
      </c>
    </row>
    <row r="2018" spans="1:3" x14ac:dyDescent="0.4">
      <c r="A2018">
        <v>108004</v>
      </c>
      <c r="B2018" t="s">
        <v>274</v>
      </c>
      <c r="C2018" t="s">
        <v>321</v>
      </c>
    </row>
    <row r="2019" spans="1:3" x14ac:dyDescent="0.4">
      <c r="A2019">
        <v>108005</v>
      </c>
      <c r="B2019" t="s">
        <v>274</v>
      </c>
      <c r="C2019" t="s">
        <v>320</v>
      </c>
    </row>
    <row r="2020" spans="1:3" x14ac:dyDescent="0.4">
      <c r="A2020">
        <v>108006</v>
      </c>
      <c r="B2020" t="s">
        <v>274</v>
      </c>
      <c r="C2020" t="s">
        <v>319</v>
      </c>
    </row>
    <row r="2021" spans="1:3" x14ac:dyDescent="0.4">
      <c r="A2021">
        <v>108007</v>
      </c>
      <c r="B2021" t="s">
        <v>274</v>
      </c>
      <c r="C2021" t="s">
        <v>318</v>
      </c>
    </row>
    <row r="2022" spans="1:3" x14ac:dyDescent="0.4">
      <c r="A2022">
        <v>108008</v>
      </c>
      <c r="B2022" t="s">
        <v>274</v>
      </c>
      <c r="C2022" t="s">
        <v>317</v>
      </c>
    </row>
    <row r="2023" spans="1:3" x14ac:dyDescent="0.4">
      <c r="A2023">
        <v>108009</v>
      </c>
      <c r="B2023" t="s">
        <v>274</v>
      </c>
      <c r="C2023" t="s">
        <v>316</v>
      </c>
    </row>
    <row r="2024" spans="1:3" x14ac:dyDescent="0.4">
      <c r="A2024">
        <v>108010</v>
      </c>
      <c r="B2024" t="s">
        <v>274</v>
      </c>
      <c r="C2024" t="s">
        <v>315</v>
      </c>
    </row>
    <row r="2025" spans="1:3" x14ac:dyDescent="0.4">
      <c r="A2025">
        <v>108011</v>
      </c>
      <c r="B2025" t="s">
        <v>274</v>
      </c>
      <c r="C2025" t="s">
        <v>314</v>
      </c>
    </row>
    <row r="2026" spans="1:3" x14ac:dyDescent="0.4">
      <c r="A2026">
        <v>108012</v>
      </c>
      <c r="B2026" t="s">
        <v>274</v>
      </c>
      <c r="C2026" t="s">
        <v>313</v>
      </c>
    </row>
    <row r="2027" spans="1:3" x14ac:dyDescent="0.4">
      <c r="A2027">
        <v>108013</v>
      </c>
      <c r="B2027" t="s">
        <v>274</v>
      </c>
      <c r="C2027" t="s">
        <v>312</v>
      </c>
    </row>
    <row r="2028" spans="1:3" x14ac:dyDescent="0.4">
      <c r="A2028">
        <v>108014</v>
      </c>
      <c r="B2028" t="s">
        <v>274</v>
      </c>
      <c r="C2028" t="s">
        <v>311</v>
      </c>
    </row>
    <row r="2029" spans="1:3" x14ac:dyDescent="0.4">
      <c r="A2029">
        <v>108015</v>
      </c>
      <c r="B2029" t="s">
        <v>274</v>
      </c>
      <c r="C2029" t="s">
        <v>310</v>
      </c>
    </row>
    <row r="2030" spans="1:3" x14ac:dyDescent="0.4">
      <c r="A2030">
        <v>108016</v>
      </c>
      <c r="B2030" t="s">
        <v>274</v>
      </c>
      <c r="C2030" t="s">
        <v>309</v>
      </c>
    </row>
    <row r="2031" spans="1:3" x14ac:dyDescent="0.4">
      <c r="A2031">
        <v>108017</v>
      </c>
      <c r="B2031" t="s">
        <v>274</v>
      </c>
      <c r="C2031" t="s">
        <v>308</v>
      </c>
    </row>
    <row r="2032" spans="1:3" x14ac:dyDescent="0.4">
      <c r="A2032">
        <v>108018</v>
      </c>
      <c r="B2032" t="s">
        <v>274</v>
      </c>
      <c r="C2032" t="s">
        <v>307</v>
      </c>
    </row>
    <row r="2033" spans="1:3" x14ac:dyDescent="0.4">
      <c r="A2033">
        <v>108019</v>
      </c>
      <c r="B2033" t="s">
        <v>274</v>
      </c>
      <c r="C2033" t="s">
        <v>306</v>
      </c>
    </row>
    <row r="2034" spans="1:3" x14ac:dyDescent="0.4">
      <c r="A2034">
        <v>108020</v>
      </c>
      <c r="B2034" t="s">
        <v>274</v>
      </c>
      <c r="C2034" t="s">
        <v>305</v>
      </c>
    </row>
    <row r="2035" spans="1:3" x14ac:dyDescent="0.4">
      <c r="A2035">
        <v>108021</v>
      </c>
      <c r="B2035" t="s">
        <v>274</v>
      </c>
      <c r="C2035" t="s">
        <v>304</v>
      </c>
    </row>
    <row r="2036" spans="1:3" x14ac:dyDescent="0.4">
      <c r="A2036">
        <v>108022</v>
      </c>
      <c r="B2036" t="s">
        <v>274</v>
      </c>
      <c r="C2036" t="s">
        <v>303</v>
      </c>
    </row>
    <row r="2037" spans="1:3" x14ac:dyDescent="0.4">
      <c r="A2037">
        <v>108023</v>
      </c>
      <c r="B2037" t="s">
        <v>274</v>
      </c>
      <c r="C2037" t="s">
        <v>302</v>
      </c>
    </row>
    <row r="2038" spans="1:3" x14ac:dyDescent="0.4">
      <c r="A2038">
        <v>108024</v>
      </c>
      <c r="B2038" t="s">
        <v>274</v>
      </c>
      <c r="C2038" t="s">
        <v>301</v>
      </c>
    </row>
    <row r="2039" spans="1:3" x14ac:dyDescent="0.4">
      <c r="A2039">
        <v>108025</v>
      </c>
      <c r="B2039" t="s">
        <v>274</v>
      </c>
      <c r="C2039" t="s">
        <v>300</v>
      </c>
    </row>
    <row r="2040" spans="1:3" x14ac:dyDescent="0.4">
      <c r="A2040">
        <v>109000</v>
      </c>
      <c r="B2040" t="s">
        <v>274</v>
      </c>
      <c r="C2040" t="s">
        <v>299</v>
      </c>
    </row>
    <row r="2041" spans="1:3" x14ac:dyDescent="0.4">
      <c r="A2041">
        <v>109001</v>
      </c>
      <c r="B2041" t="s">
        <v>274</v>
      </c>
      <c r="C2041" t="s">
        <v>298</v>
      </c>
    </row>
    <row r="2042" spans="1:3" x14ac:dyDescent="0.4">
      <c r="A2042">
        <v>109002</v>
      </c>
      <c r="B2042" t="s">
        <v>274</v>
      </c>
      <c r="C2042" t="s">
        <v>297</v>
      </c>
    </row>
    <row r="2043" spans="1:3" x14ac:dyDescent="0.4">
      <c r="A2043">
        <v>109003</v>
      </c>
      <c r="B2043" t="s">
        <v>274</v>
      </c>
      <c r="C2043" t="s">
        <v>296</v>
      </c>
    </row>
    <row r="2044" spans="1:3" x14ac:dyDescent="0.4">
      <c r="A2044">
        <v>109004</v>
      </c>
      <c r="B2044" t="s">
        <v>274</v>
      </c>
      <c r="C2044" t="s">
        <v>295</v>
      </c>
    </row>
    <row r="2045" spans="1:3" x14ac:dyDescent="0.4">
      <c r="A2045">
        <v>109005</v>
      </c>
      <c r="B2045" t="s">
        <v>274</v>
      </c>
      <c r="C2045" t="s">
        <v>294</v>
      </c>
    </row>
    <row r="2046" spans="1:3" x14ac:dyDescent="0.4">
      <c r="A2046">
        <v>109006</v>
      </c>
      <c r="B2046" t="s">
        <v>274</v>
      </c>
      <c r="C2046" t="s">
        <v>293</v>
      </c>
    </row>
    <row r="2047" spans="1:3" x14ac:dyDescent="0.4">
      <c r="A2047">
        <v>109007</v>
      </c>
      <c r="B2047" t="s">
        <v>274</v>
      </c>
      <c r="C2047" t="s">
        <v>292</v>
      </c>
    </row>
    <row r="2048" spans="1:3" x14ac:dyDescent="0.4">
      <c r="A2048">
        <v>109008</v>
      </c>
      <c r="B2048" t="s">
        <v>274</v>
      </c>
      <c r="C2048" t="s">
        <v>291</v>
      </c>
    </row>
    <row r="2049" spans="1:3" x14ac:dyDescent="0.4">
      <c r="A2049">
        <v>109009</v>
      </c>
      <c r="B2049" t="s">
        <v>274</v>
      </c>
      <c r="C2049" t="s">
        <v>290</v>
      </c>
    </row>
    <row r="2050" spans="1:3" x14ac:dyDescent="0.4">
      <c r="A2050">
        <v>109010</v>
      </c>
      <c r="B2050" t="s">
        <v>274</v>
      </c>
      <c r="C2050" t="s">
        <v>289</v>
      </c>
    </row>
    <row r="2051" spans="1:3" x14ac:dyDescent="0.4">
      <c r="A2051">
        <v>109011</v>
      </c>
      <c r="B2051" t="s">
        <v>274</v>
      </c>
      <c r="C2051" t="s">
        <v>288</v>
      </c>
    </row>
    <row r="2052" spans="1:3" x14ac:dyDescent="0.4">
      <c r="A2052">
        <v>109012</v>
      </c>
      <c r="B2052" t="s">
        <v>274</v>
      </c>
      <c r="C2052" t="s">
        <v>287</v>
      </c>
    </row>
    <row r="2053" spans="1:3" x14ac:dyDescent="0.4">
      <c r="A2053">
        <v>109013</v>
      </c>
      <c r="B2053" t="s">
        <v>274</v>
      </c>
      <c r="C2053" t="s">
        <v>286</v>
      </c>
    </row>
    <row r="2054" spans="1:3" x14ac:dyDescent="0.4">
      <c r="A2054">
        <v>109014</v>
      </c>
      <c r="B2054" t="s">
        <v>274</v>
      </c>
      <c r="C2054" t="s">
        <v>285</v>
      </c>
    </row>
    <row r="2055" spans="1:3" x14ac:dyDescent="0.4">
      <c r="A2055">
        <v>109015</v>
      </c>
      <c r="B2055" t="s">
        <v>274</v>
      </c>
      <c r="C2055" t="s">
        <v>284</v>
      </c>
    </row>
    <row r="2056" spans="1:3" x14ac:dyDescent="0.4">
      <c r="A2056">
        <v>109016</v>
      </c>
      <c r="B2056" t="s">
        <v>274</v>
      </c>
      <c r="C2056" t="s">
        <v>283</v>
      </c>
    </row>
    <row r="2057" spans="1:3" x14ac:dyDescent="0.4">
      <c r="A2057">
        <v>109017</v>
      </c>
      <c r="B2057" t="s">
        <v>274</v>
      </c>
      <c r="C2057" t="s">
        <v>282</v>
      </c>
    </row>
    <row r="2058" spans="1:3" x14ac:dyDescent="0.4">
      <c r="A2058">
        <v>109018</v>
      </c>
      <c r="B2058" t="s">
        <v>274</v>
      </c>
      <c r="C2058" t="s">
        <v>281</v>
      </c>
    </row>
    <row r="2059" spans="1:3" x14ac:dyDescent="0.4">
      <c r="A2059">
        <v>109019</v>
      </c>
      <c r="B2059" t="s">
        <v>274</v>
      </c>
      <c r="C2059" t="s">
        <v>280</v>
      </c>
    </row>
    <row r="2060" spans="1:3" x14ac:dyDescent="0.4">
      <c r="A2060">
        <v>109020</v>
      </c>
      <c r="B2060" t="s">
        <v>274</v>
      </c>
      <c r="C2060" t="s">
        <v>279</v>
      </c>
    </row>
    <row r="2061" spans="1:3" x14ac:dyDescent="0.4">
      <c r="A2061">
        <v>109021</v>
      </c>
      <c r="B2061" t="s">
        <v>274</v>
      </c>
      <c r="C2061" t="s">
        <v>278</v>
      </c>
    </row>
    <row r="2062" spans="1:3" x14ac:dyDescent="0.4">
      <c r="A2062">
        <v>109022</v>
      </c>
      <c r="B2062" t="s">
        <v>274</v>
      </c>
      <c r="C2062" t="s">
        <v>277</v>
      </c>
    </row>
    <row r="2063" spans="1:3" x14ac:dyDescent="0.4">
      <c r="A2063">
        <v>109023</v>
      </c>
      <c r="B2063" t="s">
        <v>274</v>
      </c>
      <c r="C2063" t="s">
        <v>276</v>
      </c>
    </row>
    <row r="2064" spans="1:3" x14ac:dyDescent="0.4">
      <c r="A2064">
        <v>109024</v>
      </c>
      <c r="B2064" t="s">
        <v>274</v>
      </c>
      <c r="C2064" t="s">
        <v>275</v>
      </c>
    </row>
    <row r="2065" spans="1:3" x14ac:dyDescent="0.4">
      <c r="A2065">
        <v>109025</v>
      </c>
      <c r="B2065" t="s">
        <v>274</v>
      </c>
      <c r="C2065" t="s">
        <v>273</v>
      </c>
    </row>
    <row r="2066" spans="1:3" x14ac:dyDescent="0.4">
      <c r="A2066">
        <v>110000</v>
      </c>
      <c r="B2066" t="s">
        <v>33</v>
      </c>
      <c r="C2066" t="s">
        <v>272</v>
      </c>
    </row>
    <row r="2067" spans="1:3" x14ac:dyDescent="0.4">
      <c r="A2067">
        <v>110001</v>
      </c>
      <c r="B2067" t="s">
        <v>33</v>
      </c>
      <c r="C2067" t="s">
        <v>271</v>
      </c>
    </row>
    <row r="2068" spans="1:3" x14ac:dyDescent="0.4">
      <c r="A2068">
        <v>110002</v>
      </c>
      <c r="B2068" t="s">
        <v>33</v>
      </c>
      <c r="C2068" t="s">
        <v>270</v>
      </c>
    </row>
    <row r="2069" spans="1:3" x14ac:dyDescent="0.4">
      <c r="A2069">
        <v>110003</v>
      </c>
      <c r="B2069" t="s">
        <v>33</v>
      </c>
      <c r="C2069" t="s">
        <v>269</v>
      </c>
    </row>
    <row r="2070" spans="1:3" x14ac:dyDescent="0.4">
      <c r="A2070">
        <v>110004</v>
      </c>
      <c r="B2070" t="s">
        <v>33</v>
      </c>
      <c r="C2070" t="s">
        <v>268</v>
      </c>
    </row>
    <row r="2071" spans="1:3" x14ac:dyDescent="0.4">
      <c r="A2071">
        <v>110005</v>
      </c>
      <c r="B2071" t="s">
        <v>33</v>
      </c>
      <c r="C2071" t="s">
        <v>267</v>
      </c>
    </row>
    <row r="2072" spans="1:3" x14ac:dyDescent="0.4">
      <c r="A2072">
        <v>110006</v>
      </c>
      <c r="B2072" t="s">
        <v>33</v>
      </c>
      <c r="C2072" t="s">
        <v>266</v>
      </c>
    </row>
    <row r="2073" spans="1:3" x14ac:dyDescent="0.4">
      <c r="A2073">
        <v>110007</v>
      </c>
      <c r="B2073" t="s">
        <v>33</v>
      </c>
      <c r="C2073" t="s">
        <v>265</v>
      </c>
    </row>
    <row r="2074" spans="1:3" x14ac:dyDescent="0.4">
      <c r="A2074">
        <v>110008</v>
      </c>
      <c r="B2074" t="s">
        <v>33</v>
      </c>
      <c r="C2074" t="s">
        <v>264</v>
      </c>
    </row>
    <row r="2075" spans="1:3" x14ac:dyDescent="0.4">
      <c r="A2075">
        <v>110009</v>
      </c>
      <c r="B2075" t="s">
        <v>33</v>
      </c>
      <c r="C2075" t="s">
        <v>263</v>
      </c>
    </row>
    <row r="2076" spans="1:3" x14ac:dyDescent="0.4">
      <c r="A2076">
        <v>110010</v>
      </c>
      <c r="B2076" t="s">
        <v>33</v>
      </c>
      <c r="C2076" t="s">
        <v>262</v>
      </c>
    </row>
    <row r="2077" spans="1:3" x14ac:dyDescent="0.4">
      <c r="A2077">
        <v>110011</v>
      </c>
      <c r="B2077" t="s">
        <v>33</v>
      </c>
      <c r="C2077" t="s">
        <v>261</v>
      </c>
    </row>
    <row r="2078" spans="1:3" x14ac:dyDescent="0.4">
      <c r="A2078">
        <v>110012</v>
      </c>
      <c r="B2078" t="s">
        <v>33</v>
      </c>
      <c r="C2078" t="s">
        <v>260</v>
      </c>
    </row>
    <row r="2079" spans="1:3" x14ac:dyDescent="0.4">
      <c r="A2079">
        <v>110013</v>
      </c>
      <c r="B2079" t="s">
        <v>33</v>
      </c>
      <c r="C2079" t="s">
        <v>259</v>
      </c>
    </row>
    <row r="2080" spans="1:3" x14ac:dyDescent="0.4">
      <c r="A2080">
        <v>110016</v>
      </c>
      <c r="B2080" t="s">
        <v>33</v>
      </c>
      <c r="C2080" t="s">
        <v>258</v>
      </c>
    </row>
    <row r="2081" spans="1:3" x14ac:dyDescent="0.4">
      <c r="A2081">
        <v>110017</v>
      </c>
      <c r="B2081" t="s">
        <v>33</v>
      </c>
      <c r="C2081" t="s">
        <v>257</v>
      </c>
    </row>
    <row r="2082" spans="1:3" x14ac:dyDescent="0.4">
      <c r="A2082">
        <v>110018</v>
      </c>
      <c r="B2082" t="s">
        <v>33</v>
      </c>
      <c r="C2082" t="s">
        <v>256</v>
      </c>
    </row>
    <row r="2083" spans="1:3" x14ac:dyDescent="0.4">
      <c r="A2083">
        <v>110019</v>
      </c>
      <c r="B2083" t="s">
        <v>33</v>
      </c>
      <c r="C2083" t="s">
        <v>255</v>
      </c>
    </row>
    <row r="2084" spans="1:3" x14ac:dyDescent="0.4">
      <c r="A2084">
        <v>110020</v>
      </c>
      <c r="B2084" t="s">
        <v>33</v>
      </c>
      <c r="C2084" t="s">
        <v>254</v>
      </c>
    </row>
    <row r="2085" spans="1:3" x14ac:dyDescent="0.4">
      <c r="A2085">
        <v>110021</v>
      </c>
      <c r="B2085" t="s">
        <v>33</v>
      </c>
      <c r="C2085" t="s">
        <v>253</v>
      </c>
    </row>
    <row r="2086" spans="1:3" x14ac:dyDescent="0.4">
      <c r="A2086">
        <v>110024</v>
      </c>
      <c r="B2086" t="s">
        <v>33</v>
      </c>
      <c r="C2086" t="s">
        <v>252</v>
      </c>
    </row>
    <row r="2087" spans="1:3" x14ac:dyDescent="0.4">
      <c r="A2087">
        <v>110025</v>
      </c>
      <c r="B2087" t="s">
        <v>33</v>
      </c>
      <c r="C2087" t="s">
        <v>251</v>
      </c>
    </row>
    <row r="2088" spans="1:3" x14ac:dyDescent="0.4">
      <c r="A2088">
        <v>110026</v>
      </c>
      <c r="B2088" t="s">
        <v>33</v>
      </c>
      <c r="C2088" t="s">
        <v>250</v>
      </c>
    </row>
    <row r="2089" spans="1:3" x14ac:dyDescent="0.4">
      <c r="A2089">
        <v>110027</v>
      </c>
      <c r="B2089" t="s">
        <v>33</v>
      </c>
      <c r="C2089" t="s">
        <v>249</v>
      </c>
    </row>
    <row r="2090" spans="1:3" x14ac:dyDescent="0.4">
      <c r="A2090">
        <v>110028</v>
      </c>
      <c r="B2090" t="s">
        <v>33</v>
      </c>
      <c r="C2090" t="s">
        <v>248</v>
      </c>
    </row>
    <row r="2091" spans="1:3" x14ac:dyDescent="0.4">
      <c r="A2091">
        <v>110029</v>
      </c>
      <c r="B2091" t="s">
        <v>33</v>
      </c>
      <c r="C2091" t="s">
        <v>247</v>
      </c>
    </row>
    <row r="2092" spans="1:3" x14ac:dyDescent="0.4">
      <c r="A2092">
        <v>110064</v>
      </c>
      <c r="B2092" t="s">
        <v>33</v>
      </c>
      <c r="C2092" t="s">
        <v>246</v>
      </c>
    </row>
    <row r="2093" spans="1:3" x14ac:dyDescent="0.4">
      <c r="A2093">
        <v>110065</v>
      </c>
      <c r="B2093" t="s">
        <v>33</v>
      </c>
      <c r="C2093" t="s">
        <v>245</v>
      </c>
    </row>
    <row r="2094" spans="1:3" x14ac:dyDescent="0.4">
      <c r="A2094">
        <v>110066</v>
      </c>
      <c r="B2094" t="s">
        <v>33</v>
      </c>
      <c r="C2094" t="s">
        <v>244</v>
      </c>
    </row>
    <row r="2095" spans="1:3" x14ac:dyDescent="0.4">
      <c r="A2095">
        <v>110067</v>
      </c>
      <c r="B2095" t="s">
        <v>33</v>
      </c>
      <c r="C2095" t="s">
        <v>243</v>
      </c>
    </row>
    <row r="2096" spans="1:3" x14ac:dyDescent="0.4">
      <c r="A2096">
        <v>110068</v>
      </c>
      <c r="B2096" t="s">
        <v>33</v>
      </c>
      <c r="C2096" t="s">
        <v>242</v>
      </c>
    </row>
    <row r="2097" spans="1:3" x14ac:dyDescent="0.4">
      <c r="A2097">
        <v>110070</v>
      </c>
      <c r="B2097" t="s">
        <v>33</v>
      </c>
      <c r="C2097" t="s">
        <v>241</v>
      </c>
    </row>
    <row r="2098" spans="1:3" x14ac:dyDescent="0.4">
      <c r="A2098">
        <v>110071</v>
      </c>
      <c r="B2098" t="s">
        <v>33</v>
      </c>
      <c r="C2098" t="s">
        <v>240</v>
      </c>
    </row>
    <row r="2099" spans="1:3" x14ac:dyDescent="0.4">
      <c r="A2099">
        <v>110072</v>
      </c>
      <c r="B2099" t="s">
        <v>33</v>
      </c>
      <c r="C2099" t="s">
        <v>239</v>
      </c>
    </row>
    <row r="2100" spans="1:3" x14ac:dyDescent="0.4">
      <c r="A2100">
        <v>110073</v>
      </c>
      <c r="B2100" t="s">
        <v>33</v>
      </c>
      <c r="C2100" t="s">
        <v>238</v>
      </c>
    </row>
    <row r="2101" spans="1:3" x14ac:dyDescent="0.4">
      <c r="A2101">
        <v>110075</v>
      </c>
      <c r="B2101" t="s">
        <v>33</v>
      </c>
      <c r="C2101" t="s">
        <v>237</v>
      </c>
    </row>
    <row r="2102" spans="1:3" x14ac:dyDescent="0.4">
      <c r="A2102">
        <v>110076</v>
      </c>
      <c r="B2102" t="s">
        <v>33</v>
      </c>
      <c r="C2102" t="s">
        <v>236</v>
      </c>
    </row>
    <row r="2103" spans="1:3" x14ac:dyDescent="0.4">
      <c r="A2103">
        <v>110077</v>
      </c>
      <c r="B2103" t="s">
        <v>33</v>
      </c>
      <c r="C2103" t="s">
        <v>235</v>
      </c>
    </row>
    <row r="2104" spans="1:3" x14ac:dyDescent="0.4">
      <c r="A2104">
        <v>110078</v>
      </c>
      <c r="B2104" t="s">
        <v>33</v>
      </c>
      <c r="C2104" t="s">
        <v>234</v>
      </c>
    </row>
    <row r="2105" spans="1:3" x14ac:dyDescent="0.4">
      <c r="A2105">
        <v>110079</v>
      </c>
      <c r="B2105" t="s">
        <v>33</v>
      </c>
      <c r="C2105" t="s">
        <v>233</v>
      </c>
    </row>
    <row r="2106" spans="1:3" x14ac:dyDescent="0.4">
      <c r="A2106">
        <v>110080</v>
      </c>
      <c r="B2106" t="s">
        <v>33</v>
      </c>
      <c r="C2106" t="s">
        <v>232</v>
      </c>
    </row>
    <row r="2107" spans="1:3" x14ac:dyDescent="0.4">
      <c r="A2107">
        <v>110081</v>
      </c>
      <c r="B2107" t="s">
        <v>33</v>
      </c>
      <c r="C2107" t="s">
        <v>231</v>
      </c>
    </row>
    <row r="2108" spans="1:3" x14ac:dyDescent="0.4">
      <c r="A2108">
        <v>110082</v>
      </c>
      <c r="B2108" t="s">
        <v>33</v>
      </c>
      <c r="C2108" t="s">
        <v>230</v>
      </c>
    </row>
    <row r="2109" spans="1:3" x14ac:dyDescent="0.4">
      <c r="A2109">
        <v>110083</v>
      </c>
      <c r="B2109" t="s">
        <v>33</v>
      </c>
      <c r="C2109" t="s">
        <v>229</v>
      </c>
    </row>
    <row r="2110" spans="1:3" x14ac:dyDescent="0.4">
      <c r="A2110">
        <v>110086</v>
      </c>
      <c r="B2110" t="s">
        <v>33</v>
      </c>
      <c r="C2110" t="s">
        <v>228</v>
      </c>
    </row>
    <row r="2111" spans="1:3" x14ac:dyDescent="0.4">
      <c r="A2111">
        <v>110087</v>
      </c>
      <c r="B2111" t="s">
        <v>33</v>
      </c>
      <c r="C2111" t="s">
        <v>227</v>
      </c>
    </row>
    <row r="2112" spans="1:3" x14ac:dyDescent="0.4">
      <c r="A2112">
        <v>110088</v>
      </c>
      <c r="B2112" t="s">
        <v>33</v>
      </c>
      <c r="C2112" t="s">
        <v>226</v>
      </c>
    </row>
    <row r="2113" spans="1:3" x14ac:dyDescent="0.4">
      <c r="A2113">
        <v>110091</v>
      </c>
      <c r="B2113" t="s">
        <v>33</v>
      </c>
      <c r="C2113" t="s">
        <v>225</v>
      </c>
    </row>
    <row r="2114" spans="1:3" x14ac:dyDescent="0.4">
      <c r="A2114">
        <v>110092</v>
      </c>
      <c r="B2114" t="s">
        <v>33</v>
      </c>
      <c r="C2114" t="s">
        <v>224</v>
      </c>
    </row>
    <row r="2115" spans="1:3" x14ac:dyDescent="0.4">
      <c r="A2115">
        <v>110093</v>
      </c>
      <c r="B2115" t="s">
        <v>33</v>
      </c>
      <c r="C2115" t="s">
        <v>223</v>
      </c>
    </row>
    <row r="2116" spans="1:3" x14ac:dyDescent="0.4">
      <c r="A2116">
        <v>110094</v>
      </c>
      <c r="B2116" t="s">
        <v>33</v>
      </c>
      <c r="C2116" t="s">
        <v>222</v>
      </c>
    </row>
    <row r="2117" spans="1:3" x14ac:dyDescent="0.4">
      <c r="A2117">
        <v>110106</v>
      </c>
      <c r="B2117" t="s">
        <v>33</v>
      </c>
      <c r="C2117" t="s">
        <v>221</v>
      </c>
    </row>
    <row r="2118" spans="1:3" x14ac:dyDescent="0.4">
      <c r="A2118">
        <v>110110</v>
      </c>
      <c r="B2118" t="s">
        <v>33</v>
      </c>
      <c r="C2118" t="s">
        <v>220</v>
      </c>
    </row>
    <row r="2119" spans="1:3" x14ac:dyDescent="0.4">
      <c r="A2119">
        <v>110704</v>
      </c>
      <c r="B2119" t="s">
        <v>33</v>
      </c>
      <c r="C2119" t="s">
        <v>219</v>
      </c>
    </row>
    <row r="2120" spans="1:3" x14ac:dyDescent="0.4">
      <c r="A2120">
        <v>110705</v>
      </c>
      <c r="B2120" t="s">
        <v>33</v>
      </c>
      <c r="C2120" t="s">
        <v>218</v>
      </c>
    </row>
    <row r="2121" spans="1:3" x14ac:dyDescent="0.4">
      <c r="A2121">
        <v>110706</v>
      </c>
      <c r="B2121" t="s">
        <v>33</v>
      </c>
      <c r="C2121" t="s">
        <v>217</v>
      </c>
    </row>
    <row r="2122" spans="1:3" x14ac:dyDescent="0.4">
      <c r="A2122">
        <v>110707</v>
      </c>
      <c r="B2122" t="s">
        <v>33</v>
      </c>
      <c r="C2122" t="s">
        <v>216</v>
      </c>
    </row>
    <row r="2123" spans="1:3" x14ac:dyDescent="0.4">
      <c r="A2123">
        <v>110708</v>
      </c>
      <c r="B2123" t="s">
        <v>33</v>
      </c>
      <c r="C2123" t="s">
        <v>215</v>
      </c>
    </row>
    <row r="2124" spans="1:3" x14ac:dyDescent="0.4">
      <c r="A2124">
        <v>110709</v>
      </c>
      <c r="B2124" t="s">
        <v>33</v>
      </c>
      <c r="C2124" t="s">
        <v>214</v>
      </c>
    </row>
    <row r="2125" spans="1:3" x14ac:dyDescent="0.4">
      <c r="A2125">
        <v>110710</v>
      </c>
      <c r="B2125" t="s">
        <v>33</v>
      </c>
      <c r="C2125" t="s">
        <v>213</v>
      </c>
    </row>
    <row r="2126" spans="1:3" x14ac:dyDescent="0.4">
      <c r="A2126">
        <v>110711</v>
      </c>
      <c r="B2126" t="s">
        <v>33</v>
      </c>
      <c r="C2126" t="s">
        <v>212</v>
      </c>
    </row>
    <row r="2127" spans="1:3" x14ac:dyDescent="0.4">
      <c r="A2127">
        <v>110713</v>
      </c>
      <c r="B2127" t="s">
        <v>33</v>
      </c>
      <c r="C2127" t="s">
        <v>211</v>
      </c>
    </row>
    <row r="2128" spans="1:3" x14ac:dyDescent="0.4">
      <c r="A2128">
        <v>110714</v>
      </c>
      <c r="B2128" t="s">
        <v>33</v>
      </c>
      <c r="C2128" t="s">
        <v>210</v>
      </c>
    </row>
    <row r="2129" spans="1:3" x14ac:dyDescent="0.4">
      <c r="A2129">
        <v>110715</v>
      </c>
      <c r="B2129" t="s">
        <v>33</v>
      </c>
      <c r="C2129" t="s">
        <v>209</v>
      </c>
    </row>
    <row r="2130" spans="1:3" x14ac:dyDescent="0.4">
      <c r="A2130">
        <v>110716</v>
      </c>
      <c r="B2130" t="s">
        <v>33</v>
      </c>
      <c r="C2130" t="s">
        <v>208</v>
      </c>
    </row>
    <row r="2131" spans="1:3" x14ac:dyDescent="0.4">
      <c r="A2131">
        <v>110717</v>
      </c>
      <c r="B2131" t="s">
        <v>33</v>
      </c>
      <c r="C2131" t="s">
        <v>207</v>
      </c>
    </row>
    <row r="2132" spans="1:3" x14ac:dyDescent="0.4">
      <c r="A2132">
        <v>110718</v>
      </c>
      <c r="B2132" t="s">
        <v>33</v>
      </c>
      <c r="C2132" t="s">
        <v>206</v>
      </c>
    </row>
    <row r="2133" spans="1:3" x14ac:dyDescent="0.4">
      <c r="A2133">
        <v>110719</v>
      </c>
      <c r="B2133" t="s">
        <v>33</v>
      </c>
      <c r="C2133" t="s">
        <v>205</v>
      </c>
    </row>
    <row r="2134" spans="1:3" x14ac:dyDescent="0.4">
      <c r="A2134">
        <v>110720</v>
      </c>
      <c r="B2134" t="s">
        <v>33</v>
      </c>
      <c r="C2134" t="s">
        <v>204</v>
      </c>
    </row>
    <row r="2135" spans="1:3" x14ac:dyDescent="0.4">
      <c r="A2135">
        <v>110721</v>
      </c>
      <c r="B2135" t="s">
        <v>33</v>
      </c>
      <c r="C2135" t="s">
        <v>203</v>
      </c>
    </row>
    <row r="2136" spans="1:3" x14ac:dyDescent="0.4">
      <c r="A2136">
        <v>110722</v>
      </c>
      <c r="B2136" t="s">
        <v>33</v>
      </c>
      <c r="C2136" t="s">
        <v>202</v>
      </c>
    </row>
    <row r="2137" spans="1:3" x14ac:dyDescent="0.4">
      <c r="A2137">
        <v>110723</v>
      </c>
      <c r="B2137" t="s">
        <v>33</v>
      </c>
      <c r="C2137" t="s">
        <v>201</v>
      </c>
    </row>
    <row r="2138" spans="1:3" x14ac:dyDescent="0.4">
      <c r="A2138">
        <v>110724</v>
      </c>
      <c r="B2138" t="s">
        <v>33</v>
      </c>
      <c r="C2138" t="s">
        <v>200</v>
      </c>
    </row>
    <row r="2139" spans="1:3" x14ac:dyDescent="0.4">
      <c r="A2139">
        <v>110726</v>
      </c>
      <c r="B2139" t="s">
        <v>33</v>
      </c>
      <c r="C2139" t="s">
        <v>199</v>
      </c>
    </row>
    <row r="2140" spans="1:3" x14ac:dyDescent="0.4">
      <c r="A2140">
        <v>110727</v>
      </c>
      <c r="B2140" t="s">
        <v>33</v>
      </c>
      <c r="C2140" t="s">
        <v>198</v>
      </c>
    </row>
    <row r="2141" spans="1:3" x14ac:dyDescent="0.4">
      <c r="A2141">
        <v>110728</v>
      </c>
      <c r="B2141" t="s">
        <v>33</v>
      </c>
      <c r="C2141" t="s">
        <v>197</v>
      </c>
    </row>
    <row r="2142" spans="1:3" x14ac:dyDescent="0.4">
      <c r="A2142">
        <v>110729</v>
      </c>
      <c r="B2142" t="s">
        <v>33</v>
      </c>
      <c r="C2142" t="s">
        <v>196</v>
      </c>
    </row>
    <row r="2143" spans="1:3" x14ac:dyDescent="0.4">
      <c r="A2143">
        <v>110730</v>
      </c>
      <c r="B2143" t="s">
        <v>33</v>
      </c>
      <c r="C2143" t="s">
        <v>195</v>
      </c>
    </row>
    <row r="2144" spans="1:3" x14ac:dyDescent="0.4">
      <c r="A2144">
        <v>110731</v>
      </c>
      <c r="B2144" t="s">
        <v>33</v>
      </c>
      <c r="C2144" t="s">
        <v>194</v>
      </c>
    </row>
    <row r="2145" spans="1:3" x14ac:dyDescent="0.4">
      <c r="A2145">
        <v>110732</v>
      </c>
      <c r="B2145" t="s">
        <v>33</v>
      </c>
      <c r="C2145" t="s">
        <v>193</v>
      </c>
    </row>
    <row r="2146" spans="1:3" x14ac:dyDescent="0.4">
      <c r="A2146">
        <v>110733</v>
      </c>
      <c r="B2146" t="s">
        <v>33</v>
      </c>
      <c r="C2146" t="s">
        <v>192</v>
      </c>
    </row>
    <row r="2147" spans="1:3" x14ac:dyDescent="0.4">
      <c r="A2147">
        <v>110734</v>
      </c>
      <c r="B2147" t="s">
        <v>33</v>
      </c>
      <c r="C2147" t="s">
        <v>191</v>
      </c>
    </row>
    <row r="2148" spans="1:3" x14ac:dyDescent="0.4">
      <c r="A2148">
        <v>110735</v>
      </c>
      <c r="B2148" t="s">
        <v>33</v>
      </c>
      <c r="C2148" t="s">
        <v>190</v>
      </c>
    </row>
    <row r="2149" spans="1:3" x14ac:dyDescent="0.4">
      <c r="A2149">
        <v>110736</v>
      </c>
      <c r="B2149" t="s">
        <v>33</v>
      </c>
      <c r="C2149" t="s">
        <v>189</v>
      </c>
    </row>
    <row r="2150" spans="1:3" x14ac:dyDescent="0.4">
      <c r="A2150">
        <v>110737</v>
      </c>
      <c r="B2150" t="s">
        <v>33</v>
      </c>
      <c r="C2150" t="s">
        <v>188</v>
      </c>
    </row>
    <row r="2151" spans="1:3" x14ac:dyDescent="0.4">
      <c r="A2151">
        <v>110738</v>
      </c>
      <c r="B2151" t="s">
        <v>33</v>
      </c>
      <c r="C2151" t="s">
        <v>187</v>
      </c>
    </row>
    <row r="2152" spans="1:3" x14ac:dyDescent="0.4">
      <c r="A2152">
        <v>110739</v>
      </c>
      <c r="B2152" t="s">
        <v>33</v>
      </c>
      <c r="C2152" t="s">
        <v>186</v>
      </c>
    </row>
    <row r="2153" spans="1:3" x14ac:dyDescent="0.4">
      <c r="A2153">
        <v>110740</v>
      </c>
      <c r="B2153" t="s">
        <v>33</v>
      </c>
      <c r="C2153" t="s">
        <v>185</v>
      </c>
    </row>
    <row r="2154" spans="1:3" x14ac:dyDescent="0.4">
      <c r="A2154">
        <v>110741</v>
      </c>
      <c r="B2154" t="s">
        <v>33</v>
      </c>
      <c r="C2154" t="s">
        <v>184</v>
      </c>
    </row>
    <row r="2155" spans="1:3" x14ac:dyDescent="0.4">
      <c r="A2155">
        <v>110743</v>
      </c>
      <c r="B2155" t="s">
        <v>33</v>
      </c>
      <c r="C2155" t="s">
        <v>183</v>
      </c>
    </row>
    <row r="2156" spans="1:3" x14ac:dyDescent="0.4">
      <c r="A2156">
        <v>110744</v>
      </c>
      <c r="B2156" t="s">
        <v>33</v>
      </c>
      <c r="C2156" t="s">
        <v>182</v>
      </c>
    </row>
    <row r="2157" spans="1:3" x14ac:dyDescent="0.4">
      <c r="A2157">
        <v>110745</v>
      </c>
      <c r="B2157" t="s">
        <v>33</v>
      </c>
      <c r="C2157" t="s">
        <v>181</v>
      </c>
    </row>
    <row r="2158" spans="1:3" x14ac:dyDescent="0.4">
      <c r="A2158">
        <v>110746</v>
      </c>
      <c r="B2158" t="s">
        <v>33</v>
      </c>
      <c r="C2158" t="s">
        <v>180</v>
      </c>
    </row>
    <row r="2159" spans="1:3" x14ac:dyDescent="0.4">
      <c r="A2159">
        <v>110747</v>
      </c>
      <c r="B2159" t="s">
        <v>33</v>
      </c>
      <c r="C2159" t="s">
        <v>179</v>
      </c>
    </row>
    <row r="2160" spans="1:3" x14ac:dyDescent="0.4">
      <c r="A2160">
        <v>110748</v>
      </c>
      <c r="B2160" t="s">
        <v>33</v>
      </c>
      <c r="C2160" t="s">
        <v>178</v>
      </c>
    </row>
    <row r="2161" spans="1:3" x14ac:dyDescent="0.4">
      <c r="A2161">
        <v>110750</v>
      </c>
      <c r="B2161" t="s">
        <v>33</v>
      </c>
      <c r="C2161" t="s">
        <v>177</v>
      </c>
    </row>
    <row r="2162" spans="1:3" x14ac:dyDescent="0.4">
      <c r="A2162">
        <v>110753</v>
      </c>
      <c r="B2162" t="s">
        <v>33</v>
      </c>
      <c r="C2162" t="s">
        <v>176</v>
      </c>
    </row>
    <row r="2163" spans="1:3" x14ac:dyDescent="0.4">
      <c r="A2163">
        <v>110754</v>
      </c>
      <c r="B2163" t="s">
        <v>33</v>
      </c>
      <c r="C2163" t="s">
        <v>175</v>
      </c>
    </row>
    <row r="2164" spans="1:3" x14ac:dyDescent="0.4">
      <c r="A2164">
        <v>110757</v>
      </c>
      <c r="B2164" t="s">
        <v>33</v>
      </c>
      <c r="C2164" t="s">
        <v>174</v>
      </c>
    </row>
    <row r="2165" spans="1:3" x14ac:dyDescent="0.4">
      <c r="A2165">
        <v>110758</v>
      </c>
      <c r="B2165" t="s">
        <v>33</v>
      </c>
      <c r="C2165" t="s">
        <v>173</v>
      </c>
    </row>
    <row r="2166" spans="1:3" x14ac:dyDescent="0.4">
      <c r="A2166">
        <v>110759</v>
      </c>
      <c r="B2166" t="s">
        <v>33</v>
      </c>
      <c r="C2166" t="s">
        <v>172</v>
      </c>
    </row>
    <row r="2167" spans="1:3" x14ac:dyDescent="0.4">
      <c r="A2167">
        <v>110760</v>
      </c>
      <c r="B2167" t="s">
        <v>33</v>
      </c>
      <c r="C2167" t="s">
        <v>171</v>
      </c>
    </row>
    <row r="2168" spans="1:3" x14ac:dyDescent="0.4">
      <c r="A2168">
        <v>110761</v>
      </c>
      <c r="B2168" t="s">
        <v>33</v>
      </c>
      <c r="C2168" t="s">
        <v>170</v>
      </c>
    </row>
    <row r="2169" spans="1:3" x14ac:dyDescent="0.4">
      <c r="A2169">
        <v>110762</v>
      </c>
      <c r="B2169" t="s">
        <v>33</v>
      </c>
      <c r="C2169" t="s">
        <v>169</v>
      </c>
    </row>
    <row r="2170" spans="1:3" x14ac:dyDescent="0.4">
      <c r="A2170">
        <v>110763</v>
      </c>
      <c r="B2170" t="s">
        <v>33</v>
      </c>
      <c r="C2170" t="s">
        <v>168</v>
      </c>
    </row>
    <row r="2171" spans="1:3" x14ac:dyDescent="0.4">
      <c r="A2171">
        <v>112000</v>
      </c>
      <c r="B2171" t="s">
        <v>33</v>
      </c>
      <c r="C2171" t="s">
        <v>167</v>
      </c>
    </row>
    <row r="2172" spans="1:3" x14ac:dyDescent="0.4">
      <c r="A2172">
        <v>112001</v>
      </c>
      <c r="B2172" t="s">
        <v>33</v>
      </c>
      <c r="C2172" t="s">
        <v>166</v>
      </c>
    </row>
    <row r="2173" spans="1:3" x14ac:dyDescent="0.4">
      <c r="A2173">
        <v>112002</v>
      </c>
      <c r="B2173" t="s">
        <v>33</v>
      </c>
      <c r="C2173" t="s">
        <v>165</v>
      </c>
    </row>
    <row r="2174" spans="1:3" x14ac:dyDescent="0.4">
      <c r="A2174">
        <v>112003</v>
      </c>
      <c r="B2174" t="s">
        <v>33</v>
      </c>
      <c r="C2174" t="s">
        <v>164</v>
      </c>
    </row>
    <row r="2175" spans="1:3" x14ac:dyDescent="0.4">
      <c r="A2175">
        <v>112004</v>
      </c>
      <c r="B2175" t="s">
        <v>33</v>
      </c>
      <c r="C2175" t="s">
        <v>163</v>
      </c>
    </row>
    <row r="2176" spans="1:3" x14ac:dyDescent="0.4">
      <c r="A2176">
        <v>112005</v>
      </c>
      <c r="B2176" t="s">
        <v>33</v>
      </c>
      <c r="C2176" t="s">
        <v>162</v>
      </c>
    </row>
    <row r="2177" spans="1:3" x14ac:dyDescent="0.4">
      <c r="A2177">
        <v>112006</v>
      </c>
      <c r="B2177" t="s">
        <v>33</v>
      </c>
      <c r="C2177" t="s">
        <v>161</v>
      </c>
    </row>
    <row r="2178" spans="1:3" x14ac:dyDescent="0.4">
      <c r="A2178">
        <v>112007</v>
      </c>
      <c r="B2178" t="s">
        <v>33</v>
      </c>
      <c r="C2178" t="s">
        <v>160</v>
      </c>
    </row>
    <row r="2179" spans="1:3" x14ac:dyDescent="0.4">
      <c r="A2179">
        <v>112008</v>
      </c>
      <c r="B2179" t="s">
        <v>33</v>
      </c>
      <c r="C2179" t="s">
        <v>159</v>
      </c>
    </row>
    <row r="2180" spans="1:3" x14ac:dyDescent="0.4">
      <c r="A2180">
        <v>112009</v>
      </c>
      <c r="B2180" t="s">
        <v>33</v>
      </c>
      <c r="C2180" t="s">
        <v>158</v>
      </c>
    </row>
    <row r="2181" spans="1:3" x14ac:dyDescent="0.4">
      <c r="A2181">
        <v>112010</v>
      </c>
      <c r="B2181" t="s">
        <v>33</v>
      </c>
      <c r="C2181" t="s">
        <v>157</v>
      </c>
    </row>
    <row r="2182" spans="1:3" x14ac:dyDescent="0.4">
      <c r="A2182">
        <v>112011</v>
      </c>
      <c r="B2182" t="s">
        <v>33</v>
      </c>
      <c r="C2182" t="s">
        <v>156</v>
      </c>
    </row>
    <row r="2183" spans="1:3" x14ac:dyDescent="0.4">
      <c r="A2183">
        <v>112012</v>
      </c>
      <c r="B2183" t="s">
        <v>33</v>
      </c>
      <c r="C2183" t="s">
        <v>155</v>
      </c>
    </row>
    <row r="2184" spans="1:3" x14ac:dyDescent="0.4">
      <c r="A2184">
        <v>112013</v>
      </c>
      <c r="B2184" t="s">
        <v>33</v>
      </c>
      <c r="C2184" t="s">
        <v>154</v>
      </c>
    </row>
    <row r="2185" spans="1:3" x14ac:dyDescent="0.4">
      <c r="A2185">
        <v>112016</v>
      </c>
      <c r="B2185" t="s">
        <v>33</v>
      </c>
      <c r="C2185" t="s">
        <v>153</v>
      </c>
    </row>
    <row r="2186" spans="1:3" x14ac:dyDescent="0.4">
      <c r="A2186">
        <v>112017</v>
      </c>
      <c r="B2186" t="s">
        <v>33</v>
      </c>
      <c r="C2186" t="s">
        <v>152</v>
      </c>
    </row>
    <row r="2187" spans="1:3" x14ac:dyDescent="0.4">
      <c r="A2187">
        <v>112018</v>
      </c>
      <c r="B2187" t="s">
        <v>33</v>
      </c>
      <c r="C2187" t="s">
        <v>151</v>
      </c>
    </row>
    <row r="2188" spans="1:3" x14ac:dyDescent="0.4">
      <c r="A2188">
        <v>112019</v>
      </c>
      <c r="B2188" t="s">
        <v>33</v>
      </c>
      <c r="C2188" t="s">
        <v>150</v>
      </c>
    </row>
    <row r="2189" spans="1:3" x14ac:dyDescent="0.4">
      <c r="A2189">
        <v>112020</v>
      </c>
      <c r="B2189" t="s">
        <v>33</v>
      </c>
      <c r="C2189" t="s">
        <v>149</v>
      </c>
    </row>
    <row r="2190" spans="1:3" x14ac:dyDescent="0.4">
      <c r="A2190">
        <v>112021</v>
      </c>
      <c r="B2190" t="s">
        <v>33</v>
      </c>
      <c r="C2190" t="s">
        <v>148</v>
      </c>
    </row>
    <row r="2191" spans="1:3" x14ac:dyDescent="0.4">
      <c r="A2191">
        <v>112024</v>
      </c>
      <c r="B2191" t="s">
        <v>33</v>
      </c>
      <c r="C2191" t="s">
        <v>147</v>
      </c>
    </row>
    <row r="2192" spans="1:3" x14ac:dyDescent="0.4">
      <c r="A2192">
        <v>112025</v>
      </c>
      <c r="B2192" t="s">
        <v>33</v>
      </c>
      <c r="C2192" t="s">
        <v>146</v>
      </c>
    </row>
    <row r="2193" spans="1:3" x14ac:dyDescent="0.4">
      <c r="A2193">
        <v>112026</v>
      </c>
      <c r="B2193" t="s">
        <v>33</v>
      </c>
      <c r="C2193" t="s">
        <v>145</v>
      </c>
    </row>
    <row r="2194" spans="1:3" x14ac:dyDescent="0.4">
      <c r="A2194">
        <v>112027</v>
      </c>
      <c r="B2194" t="s">
        <v>33</v>
      </c>
      <c r="C2194" t="s">
        <v>144</v>
      </c>
    </row>
    <row r="2195" spans="1:3" x14ac:dyDescent="0.4">
      <c r="A2195">
        <v>112028</v>
      </c>
      <c r="B2195" t="s">
        <v>33</v>
      </c>
      <c r="C2195" t="s">
        <v>143</v>
      </c>
    </row>
    <row r="2196" spans="1:3" x14ac:dyDescent="0.4">
      <c r="A2196">
        <v>112029</v>
      </c>
      <c r="B2196" t="s">
        <v>33</v>
      </c>
      <c r="C2196" t="s">
        <v>142</v>
      </c>
    </row>
    <row r="2197" spans="1:3" x14ac:dyDescent="0.4">
      <c r="A2197">
        <v>112064</v>
      </c>
      <c r="B2197" t="s">
        <v>33</v>
      </c>
      <c r="C2197" t="s">
        <v>141</v>
      </c>
    </row>
    <row r="2198" spans="1:3" x14ac:dyDescent="0.4">
      <c r="A2198">
        <v>112065</v>
      </c>
      <c r="B2198" t="s">
        <v>33</v>
      </c>
      <c r="C2198" t="s">
        <v>140</v>
      </c>
    </row>
    <row r="2199" spans="1:3" x14ac:dyDescent="0.4">
      <c r="A2199">
        <v>112066</v>
      </c>
      <c r="B2199" t="s">
        <v>33</v>
      </c>
      <c r="C2199" t="s">
        <v>139</v>
      </c>
    </row>
    <row r="2200" spans="1:3" x14ac:dyDescent="0.4">
      <c r="A2200">
        <v>112067</v>
      </c>
      <c r="B2200" t="s">
        <v>33</v>
      </c>
      <c r="C2200" t="s">
        <v>138</v>
      </c>
    </row>
    <row r="2201" spans="1:3" x14ac:dyDescent="0.4">
      <c r="A2201">
        <v>112068</v>
      </c>
      <c r="B2201" t="s">
        <v>33</v>
      </c>
      <c r="C2201" t="s">
        <v>137</v>
      </c>
    </row>
    <row r="2202" spans="1:3" x14ac:dyDescent="0.4">
      <c r="A2202">
        <v>112070</v>
      </c>
      <c r="B2202" t="s">
        <v>33</v>
      </c>
      <c r="C2202" t="s">
        <v>136</v>
      </c>
    </row>
    <row r="2203" spans="1:3" x14ac:dyDescent="0.4">
      <c r="A2203">
        <v>112071</v>
      </c>
      <c r="B2203" t="s">
        <v>33</v>
      </c>
      <c r="C2203" t="s">
        <v>135</v>
      </c>
    </row>
    <row r="2204" spans="1:3" x14ac:dyDescent="0.4">
      <c r="A2204">
        <v>112072</v>
      </c>
      <c r="B2204" t="s">
        <v>33</v>
      </c>
      <c r="C2204" t="s">
        <v>134</v>
      </c>
    </row>
    <row r="2205" spans="1:3" x14ac:dyDescent="0.4">
      <c r="A2205">
        <v>112073</v>
      </c>
      <c r="B2205" t="s">
        <v>33</v>
      </c>
      <c r="C2205" t="s">
        <v>133</v>
      </c>
    </row>
    <row r="2206" spans="1:3" x14ac:dyDescent="0.4">
      <c r="A2206">
        <v>112075</v>
      </c>
      <c r="B2206" t="s">
        <v>33</v>
      </c>
      <c r="C2206" t="s">
        <v>132</v>
      </c>
    </row>
    <row r="2207" spans="1:3" x14ac:dyDescent="0.4">
      <c r="A2207">
        <v>112076</v>
      </c>
      <c r="B2207" t="s">
        <v>33</v>
      </c>
      <c r="C2207" t="s">
        <v>131</v>
      </c>
    </row>
    <row r="2208" spans="1:3" x14ac:dyDescent="0.4">
      <c r="A2208">
        <v>112077</v>
      </c>
      <c r="B2208" t="s">
        <v>33</v>
      </c>
      <c r="C2208" t="s">
        <v>130</v>
      </c>
    </row>
    <row r="2209" spans="1:3" x14ac:dyDescent="0.4">
      <c r="A2209">
        <v>112078</v>
      </c>
      <c r="B2209" t="s">
        <v>33</v>
      </c>
      <c r="C2209" t="s">
        <v>129</v>
      </c>
    </row>
    <row r="2210" spans="1:3" x14ac:dyDescent="0.4">
      <c r="A2210">
        <v>112079</v>
      </c>
      <c r="B2210" t="s">
        <v>33</v>
      </c>
      <c r="C2210" t="s">
        <v>128</v>
      </c>
    </row>
    <row r="2211" spans="1:3" x14ac:dyDescent="0.4">
      <c r="A2211">
        <v>112080</v>
      </c>
      <c r="B2211" t="s">
        <v>33</v>
      </c>
      <c r="C2211" t="s">
        <v>127</v>
      </c>
    </row>
    <row r="2212" spans="1:3" x14ac:dyDescent="0.4">
      <c r="A2212">
        <v>112081</v>
      </c>
      <c r="B2212" t="s">
        <v>33</v>
      </c>
      <c r="C2212" t="s">
        <v>126</v>
      </c>
    </row>
    <row r="2213" spans="1:3" x14ac:dyDescent="0.4">
      <c r="A2213">
        <v>112082</v>
      </c>
      <c r="B2213" t="s">
        <v>33</v>
      </c>
      <c r="C2213" t="s">
        <v>125</v>
      </c>
    </row>
    <row r="2214" spans="1:3" x14ac:dyDescent="0.4">
      <c r="A2214">
        <v>112083</v>
      </c>
      <c r="B2214" t="s">
        <v>33</v>
      </c>
      <c r="C2214" t="s">
        <v>124</v>
      </c>
    </row>
    <row r="2215" spans="1:3" x14ac:dyDescent="0.4">
      <c r="A2215">
        <v>112086</v>
      </c>
      <c r="B2215" t="s">
        <v>33</v>
      </c>
      <c r="C2215" t="s">
        <v>123</v>
      </c>
    </row>
    <row r="2216" spans="1:3" x14ac:dyDescent="0.4">
      <c r="A2216">
        <v>112087</v>
      </c>
      <c r="B2216" t="s">
        <v>33</v>
      </c>
      <c r="C2216" t="s">
        <v>122</v>
      </c>
    </row>
    <row r="2217" spans="1:3" x14ac:dyDescent="0.4">
      <c r="A2217">
        <v>112088</v>
      </c>
      <c r="B2217" t="s">
        <v>33</v>
      </c>
      <c r="C2217" t="s">
        <v>121</v>
      </c>
    </row>
    <row r="2218" spans="1:3" x14ac:dyDescent="0.4">
      <c r="A2218">
        <v>112091</v>
      </c>
      <c r="B2218" t="s">
        <v>33</v>
      </c>
      <c r="C2218" t="s">
        <v>120</v>
      </c>
    </row>
    <row r="2219" spans="1:3" x14ac:dyDescent="0.4">
      <c r="A2219">
        <v>112092</v>
      </c>
      <c r="B2219" t="s">
        <v>33</v>
      </c>
      <c r="C2219" t="s">
        <v>119</v>
      </c>
    </row>
    <row r="2220" spans="1:3" x14ac:dyDescent="0.4">
      <c r="A2220">
        <v>112093</v>
      </c>
      <c r="B2220" t="s">
        <v>33</v>
      </c>
      <c r="C2220" t="s">
        <v>118</v>
      </c>
    </row>
    <row r="2221" spans="1:3" x14ac:dyDescent="0.4">
      <c r="A2221">
        <v>112094</v>
      </c>
      <c r="B2221" t="s">
        <v>33</v>
      </c>
      <c r="C2221" t="s">
        <v>117</v>
      </c>
    </row>
    <row r="2222" spans="1:3" x14ac:dyDescent="0.4">
      <c r="A2222">
        <v>112106</v>
      </c>
      <c r="B2222" t="s">
        <v>33</v>
      </c>
      <c r="C2222" t="s">
        <v>116</v>
      </c>
    </row>
    <row r="2223" spans="1:3" x14ac:dyDescent="0.4">
      <c r="A2223">
        <v>112110</v>
      </c>
      <c r="B2223" t="s">
        <v>33</v>
      </c>
      <c r="C2223" t="s">
        <v>115</v>
      </c>
    </row>
    <row r="2224" spans="1:3" x14ac:dyDescent="0.4">
      <c r="A2224">
        <v>112704</v>
      </c>
      <c r="B2224" t="s">
        <v>33</v>
      </c>
      <c r="C2224" t="s">
        <v>114</v>
      </c>
    </row>
    <row r="2225" spans="1:3" x14ac:dyDescent="0.4">
      <c r="A2225">
        <v>112705</v>
      </c>
      <c r="B2225" t="s">
        <v>33</v>
      </c>
      <c r="C2225" t="s">
        <v>113</v>
      </c>
    </row>
    <row r="2226" spans="1:3" x14ac:dyDescent="0.4">
      <c r="A2226">
        <v>112706</v>
      </c>
      <c r="B2226" t="s">
        <v>33</v>
      </c>
      <c r="C2226" t="s">
        <v>112</v>
      </c>
    </row>
    <row r="2227" spans="1:3" x14ac:dyDescent="0.4">
      <c r="A2227">
        <v>112707</v>
      </c>
      <c r="B2227" t="s">
        <v>33</v>
      </c>
      <c r="C2227" t="s">
        <v>111</v>
      </c>
    </row>
    <row r="2228" spans="1:3" x14ac:dyDescent="0.4">
      <c r="A2228">
        <v>112708</v>
      </c>
      <c r="B2228" t="s">
        <v>33</v>
      </c>
      <c r="C2228" t="s">
        <v>110</v>
      </c>
    </row>
    <row r="2229" spans="1:3" x14ac:dyDescent="0.4">
      <c r="A2229">
        <v>112709</v>
      </c>
      <c r="B2229" t="s">
        <v>33</v>
      </c>
      <c r="C2229" t="s">
        <v>109</v>
      </c>
    </row>
    <row r="2230" spans="1:3" x14ac:dyDescent="0.4">
      <c r="A2230">
        <v>112710</v>
      </c>
      <c r="B2230" t="s">
        <v>33</v>
      </c>
      <c r="C2230" t="s">
        <v>108</v>
      </c>
    </row>
    <row r="2231" spans="1:3" x14ac:dyDescent="0.4">
      <c r="A2231">
        <v>112711</v>
      </c>
      <c r="B2231" t="s">
        <v>33</v>
      </c>
      <c r="C2231" t="s">
        <v>107</v>
      </c>
    </row>
    <row r="2232" spans="1:3" x14ac:dyDescent="0.4">
      <c r="A2232">
        <v>112713</v>
      </c>
      <c r="B2232" t="s">
        <v>33</v>
      </c>
      <c r="C2232" t="s">
        <v>106</v>
      </c>
    </row>
    <row r="2233" spans="1:3" x14ac:dyDescent="0.4">
      <c r="A2233">
        <v>112714</v>
      </c>
      <c r="B2233" t="s">
        <v>33</v>
      </c>
      <c r="C2233" t="s">
        <v>105</v>
      </c>
    </row>
    <row r="2234" spans="1:3" x14ac:dyDescent="0.4">
      <c r="A2234">
        <v>112715</v>
      </c>
      <c r="B2234" t="s">
        <v>33</v>
      </c>
      <c r="C2234" t="s">
        <v>104</v>
      </c>
    </row>
    <row r="2235" spans="1:3" x14ac:dyDescent="0.4">
      <c r="A2235">
        <v>112716</v>
      </c>
      <c r="B2235" t="s">
        <v>33</v>
      </c>
      <c r="C2235" t="s">
        <v>103</v>
      </c>
    </row>
    <row r="2236" spans="1:3" x14ac:dyDescent="0.4">
      <c r="A2236">
        <v>112717</v>
      </c>
      <c r="B2236" t="s">
        <v>33</v>
      </c>
      <c r="C2236" t="s">
        <v>102</v>
      </c>
    </row>
    <row r="2237" spans="1:3" x14ac:dyDescent="0.4">
      <c r="A2237">
        <v>112718</v>
      </c>
      <c r="B2237" t="s">
        <v>33</v>
      </c>
      <c r="C2237" t="s">
        <v>101</v>
      </c>
    </row>
    <row r="2238" spans="1:3" x14ac:dyDescent="0.4">
      <c r="A2238">
        <v>112719</v>
      </c>
      <c r="B2238" t="s">
        <v>33</v>
      </c>
      <c r="C2238" t="s">
        <v>100</v>
      </c>
    </row>
    <row r="2239" spans="1:3" x14ac:dyDescent="0.4">
      <c r="A2239">
        <v>112720</v>
      </c>
      <c r="B2239" t="s">
        <v>33</v>
      </c>
      <c r="C2239" t="s">
        <v>99</v>
      </c>
    </row>
    <row r="2240" spans="1:3" x14ac:dyDescent="0.4">
      <c r="A2240">
        <v>112721</v>
      </c>
      <c r="B2240" t="s">
        <v>33</v>
      </c>
      <c r="C2240" t="s">
        <v>98</v>
      </c>
    </row>
    <row r="2241" spans="1:3" x14ac:dyDescent="0.4">
      <c r="A2241">
        <v>112722</v>
      </c>
      <c r="B2241" t="s">
        <v>33</v>
      </c>
      <c r="C2241" t="s">
        <v>97</v>
      </c>
    </row>
    <row r="2242" spans="1:3" x14ac:dyDescent="0.4">
      <c r="A2242">
        <v>112723</v>
      </c>
      <c r="B2242" t="s">
        <v>33</v>
      </c>
      <c r="C2242" t="s">
        <v>96</v>
      </c>
    </row>
    <row r="2243" spans="1:3" x14ac:dyDescent="0.4">
      <c r="A2243">
        <v>112724</v>
      </c>
      <c r="B2243" t="s">
        <v>33</v>
      </c>
      <c r="C2243" t="s">
        <v>95</v>
      </c>
    </row>
    <row r="2244" spans="1:3" x14ac:dyDescent="0.4">
      <c r="A2244">
        <v>112726</v>
      </c>
      <c r="B2244" t="s">
        <v>33</v>
      </c>
      <c r="C2244" t="s">
        <v>94</v>
      </c>
    </row>
    <row r="2245" spans="1:3" x14ac:dyDescent="0.4">
      <c r="A2245">
        <v>112727</v>
      </c>
      <c r="B2245" t="s">
        <v>33</v>
      </c>
      <c r="C2245" t="s">
        <v>93</v>
      </c>
    </row>
    <row r="2246" spans="1:3" x14ac:dyDescent="0.4">
      <c r="A2246">
        <v>112728</v>
      </c>
      <c r="B2246" t="s">
        <v>33</v>
      </c>
      <c r="C2246" t="s">
        <v>92</v>
      </c>
    </row>
    <row r="2247" spans="1:3" x14ac:dyDescent="0.4">
      <c r="A2247">
        <v>112729</v>
      </c>
      <c r="B2247" t="s">
        <v>33</v>
      </c>
      <c r="C2247" t="s">
        <v>91</v>
      </c>
    </row>
    <row r="2248" spans="1:3" x14ac:dyDescent="0.4">
      <c r="A2248">
        <v>112730</v>
      </c>
      <c r="B2248" t="s">
        <v>33</v>
      </c>
      <c r="C2248" t="s">
        <v>90</v>
      </c>
    </row>
    <row r="2249" spans="1:3" x14ac:dyDescent="0.4">
      <c r="A2249">
        <v>112731</v>
      </c>
      <c r="B2249" t="s">
        <v>33</v>
      </c>
      <c r="C2249" t="s">
        <v>89</v>
      </c>
    </row>
    <row r="2250" spans="1:3" x14ac:dyDescent="0.4">
      <c r="A2250">
        <v>112732</v>
      </c>
      <c r="B2250" t="s">
        <v>33</v>
      </c>
      <c r="C2250" t="s">
        <v>88</v>
      </c>
    </row>
    <row r="2251" spans="1:3" x14ac:dyDescent="0.4">
      <c r="A2251">
        <v>112733</v>
      </c>
      <c r="B2251" t="s">
        <v>33</v>
      </c>
      <c r="C2251" t="s">
        <v>87</v>
      </c>
    </row>
    <row r="2252" spans="1:3" x14ac:dyDescent="0.4">
      <c r="A2252">
        <v>112734</v>
      </c>
      <c r="B2252" t="s">
        <v>33</v>
      </c>
      <c r="C2252" t="s">
        <v>86</v>
      </c>
    </row>
    <row r="2253" spans="1:3" x14ac:dyDescent="0.4">
      <c r="A2253">
        <v>112735</v>
      </c>
      <c r="B2253" t="s">
        <v>33</v>
      </c>
      <c r="C2253" t="s">
        <v>85</v>
      </c>
    </row>
    <row r="2254" spans="1:3" x14ac:dyDescent="0.4">
      <c r="A2254">
        <v>112736</v>
      </c>
      <c r="B2254" t="s">
        <v>33</v>
      </c>
      <c r="C2254" t="s">
        <v>84</v>
      </c>
    </row>
    <row r="2255" spans="1:3" x14ac:dyDescent="0.4">
      <c r="A2255">
        <v>112737</v>
      </c>
      <c r="B2255" t="s">
        <v>33</v>
      </c>
      <c r="C2255" t="s">
        <v>83</v>
      </c>
    </row>
    <row r="2256" spans="1:3" x14ac:dyDescent="0.4">
      <c r="A2256">
        <v>112738</v>
      </c>
      <c r="B2256" t="s">
        <v>33</v>
      </c>
      <c r="C2256" t="s">
        <v>82</v>
      </c>
    </row>
    <row r="2257" spans="1:3" x14ac:dyDescent="0.4">
      <c r="A2257">
        <v>112739</v>
      </c>
      <c r="B2257" t="s">
        <v>33</v>
      </c>
      <c r="C2257" t="s">
        <v>81</v>
      </c>
    </row>
    <row r="2258" spans="1:3" x14ac:dyDescent="0.4">
      <c r="A2258">
        <v>112740</v>
      </c>
      <c r="B2258" t="s">
        <v>33</v>
      </c>
      <c r="C2258" t="s">
        <v>80</v>
      </c>
    </row>
    <row r="2259" spans="1:3" x14ac:dyDescent="0.4">
      <c r="A2259">
        <v>112741</v>
      </c>
      <c r="B2259" t="s">
        <v>33</v>
      </c>
      <c r="C2259" t="s">
        <v>79</v>
      </c>
    </row>
    <row r="2260" spans="1:3" x14ac:dyDescent="0.4">
      <c r="A2260">
        <v>112743</v>
      </c>
      <c r="B2260" t="s">
        <v>33</v>
      </c>
      <c r="C2260" t="s">
        <v>78</v>
      </c>
    </row>
    <row r="2261" spans="1:3" x14ac:dyDescent="0.4">
      <c r="A2261">
        <v>112744</v>
      </c>
      <c r="B2261" t="s">
        <v>33</v>
      </c>
      <c r="C2261" t="s">
        <v>77</v>
      </c>
    </row>
    <row r="2262" spans="1:3" x14ac:dyDescent="0.4">
      <c r="A2262">
        <v>112745</v>
      </c>
      <c r="B2262" t="s">
        <v>33</v>
      </c>
      <c r="C2262" t="s">
        <v>76</v>
      </c>
    </row>
    <row r="2263" spans="1:3" x14ac:dyDescent="0.4">
      <c r="A2263">
        <v>112746</v>
      </c>
      <c r="B2263" t="s">
        <v>33</v>
      </c>
      <c r="C2263" t="s">
        <v>75</v>
      </c>
    </row>
    <row r="2264" spans="1:3" x14ac:dyDescent="0.4">
      <c r="A2264">
        <v>112747</v>
      </c>
      <c r="B2264" t="s">
        <v>33</v>
      </c>
      <c r="C2264" t="s">
        <v>74</v>
      </c>
    </row>
    <row r="2265" spans="1:3" x14ac:dyDescent="0.4">
      <c r="A2265">
        <v>112748</v>
      </c>
      <c r="B2265" t="s">
        <v>33</v>
      </c>
      <c r="C2265" t="s">
        <v>73</v>
      </c>
    </row>
    <row r="2266" spans="1:3" x14ac:dyDescent="0.4">
      <c r="A2266">
        <v>112750</v>
      </c>
      <c r="B2266" t="s">
        <v>33</v>
      </c>
      <c r="C2266" t="s">
        <v>72</v>
      </c>
    </row>
    <row r="2267" spans="1:3" x14ac:dyDescent="0.4">
      <c r="A2267">
        <v>112753</v>
      </c>
      <c r="B2267" t="s">
        <v>33</v>
      </c>
      <c r="C2267" t="s">
        <v>71</v>
      </c>
    </row>
    <row r="2268" spans="1:3" x14ac:dyDescent="0.4">
      <c r="A2268">
        <v>112754</v>
      </c>
      <c r="B2268" t="s">
        <v>33</v>
      </c>
      <c r="C2268" t="s">
        <v>70</v>
      </c>
    </row>
    <row r="2269" spans="1:3" x14ac:dyDescent="0.4">
      <c r="A2269">
        <v>112757</v>
      </c>
      <c r="B2269" t="s">
        <v>33</v>
      </c>
      <c r="C2269" t="s">
        <v>69</v>
      </c>
    </row>
    <row r="2270" spans="1:3" x14ac:dyDescent="0.4">
      <c r="A2270">
        <v>112758</v>
      </c>
      <c r="B2270" t="s">
        <v>33</v>
      </c>
      <c r="C2270" t="s">
        <v>68</v>
      </c>
    </row>
    <row r="2271" spans="1:3" x14ac:dyDescent="0.4">
      <c r="A2271">
        <v>112759</v>
      </c>
      <c r="B2271" t="s">
        <v>33</v>
      </c>
      <c r="C2271" t="s">
        <v>67</v>
      </c>
    </row>
    <row r="2272" spans="1:3" x14ac:dyDescent="0.4">
      <c r="A2272">
        <v>112760</v>
      </c>
      <c r="B2272" t="s">
        <v>33</v>
      </c>
      <c r="C2272" t="s">
        <v>66</v>
      </c>
    </row>
    <row r="2273" spans="1:3" x14ac:dyDescent="0.4">
      <c r="A2273">
        <v>112761</v>
      </c>
      <c r="B2273" t="s">
        <v>33</v>
      </c>
      <c r="C2273" t="s">
        <v>65</v>
      </c>
    </row>
    <row r="2274" spans="1:3" x14ac:dyDescent="0.4">
      <c r="A2274">
        <v>112762</v>
      </c>
      <c r="B2274" t="s">
        <v>33</v>
      </c>
      <c r="C2274" t="s">
        <v>64</v>
      </c>
    </row>
    <row r="2275" spans="1:3" x14ac:dyDescent="0.4">
      <c r="A2275">
        <v>112763</v>
      </c>
      <c r="B2275" t="s">
        <v>33</v>
      </c>
      <c r="C2275" t="s">
        <v>63</v>
      </c>
    </row>
    <row r="2276" spans="1:3" x14ac:dyDescent="0.4">
      <c r="A2276">
        <v>118000</v>
      </c>
      <c r="B2276" t="s">
        <v>33</v>
      </c>
      <c r="C2276" t="s">
        <v>62</v>
      </c>
    </row>
    <row r="2277" spans="1:3" x14ac:dyDescent="0.4">
      <c r="A2277">
        <v>118001</v>
      </c>
      <c r="B2277" t="s">
        <v>33</v>
      </c>
      <c r="C2277" t="s">
        <v>61</v>
      </c>
    </row>
    <row r="2278" spans="1:3" x14ac:dyDescent="0.4">
      <c r="A2278">
        <v>118002</v>
      </c>
      <c r="B2278" t="s">
        <v>33</v>
      </c>
      <c r="C2278" t="s">
        <v>60</v>
      </c>
    </row>
    <row r="2279" spans="1:3" x14ac:dyDescent="0.4">
      <c r="A2279">
        <v>118003</v>
      </c>
      <c r="B2279" t="s">
        <v>33</v>
      </c>
      <c r="C2279" t="s">
        <v>59</v>
      </c>
    </row>
    <row r="2280" spans="1:3" x14ac:dyDescent="0.4">
      <c r="A2280">
        <v>118004</v>
      </c>
      <c r="B2280" t="s">
        <v>33</v>
      </c>
      <c r="C2280" t="s">
        <v>58</v>
      </c>
    </row>
    <row r="2281" spans="1:3" x14ac:dyDescent="0.4">
      <c r="A2281">
        <v>118005</v>
      </c>
      <c r="B2281" t="s">
        <v>33</v>
      </c>
      <c r="C2281" t="s">
        <v>57</v>
      </c>
    </row>
    <row r="2282" spans="1:3" x14ac:dyDescent="0.4">
      <c r="A2282">
        <v>118006</v>
      </c>
      <c r="B2282" t="s">
        <v>33</v>
      </c>
      <c r="C2282" t="s">
        <v>56</v>
      </c>
    </row>
    <row r="2283" spans="1:3" x14ac:dyDescent="0.4">
      <c r="A2283">
        <v>118007</v>
      </c>
      <c r="B2283" t="s">
        <v>33</v>
      </c>
      <c r="C2283" t="s">
        <v>55</v>
      </c>
    </row>
    <row r="2284" spans="1:3" x14ac:dyDescent="0.4">
      <c r="A2284">
        <v>118008</v>
      </c>
      <c r="B2284" t="s">
        <v>33</v>
      </c>
      <c r="C2284" t="s">
        <v>54</v>
      </c>
    </row>
    <row r="2285" spans="1:3" x14ac:dyDescent="0.4">
      <c r="A2285">
        <v>118009</v>
      </c>
      <c r="B2285" t="s">
        <v>33</v>
      </c>
      <c r="C2285" t="s">
        <v>53</v>
      </c>
    </row>
    <row r="2286" spans="1:3" x14ac:dyDescent="0.4">
      <c r="A2286">
        <v>118010</v>
      </c>
      <c r="B2286" t="s">
        <v>33</v>
      </c>
      <c r="C2286" t="s">
        <v>52</v>
      </c>
    </row>
    <row r="2287" spans="1:3" x14ac:dyDescent="0.4">
      <c r="A2287">
        <v>118011</v>
      </c>
      <c r="B2287" t="s">
        <v>33</v>
      </c>
      <c r="C2287" t="s">
        <v>51</v>
      </c>
    </row>
    <row r="2288" spans="1:3" x14ac:dyDescent="0.4">
      <c r="A2288">
        <v>118012</v>
      </c>
      <c r="B2288" t="s">
        <v>33</v>
      </c>
      <c r="C2288" t="s">
        <v>50</v>
      </c>
    </row>
    <row r="2289" spans="1:3" x14ac:dyDescent="0.4">
      <c r="A2289">
        <v>118013</v>
      </c>
      <c r="B2289" t="s">
        <v>33</v>
      </c>
      <c r="C2289" t="s">
        <v>49</v>
      </c>
    </row>
    <row r="2290" spans="1:3" x14ac:dyDescent="0.4">
      <c r="A2290">
        <v>118014</v>
      </c>
      <c r="B2290" t="s">
        <v>33</v>
      </c>
      <c r="C2290" t="s">
        <v>48</v>
      </c>
    </row>
    <row r="2291" spans="1:3" x14ac:dyDescent="0.4">
      <c r="A2291">
        <v>118015</v>
      </c>
      <c r="B2291" t="s">
        <v>33</v>
      </c>
      <c r="C2291" t="s">
        <v>47</v>
      </c>
    </row>
    <row r="2292" spans="1:3" x14ac:dyDescent="0.4">
      <c r="A2292">
        <v>118016</v>
      </c>
      <c r="B2292" t="s">
        <v>33</v>
      </c>
      <c r="C2292" t="s">
        <v>46</v>
      </c>
    </row>
    <row r="2293" spans="1:3" x14ac:dyDescent="0.4">
      <c r="A2293">
        <v>118017</v>
      </c>
      <c r="B2293" t="s">
        <v>33</v>
      </c>
      <c r="C2293" t="s">
        <v>45</v>
      </c>
    </row>
    <row r="2294" spans="1:3" x14ac:dyDescent="0.4">
      <c r="A2294">
        <v>118018</v>
      </c>
      <c r="B2294" t="s">
        <v>33</v>
      </c>
      <c r="C2294" t="s">
        <v>44</v>
      </c>
    </row>
    <row r="2295" spans="1:3" x14ac:dyDescent="0.4">
      <c r="A2295">
        <v>118020</v>
      </c>
      <c r="B2295" t="s">
        <v>33</v>
      </c>
      <c r="C2295" t="s">
        <v>43</v>
      </c>
    </row>
    <row r="2296" spans="1:3" x14ac:dyDescent="0.4">
      <c r="A2296">
        <v>118021</v>
      </c>
      <c r="B2296" t="s">
        <v>33</v>
      </c>
      <c r="C2296" t="s">
        <v>42</v>
      </c>
    </row>
    <row r="2297" spans="1:3" x14ac:dyDescent="0.4">
      <c r="A2297">
        <v>118022</v>
      </c>
      <c r="B2297" t="s">
        <v>33</v>
      </c>
      <c r="C2297" t="s">
        <v>41</v>
      </c>
    </row>
    <row r="2298" spans="1:3" x14ac:dyDescent="0.4">
      <c r="A2298">
        <v>118023</v>
      </c>
      <c r="B2298" t="s">
        <v>33</v>
      </c>
      <c r="C2298" t="s">
        <v>40</v>
      </c>
    </row>
    <row r="2299" spans="1:3" x14ac:dyDescent="0.4">
      <c r="A2299">
        <v>118024</v>
      </c>
      <c r="B2299" t="s">
        <v>33</v>
      </c>
      <c r="C2299" t="s">
        <v>39</v>
      </c>
    </row>
    <row r="2300" spans="1:3" x14ac:dyDescent="0.4">
      <c r="A2300">
        <v>118025</v>
      </c>
      <c r="B2300" t="s">
        <v>33</v>
      </c>
      <c r="C2300" t="s">
        <v>38</v>
      </c>
    </row>
    <row r="2301" spans="1:3" x14ac:dyDescent="0.4">
      <c r="A2301">
        <v>118026</v>
      </c>
      <c r="B2301" t="s">
        <v>33</v>
      </c>
      <c r="C2301" t="s">
        <v>37</v>
      </c>
    </row>
    <row r="2302" spans="1:3" x14ac:dyDescent="0.4">
      <c r="A2302">
        <v>118027</v>
      </c>
      <c r="B2302" t="s">
        <v>33</v>
      </c>
      <c r="C2302" t="s">
        <v>36</v>
      </c>
    </row>
    <row r="2303" spans="1:3" x14ac:dyDescent="0.4">
      <c r="A2303">
        <v>118028</v>
      </c>
      <c r="B2303" t="s">
        <v>33</v>
      </c>
      <c r="C2303" t="s">
        <v>35</v>
      </c>
    </row>
    <row r="2304" spans="1:3" x14ac:dyDescent="0.4">
      <c r="A2304">
        <v>118029</v>
      </c>
      <c r="B2304" t="s">
        <v>33</v>
      </c>
      <c r="C2304" t="s">
        <v>34</v>
      </c>
    </row>
    <row r="2305" spans="1:3" x14ac:dyDescent="0.4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조 건희</cp:lastModifiedBy>
  <dcterms:created xsi:type="dcterms:W3CDTF">2025-10-10T00:24:13Z</dcterms:created>
  <dcterms:modified xsi:type="dcterms:W3CDTF">2026-06-01T10:30:06Z</dcterms:modified>
</cp:coreProperties>
</file>
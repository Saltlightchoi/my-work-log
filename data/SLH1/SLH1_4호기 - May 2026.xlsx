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teco01-my.sharepoint.com/personal/bg_kim_ateco01_onmicrosoft_com/Documents/바탕 화면/"/>
    </mc:Choice>
  </mc:AlternateContent>
  <xr:revisionPtr revIDLastSave="42" documentId="8_{9774A3C3-6DBF-452E-BD52-42FA4D4BF819}" xr6:coauthVersionLast="47" xr6:coauthVersionMax="47" xr10:uidLastSave="{3990EB2C-61BE-40C6-A9DB-8E245E8B9BC5}"/>
  <bookViews>
    <workbookView xWindow="-108" yWindow="-108" windowWidth="23256" windowHeight="12456" xr2:uid="{00000000-000D-0000-FFFF-FFFF00000000}"/>
  </bookViews>
  <sheets>
    <sheet name="#SLH1" sheetId="2" r:id="rId1"/>
    <sheet name="ErrorLis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87" i="2" l="1"/>
  <c r="X88" i="2"/>
  <c r="X89" i="2"/>
  <c r="X90" i="2"/>
  <c r="F87" i="2"/>
  <c r="F89" i="2"/>
  <c r="F90" i="2"/>
  <c r="AB23" i="2"/>
  <c r="AC23" i="2"/>
  <c r="AD23" i="2"/>
  <c r="AE23" i="2"/>
  <c r="AF23" i="2"/>
  <c r="AG23" i="2"/>
  <c r="X91" i="2"/>
  <c r="F91" i="2"/>
  <c r="X94" i="2"/>
  <c r="X95" i="2"/>
  <c r="X96" i="2"/>
  <c r="X97" i="2"/>
  <c r="F94" i="2"/>
  <c r="F95" i="2"/>
  <c r="F96" i="2"/>
  <c r="F97" i="2"/>
  <c r="X99" i="2"/>
  <c r="X101" i="2"/>
  <c r="X102" i="2"/>
  <c r="X105" i="2"/>
  <c r="X106" i="2"/>
  <c r="F99" i="2"/>
  <c r="F102" i="2"/>
  <c r="F105" i="2"/>
  <c r="X115" i="2"/>
  <c r="F115" i="2"/>
  <c r="X107" i="2"/>
  <c r="X110" i="2"/>
  <c r="X111" i="2"/>
  <c r="X114" i="2"/>
  <c r="F107" i="2"/>
  <c r="F110" i="2"/>
  <c r="F111" i="2"/>
  <c r="F114" i="2"/>
  <c r="X116" i="2"/>
  <c r="X117" i="2"/>
  <c r="X118" i="2"/>
  <c r="X119" i="2"/>
  <c r="X120" i="2"/>
  <c r="F116" i="2"/>
  <c r="F117" i="2"/>
  <c r="F118" i="2"/>
  <c r="F119" i="2"/>
  <c r="F120" i="2"/>
  <c r="X123" i="2"/>
  <c r="X124" i="2"/>
  <c r="X125" i="2"/>
  <c r="X126" i="2"/>
  <c r="F123" i="2"/>
  <c r="F124" i="2"/>
  <c r="F125" i="2"/>
  <c r="F126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Y24" i="2"/>
  <c r="X24" i="2"/>
  <c r="W24" i="2"/>
  <c r="V24" i="2"/>
  <c r="X137" i="2"/>
  <c r="X122" i="2"/>
  <c r="X129" i="2"/>
  <c r="F122" i="2"/>
  <c r="F129" i="2"/>
  <c r="X134" i="2" l="1"/>
  <c r="F137" i="2"/>
  <c r="F134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C25" i="2"/>
  <c r="AD25" i="2"/>
  <c r="AE25" i="2"/>
  <c r="AF25" i="2"/>
  <c r="I23" i="2"/>
  <c r="J23" i="2"/>
  <c r="K23" i="2"/>
  <c r="L23" i="2"/>
  <c r="M23" i="2"/>
  <c r="Z24" i="2"/>
  <c r="AA24" i="2"/>
  <c r="AB24" i="2"/>
  <c r="X141" i="2"/>
  <c r="F141" i="2"/>
  <c r="X140" i="2"/>
  <c r="F140" i="2"/>
  <c r="P25" i="2" l="1"/>
  <c r="X25" i="2"/>
  <c r="S25" i="2"/>
  <c r="Y25" i="2"/>
  <c r="R25" i="2"/>
  <c r="K25" i="2"/>
  <c r="AB25" i="2"/>
  <c r="T25" i="2"/>
  <c r="O25" i="2"/>
  <c r="W25" i="2"/>
  <c r="Z25" i="2"/>
  <c r="I25" i="2"/>
  <c r="U25" i="2"/>
  <c r="V25" i="2"/>
  <c r="L25" i="2"/>
  <c r="Q25" i="2"/>
  <c r="J25" i="2"/>
  <c r="AA25" i="2"/>
  <c r="N25" i="2"/>
  <c r="M25" i="2"/>
  <c r="C37" i="2"/>
  <c r="AG25" i="2" l="1"/>
  <c r="R37" i="2" l="1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0" i="2"/>
  <c r="AH32" i="2"/>
  <c r="C24" i="2"/>
  <c r="C23" i="2"/>
  <c r="D23" i="2"/>
  <c r="E23" i="2"/>
  <c r="F23" i="2"/>
  <c r="G23" i="2"/>
  <c r="H23" i="2"/>
  <c r="F25" i="2" l="1"/>
  <c r="C25" i="2"/>
  <c r="D25" i="2"/>
  <c r="E25" i="2"/>
  <c r="G25" i="2"/>
  <c r="H25" i="2"/>
  <c r="AH24" i="2"/>
  <c r="AI32" i="2" s="1"/>
  <c r="AH37" i="2"/>
  <c r="AH36" i="2"/>
  <c r="X47" i="2"/>
  <c r="F47" i="2"/>
  <c r="X46" i="2"/>
  <c r="F46" i="2"/>
  <c r="X45" i="2"/>
  <c r="F45" i="2"/>
  <c r="X44" i="2"/>
  <c r="F44" i="2"/>
  <c r="X43" i="2"/>
  <c r="F43" i="2"/>
  <c r="X42" i="2"/>
  <c r="F42" i="2"/>
  <c r="AI36" i="2" l="1"/>
  <c r="AI30" i="2"/>
  <c r="H39" i="2" l="1"/>
  <c r="B39" i="2"/>
  <c r="AH35" i="2"/>
  <c r="AI35" i="2" s="1"/>
  <c r="AH31" i="2"/>
  <c r="AI31" i="2" s="1"/>
  <c r="AH34" i="2"/>
  <c r="AI34" i="2" s="1"/>
  <c r="AH33" i="2"/>
  <c r="AI33" i="2" s="1"/>
  <c r="AH29" i="2"/>
  <c r="AI29" i="2" s="1"/>
  <c r="AH28" i="2"/>
  <c r="AI28" i="2" s="1"/>
  <c r="AH27" i="2"/>
  <c r="AI27" i="2" s="1"/>
  <c r="AH26" i="2"/>
  <c r="AI26" i="2" s="1"/>
  <c r="AI23" i="2"/>
  <c r="D39" i="2" l="1"/>
  <c r="AI25" i="2"/>
  <c r="F39" i="2" s="1"/>
</calcChain>
</file>

<file path=xl/sharedStrings.xml><?xml version="1.0" encoding="utf-8"?>
<sst xmlns="http://schemas.openxmlformats.org/spreadsheetml/2006/main" count="4774" uniqueCount="2379">
  <si>
    <t>Day</t>
  </si>
  <si>
    <t>Mon</t>
  </si>
  <si>
    <t>Tue</t>
  </si>
  <si>
    <t>Wed</t>
  </si>
  <si>
    <t>Thu</t>
  </si>
  <si>
    <t>Fri</t>
  </si>
  <si>
    <t>Sat</t>
  </si>
  <si>
    <t>Sun</t>
  </si>
  <si>
    <t>Total No of Error</t>
  </si>
  <si>
    <t>Percentage</t>
  </si>
  <si>
    <t>Remark : Top 3 Error Station</t>
  </si>
  <si>
    <t>Date</t>
  </si>
  <si>
    <t>Total Unit</t>
  </si>
  <si>
    <t>PPJ</t>
  </si>
  <si>
    <t>Stacker</t>
  </si>
  <si>
    <t>Transfer</t>
  </si>
  <si>
    <t>Set Plate&amp;BUFFER</t>
  </si>
  <si>
    <t>LD Flow&amp;Middle</t>
  </si>
  <si>
    <t>Load Hand</t>
  </si>
  <si>
    <t>Unload Hand</t>
  </si>
  <si>
    <t>INPUT FLOW</t>
  </si>
  <si>
    <t>TEST SITE</t>
  </si>
  <si>
    <t>OUTPUT FLOW</t>
  </si>
  <si>
    <t>UD Flow&amp;Middle</t>
  </si>
  <si>
    <t>MOTOR</t>
  </si>
  <si>
    <t>TOTAL QTY JAM</t>
  </si>
  <si>
    <t xml:space="preserve">Total </t>
  </si>
  <si>
    <t>T/Jam</t>
  </si>
  <si>
    <t>BIN 4</t>
  </si>
  <si>
    <t>No Jam</t>
  </si>
  <si>
    <t>Error code</t>
  </si>
  <si>
    <t>Error Massage</t>
  </si>
  <si>
    <t xml:space="preserve"> Ionizer Flow Meter 값이 기준치 이하입니다. </t>
  </si>
  <si>
    <t>[ETC]</t>
  </si>
  <si>
    <t xml:space="preserve"> Ionizer 알람 상태입니다. </t>
  </si>
  <si>
    <t xml:space="preserve"> Tester 통신 LotStart 중 Lot 정보가 존재하지 않습니다. </t>
  </si>
  <si>
    <t xml:space="preserve"> HOST 로부터 STOP WORK REQ 를 수신 받았습니다</t>
  </si>
  <si>
    <t xml:space="preserve"> Communication TimeOut. [SECSGEM]</t>
  </si>
  <si>
    <t xml:space="preserve"> Host 와 통신 연결이 실패하였습니다. [SECSGEM]</t>
  </si>
  <si>
    <t xml:space="preserve"> SRQ 61 Receive Error. </t>
  </si>
  <si>
    <t xml:space="preserve"> Tester 통신 Bin 데이터 이상. </t>
  </si>
  <si>
    <t xml:space="preserve"> Tester 통신 Receive 데이터 길이 이상. </t>
  </si>
  <si>
    <t xml:space="preserve"> Tester 통신 RESULT 에러 </t>
  </si>
  <si>
    <t xml:space="preserve"> Tester 통신 No Data 에러. </t>
  </si>
  <si>
    <t xml:space="preserve"> Tester 통신 Data 길이 에러. </t>
  </si>
  <si>
    <t xml:space="preserve"> Tester 통신 에러 발생. </t>
  </si>
  <si>
    <t xml:space="preserve"> Tester Connect fail. </t>
  </si>
  <si>
    <t xml:space="preserve"> Partial Tray 확인 해 주십시오.</t>
  </si>
  <si>
    <t xml:space="preserve"> REAR TEST SITE EMO 버튼이 눌려 있습니다. </t>
  </si>
  <si>
    <t xml:space="preserve"> REAR SIDE EMO 버튼이 눌려 있습니다. </t>
  </si>
  <si>
    <t xml:space="preserve"> REAR RIGHT SIDE EMO 버튼이 눌려 있습니다. </t>
  </si>
  <si>
    <t xml:space="preserve"> ULD MIDDLE FEEDER EMO 버튼이 눌려 있습니다. </t>
  </si>
  <si>
    <t xml:space="preserve"> REAR LEFT EMO 버튼이 눌려 있습니다. </t>
  </si>
  <si>
    <t xml:space="preserve"> REAR LEFT SIDE EMO 버튼이 눌려 있습니다. </t>
  </si>
  <si>
    <t xml:space="preserve"> LD MIDDLE FEEDER EMO 버튼이 눌려 있습니다. </t>
  </si>
  <si>
    <t xml:space="preserve"> RIGHT SIDE EMO 버튼이 눌려 있습니다. </t>
  </si>
  <si>
    <t xml:space="preserve"> LEFT SIDE EMO 버튼이 눌려 있습니다. </t>
  </si>
  <si>
    <t xml:space="preserve"> REJECT EMO 버튼이 눌려 있습니다. </t>
  </si>
  <si>
    <t xml:space="preserve"> UNLOAD EMO 버튼이 눌려 있습니다. </t>
  </si>
  <si>
    <t xml:space="preserve"> EMO MIDDLE 버튼이 눌려 있습니다. </t>
  </si>
  <si>
    <t xml:space="preserve"> EMO LOAD 버튼이 눌려 있습니다. </t>
  </si>
  <si>
    <t xml:space="preserve"> 메인 Air 센서가 Off 되어 있습니다. </t>
  </si>
  <si>
    <t xml:space="preserve"> 메인 파워가 Off 되어 있습니다. </t>
  </si>
  <si>
    <t xml:space="preserve"> Rear Right Side Dc Fan #4 Check   센서가 감지되지 않았습니다.</t>
  </si>
  <si>
    <t xml:space="preserve"> Rear Right Side Dc Fan #3 Check   센서가 감지되지 않았습니다.</t>
  </si>
  <si>
    <t xml:space="preserve"> Rear Right Side Dc Fan #2 Check   센서가 감지되지 않았습니다.</t>
  </si>
  <si>
    <t xml:space="preserve"> Rear Right Side Dc Fan #1 Check   센서가 감지되지 않았습니다.</t>
  </si>
  <si>
    <t xml:space="preserve"> EMS Switch #12 Rear Right Check  센서가 감지되지 않았습니다.</t>
  </si>
  <si>
    <t xml:space="preserve"> EMS Switch #11 Rear Right Side Check   센서가 감지되지 않았습니다.</t>
  </si>
  <si>
    <t xml:space="preserve"> EMS Switch #10 ULD Mid Feeder Check    센서가 감지되지 않았습니다.</t>
  </si>
  <si>
    <t xml:space="preserve"> Bottom Door Check R Ac Power Box#2 Check   센서가 감지되지 않았습니다.</t>
  </si>
  <si>
    <t xml:space="preserve"> Bottom Door Check R Ac Power Box#1 Check   센서가 감지되지 않았습니다.</t>
  </si>
  <si>
    <t xml:space="preserve"> Right Ac Power Box Smoke Alarm Check  센서가 감지되지 않았습니다.</t>
  </si>
  <si>
    <t xml:space="preserve"> Safety Door Key #17 Rear ULD  Mid Feeder Bottom Check   센서가 감지되지 않았습니다.</t>
  </si>
  <si>
    <t xml:space="preserve"> Safety Door Key #16 Rear ULD  Mid Feeder Top Check   센서가 감지되지 않았습니다.</t>
  </si>
  <si>
    <t xml:space="preserve"> Safety Door Key #15 Rear R Side #2 Check   센서가 감지되지 않았습니다.</t>
  </si>
  <si>
    <t xml:space="preserve"> Safety Door Key #14 Rear R Side #1 Check   센서가 감지되지 않았습니다.</t>
  </si>
  <si>
    <t xml:space="preserve"> Safety Door Key #13 Check ULD FLOW Check   센서가 감지되지 않았습니다.</t>
  </si>
  <si>
    <t xml:space="preserve"> Safety Door Key #12 Check Rear Middle Check   센서가 감지되지 않았습니다.</t>
  </si>
  <si>
    <t xml:space="preserve"> Safety Door Lock #17 Rear ULD  Mid Feeder Bottom Check   센서가 감지되지 않았습니다.</t>
  </si>
  <si>
    <t xml:space="preserve"> Safety Door Lock #16 Rear ULD  Mid Feeder Top Check   센서가 감지되지 않았습니다.</t>
  </si>
  <si>
    <t xml:space="preserve"> Safety Door Lock #15 Rear R Side #2 Check   센서가 감지되지 않았습니다.</t>
  </si>
  <si>
    <t xml:space="preserve"> Safety Door Lock #14 Rear R Side #1 Check   센서가 감지되지 않았습니다.</t>
  </si>
  <si>
    <t xml:space="preserve"> Safety Door Lock #13 Check ULD FLOW Check   센서가 감지되지 않았습니다.</t>
  </si>
  <si>
    <t xml:space="preserve"> Safety Door Lock #12 Check Rear Middle Check  센서가 감지되지 않았습니다.</t>
  </si>
  <si>
    <t xml:space="preserve"> Bottom Door Check L Ac Power Box#2 Check   센서가 감지되지 않았습니다.</t>
  </si>
  <si>
    <t xml:space="preserve"> Bottom Door Check L Ac Power Box#1 Check   센서가 감지되지 않았습니다.</t>
  </si>
  <si>
    <t xml:space="preserve"> EMS Switch #9 Rear Left Check   센서가 감지되지 않았습니다.</t>
  </si>
  <si>
    <t xml:space="preserve"> EMS Switch #8 Rear Left Side Check   센서가 감지되지 않았습니다.</t>
  </si>
  <si>
    <t xml:space="preserve"> EMS Switch #7 LD Mid Feeder Check   센서가 감지되지 않았습니다.</t>
  </si>
  <si>
    <t xml:space="preserve"> Safety Door Key #11 Rear LD FLOW  Check   센서가 감지되지 않았습니다.</t>
  </si>
  <si>
    <t xml:space="preserve"> Safety Door Key #10 Rear L Side #2 Check   센서가 감지되지 않았습니다.</t>
  </si>
  <si>
    <t xml:space="preserve"> Safety Door Key #9 Rear L Side #1 Check   센서가 감지되지 않았습니다.</t>
  </si>
  <si>
    <t xml:space="preserve"> Safety Door Key #8 Rear LD  Mid Feeder Bottom Check   센서가 감지되지 않았습니다.</t>
  </si>
  <si>
    <t xml:space="preserve"> Safety Door Key #7 Rear LD  Mid Feeder Top Check   센서가 감지되지 않았습니다.</t>
  </si>
  <si>
    <t xml:space="preserve"> Safety Door Lock #11 Rear LD FLOW Check   센서가 감지되지 않았습니다.</t>
  </si>
  <si>
    <t xml:space="preserve"> Safety Door Lock #10 Rear L Side #2 Check   센서가 감지되지 않았습니다.</t>
  </si>
  <si>
    <t xml:space="preserve"> Safety Door Lock #9 Rear L Side #1 Check   센서가 감지되지 않았습니다.</t>
  </si>
  <si>
    <t xml:space="preserve"> Safety Door Lock #8 Rear LD  Mid Feeder Bottom Check   센서가 감지되지 않았습니다.</t>
  </si>
  <si>
    <t xml:space="preserve"> Safety Door Lock #7 Rear LD Mid Feeder Top Check   센서가 감지되지 않았습니다.</t>
  </si>
  <si>
    <t xml:space="preserve"> Rear Left Side Dc Fan #4 Check   센서가 감지되지 않았습니다.</t>
  </si>
  <si>
    <t xml:space="preserve"> Rear Left Side Dc Fan #3 Check   센서가 감지되지 않았습니다.</t>
  </si>
  <si>
    <t xml:space="preserve"> Rear Left Side Dc Fan #2 Check   센서가 감지되지 않았습니다.</t>
  </si>
  <si>
    <t xml:space="preserve"> Rear Left Side Dc Fan #1 Check   센서가 감지되지 않았습니다.</t>
  </si>
  <si>
    <t xml:space="preserve"> Servo Main MC#2 On Check   센서가 감지되지 않았습니다.</t>
  </si>
  <si>
    <t xml:space="preserve"> Servo Main MC#1 On Check   센서가 감지되지 않았습니다.</t>
  </si>
  <si>
    <t xml:space="preserve"> Rear Main Air Check   센서가 감지되지 않았습니다.</t>
  </si>
  <si>
    <t xml:space="preserve"> Safety State Ready Check  센서가 감지되지 않았습니다.</t>
  </si>
  <si>
    <t xml:space="preserve"> EMS Switch #13 Rear Test Site  센서가 감지되지 않았습니다.</t>
  </si>
  <si>
    <t xml:space="preserve"> Rear Left Ac Power Box Smoke Alarm Check  센서가 감지되지 않았습니다.</t>
  </si>
  <si>
    <t xml:space="preserve"> Rear Lamp Switch   센서가 감지되지 않았습니다.</t>
  </si>
  <si>
    <t xml:space="preserve"> Rear DOOR Open Switch   센서가 감지되지 않았습니다.</t>
  </si>
  <si>
    <t xml:space="preserve"> Rear Reset Switch   센서가 감지되지 않았습니다.</t>
  </si>
  <si>
    <t xml:space="preserve"> Rear Stop Switch   센서가 감지되지 않았습니다.</t>
  </si>
  <si>
    <t xml:space="preserve"> Rear Start Switch   센서가 감지되지 않았습니다.</t>
  </si>
  <si>
    <t xml:space="preserve"> Front Main Air Check   센서가 감지되지 않았습니다.</t>
  </si>
  <si>
    <t xml:space="preserve"> Front Ac Power Box Smoke Alarm Check  센서가 감지되지 않았습니다.</t>
  </si>
  <si>
    <t xml:space="preserve"> Front Right Side Dc Fan#2 Check  센서가 감지되지 않았습니다.</t>
  </si>
  <si>
    <t xml:space="preserve"> Front Right Side Dc Fan#1 Check    센서가 감지되지 않았습니다.</t>
  </si>
  <si>
    <t xml:space="preserve"> Front Left Side Dc Fan#2 Check  센서가 감지되지 않았습니다.</t>
  </si>
  <si>
    <t xml:space="preserve"> Front Left Side Dc Fan#1 Check    센서가 감지되지 않았습니다.</t>
  </si>
  <si>
    <t xml:space="preserve"> Bottom Door Check Right Side#3 Check  센서가 감지되지 않았습니다.</t>
  </si>
  <si>
    <t xml:space="preserve"> Bottom Door Check Right Side#2 Check  센서가 감지되지 않았습니다.</t>
  </si>
  <si>
    <t xml:space="preserve"> Bottom Door Check Right Side#1 Check   센서가 감지되지 않았습니다.</t>
  </si>
  <si>
    <t xml:space="preserve"> Bottom Door Check Left Side#3 Check  센서가 감지되지 않았습니다.</t>
  </si>
  <si>
    <t xml:space="preserve"> Bottom Door Check Left Side#2 Check  센서가 감지되지 않았습니다.</t>
  </si>
  <si>
    <t xml:space="preserve"> Bottom Door Check Left Side#1 Check   센서가 감지되지 않았습니다.</t>
  </si>
  <si>
    <t xml:space="preserve"> Bottom Door Check Reject Check   센서가 감지되지 않았습니다.</t>
  </si>
  <si>
    <t xml:space="preserve"> Unloader Light Curtain Check   센서가 감지되지 않았습니다.</t>
  </si>
  <si>
    <t xml:space="preserve"> Unloader Conveyer On Switch   센서가 감지되지 않았습니다.</t>
  </si>
  <si>
    <t xml:space="preserve"> Unloader Light Curtain Mute On   센서가 감지되지 않았습니다.</t>
  </si>
  <si>
    <t xml:space="preserve"> Unloader Light Curtain Mute Off Switch   센서가 감지되지 않았습니다.</t>
  </si>
  <si>
    <t xml:space="preserve"> Unloader Light Curtain Mute Switch   센서가 감지되지 않았습니다.</t>
  </si>
  <si>
    <t xml:space="preserve"> Middle Light Curtain Check   센서가 감지되지 않았습니다.</t>
  </si>
  <si>
    <t xml:space="preserve"> Middle Light Curtain Mute On   센서가 감지되지 않았습니다.</t>
  </si>
  <si>
    <t xml:space="preserve"> Middle Light Curtain Mute Off Switch   센서가 감지되지 않았습니다.</t>
  </si>
  <si>
    <t xml:space="preserve"> Middle Light Curtain Mute Switch   센서가 감지되지 않았습니다.</t>
  </si>
  <si>
    <t xml:space="preserve"> Loader Light Curtain Check   센서가 감지되지 않았습니다.</t>
  </si>
  <si>
    <t xml:space="preserve"> Loader Conveyer On Switch   센서가 감지되지 않았습니다.</t>
  </si>
  <si>
    <t xml:space="preserve"> Loader Light Curtain Mute On   센서가 감지되지 않았습니다.</t>
  </si>
  <si>
    <t xml:space="preserve"> Loader Light Curtain Mute Off Switch   센서가 감지되지 않았습니다.</t>
  </si>
  <si>
    <t xml:space="preserve"> Loader Light Curtain Mute Switch   센서가 감지되지 않았습니다.</t>
  </si>
  <si>
    <t xml:space="preserve"> Safety Door Key #6 Front R Side 3 Check   센서가 감지되지 않았습니다.</t>
  </si>
  <si>
    <t xml:space="preserve"> Safety Door Key #5 Front R Side 2 Check   센서가 감지되지 않았습니다.</t>
  </si>
  <si>
    <t xml:space="preserve"> Safety Door Key #4 Front R Side 1 Check   센서가 감지되지 않았습니다.</t>
  </si>
  <si>
    <t xml:space="preserve"> Safety Door Lock #6 Front R Side 3 Check   센서가 감지되지 않았습니다.</t>
  </si>
  <si>
    <t xml:space="preserve"> Safety Door Lock #5 Front R Side 2 Check   센서가 감지되지 않았습니다.</t>
  </si>
  <si>
    <t xml:space="preserve"> Safety Door Lock #4 Front R Side 1 Check   센서가 감지되지 않았습니다.</t>
  </si>
  <si>
    <t xml:space="preserve"> Safety Door Key #3 Front L Side 3 Check   센서가 감지되지 않았습니다.</t>
  </si>
  <si>
    <t xml:space="preserve"> Safety Door Key #2 Front L Side 2 Check   센서가 감지되지 않았습니다.</t>
  </si>
  <si>
    <t xml:space="preserve"> Safety Door Key #1 Front L Side 1 Check   센서가 감지되지 않았습니다.</t>
  </si>
  <si>
    <t xml:space="preserve"> Safety Door Lock #3 Front L Side 3 Check   센서가 감지되지 않았습니다.</t>
  </si>
  <si>
    <t xml:space="preserve"> Safety Door Lock #2 Front L Side 2 Check   센서가 감지되지 않았습니다.</t>
  </si>
  <si>
    <t xml:space="preserve"> Safety Door Lock #1 Front L Side 1 Check   센서가 감지되지 않았습니다.</t>
  </si>
  <si>
    <t xml:space="preserve"> EMS Switch #6 Front Right Side Check   센서가 감지되지 않았습니다.</t>
  </si>
  <si>
    <t xml:space="preserve"> EMS Switch #5 Front Left Side  Check   센서가 감지되지 않았습니다.</t>
  </si>
  <si>
    <t xml:space="preserve"> EMS Switch #4 Reject  Conveyer Check   센서가 감지되지 않았습니다.</t>
  </si>
  <si>
    <t xml:space="preserve"> EMS Switch #3 Unloader  Conveyer Check   센서가 감지되지 않았습니다.</t>
  </si>
  <si>
    <t xml:space="preserve"> EMS Switch #2 Middle Conveyer Check   센서가 감지되지 않았습니다.</t>
  </si>
  <si>
    <t xml:space="preserve"> EMS Switch #1 Loader Conveyer Check   센서가 감지되지 않았습니다.</t>
  </si>
  <si>
    <t xml:space="preserve"> Rear Switch Seclect Check   센서가 감지되지 않았습니다.</t>
  </si>
  <si>
    <t xml:space="preserve"> Front Switch Seclect Check   센서가 감지되지 않았습니다.</t>
  </si>
  <si>
    <t xml:space="preserve"> Manual Mode Check   센서가 감지되지 않았습니다.</t>
  </si>
  <si>
    <t xml:space="preserve"> Front Lamp Switch   센서가 감지되지 않았습니다.</t>
  </si>
  <si>
    <t xml:space="preserve"> Front DOOR Open Switch   센서가 감지되지 않았습니다.</t>
  </si>
  <si>
    <t xml:space="preserve"> Front Reset Switch   센서가 감지되지 않았습니다.</t>
  </si>
  <si>
    <t xml:space="preserve"> Front Stop Switch   센서가 감지되지 않았습니다.</t>
  </si>
  <si>
    <t xml:space="preserve"> Front Start Switch   센서가 감지되지 않았습니다.</t>
  </si>
  <si>
    <t xml:space="preserve"> Rear Right Side Dc Fan #4 Check   센서가 감지되었습니다.</t>
  </si>
  <si>
    <t xml:space="preserve"> Rear Right Side Dc Fan #3 Check   센서가 감지되었습니다.</t>
  </si>
  <si>
    <t xml:space="preserve"> Rear Right Side Dc Fan #2 Check   센서가 감지되었습니다.</t>
  </si>
  <si>
    <t xml:space="preserve"> Rear Right Side Dc Fan #1 Check   센서가 감지되었습니다.</t>
  </si>
  <si>
    <t xml:space="preserve"> EMS Switch #12 Rear Right Check  센서가 감지되었습니다.</t>
  </si>
  <si>
    <t xml:space="preserve"> EMS Switch #11 Rear Right Side Check   센서가 감지되었습니다.</t>
  </si>
  <si>
    <t xml:space="preserve"> EMS Switch #10 ULD Mid Feeder Check    센서가 감지되었습니다.</t>
  </si>
  <si>
    <t xml:space="preserve"> Bottom Door Check R Ac Power Box#2 Check   센서가 감지되었습니다.</t>
  </si>
  <si>
    <t xml:space="preserve"> Bottom Door Check R Ac Power Box#1 Check   센서가 감지되었습니다.</t>
  </si>
  <si>
    <t xml:space="preserve"> Right Ac Power Box Smoke Alarm Check  센서가 감지되었습니다.</t>
  </si>
  <si>
    <t xml:space="preserve"> Safety Door Key #17 Rear ULD  Mid Feeder Bottom Check   센서가 감지되었습니다.</t>
  </si>
  <si>
    <t xml:space="preserve"> Safety Door Key #16 Rear ULD  Mid Feeder Top Check   센서가 감지되었습니다.</t>
  </si>
  <si>
    <t xml:space="preserve"> Safety Door Key #15 Rear R Side #2 Check   센서가 감지되었습니다.</t>
  </si>
  <si>
    <t xml:space="preserve"> Safety Door Key #14 Rear R Side #1 Check   센서가 감지되었습니다.</t>
  </si>
  <si>
    <t xml:space="preserve"> Safety Door Key #13 Check ULD FLOW Check   센서가 감지되었습니다.</t>
  </si>
  <si>
    <t xml:space="preserve"> Safety Door Key #12 Check Rear Middle Check   센서가 감지되었습니다.</t>
  </si>
  <si>
    <t xml:space="preserve"> Safety Door Lock #17 Rear ULD  Mid Feeder Bottom Check   센서가 감지되었습니다.</t>
  </si>
  <si>
    <t xml:space="preserve"> Safety Door Lock #16 Rear ULD  Mid Feeder Top Check   센서가 감지되었습니다.</t>
  </si>
  <si>
    <t xml:space="preserve"> Safety Door Lock #15 Rear R Side #2 Check   센서가 감지되었습니다.</t>
  </si>
  <si>
    <t xml:space="preserve"> Safety Door Lock #14 Rear R Side #1 Check   센서가 감지되었습니다.</t>
  </si>
  <si>
    <t xml:space="preserve"> Safety Door Lock #13 Check ULD FLOW Check   센서가 감지되었습니다.</t>
  </si>
  <si>
    <t xml:space="preserve"> Safety Door Lock #12 Check Rear Middle Check  센서가 감지되었습니다.</t>
  </si>
  <si>
    <t xml:space="preserve"> Bottom Door Check L Ac Power Box#2 Check   센서가 감지되었습니다.</t>
  </si>
  <si>
    <t xml:space="preserve"> Bottom Door Check L Ac Power Box#1 Check   센서가 감지되었습니다.</t>
  </si>
  <si>
    <t xml:space="preserve"> EMS Switch #9 Rear Left Check   센서가 감지되었습니다.</t>
  </si>
  <si>
    <t xml:space="preserve"> EMS Switch #8 Rear Left Side Check   센서가 감지되었습니다.</t>
  </si>
  <si>
    <t xml:space="preserve"> EMS Switch #7 LD Mid Feeder Check   센서가 감지되었습니다.</t>
  </si>
  <si>
    <t xml:space="preserve"> Safety Door Key #11 Rear LD FLOW  Check   센서가 감지되었습니다.</t>
  </si>
  <si>
    <t xml:space="preserve"> Safety Door Key #10 Rear L Side #2 Check   센서가 감지되었습니다.</t>
  </si>
  <si>
    <t xml:space="preserve"> Safety Door Key #9 Rear L Side #1 Check   센서가 감지되었습니다.</t>
  </si>
  <si>
    <t xml:space="preserve"> Safety Door Key #8 Rear LD  Mid Feeder Bottom Check   센서가 감지되었습니다.</t>
  </si>
  <si>
    <t xml:space="preserve"> Safety Door Key #7 Rear LD  Mid Feeder Top Check   센서가 감지되었습니다.</t>
  </si>
  <si>
    <t xml:space="preserve"> Safety Door Lock #11 Rear LD FLOW Check   센서가 감지되었습니다.</t>
  </si>
  <si>
    <t xml:space="preserve"> Safety Door Lock #10 Rear L Side #2 Check   센서가 감지되었습니다.</t>
  </si>
  <si>
    <t xml:space="preserve"> Safety Door Lock #9 Rear L Side #1 Check   센서가 감지되었습니다.</t>
  </si>
  <si>
    <t xml:space="preserve"> Safety Door Lock #8 Rear LD  Mid Feeder Bottom Check   센서가 감지되었습니다.</t>
  </si>
  <si>
    <t xml:space="preserve"> Safety Door Lock #7 Rear LD Mid Feeder Top Check   센서가 감지되었습니다.</t>
  </si>
  <si>
    <t xml:space="preserve"> Rear Left Side Dc Fan #4 Check   센서가 감지되었습니다.</t>
  </si>
  <si>
    <t xml:space="preserve"> Rear Left Side Dc Fan #3 Check   센서가 감지되었습니다.</t>
  </si>
  <si>
    <t xml:space="preserve"> Rear Left Side Dc Fan #2 Check   센서가 감지되었습니다.</t>
  </si>
  <si>
    <t xml:space="preserve"> Rear Left Side Dc Fan #1 Check   센서가 감지되었습니다.</t>
  </si>
  <si>
    <t xml:space="preserve"> Servo Main MC#2 On Check   센서가 감지되었습니다.</t>
  </si>
  <si>
    <t xml:space="preserve"> Servo Main MC#1 On Check   센서가 감지되었습니다.</t>
  </si>
  <si>
    <t xml:space="preserve"> Rear Main Air Check   센서가 감지되었습니다.</t>
  </si>
  <si>
    <t xml:space="preserve"> Safety State Ready Check  센서가 감지되었습니다.</t>
  </si>
  <si>
    <t xml:space="preserve"> EMS Switch #13 Rear Test Site  센서가 감지되었습니다.</t>
  </si>
  <si>
    <t xml:space="preserve"> Rear Left Ac Power Box Smoke Alarm Check  센서가 감지되었습니다.</t>
  </si>
  <si>
    <t xml:space="preserve"> Rear Lamp Switch   센서가 감지되었습니다.</t>
  </si>
  <si>
    <t xml:space="preserve"> Rear DOOR Open Switch   센서가 감지되었습니다.</t>
  </si>
  <si>
    <t xml:space="preserve"> Rear Reset Switch   센서가 감지되었습니다.</t>
  </si>
  <si>
    <t xml:space="preserve"> Rear Stop Switch   센서가 감지되었습니다.</t>
  </si>
  <si>
    <t xml:space="preserve"> Rear Start Switch   센서가 감지되었습니다.</t>
  </si>
  <si>
    <t xml:space="preserve"> Front Main Air Check   센서가 감지되었습니다.</t>
  </si>
  <si>
    <t xml:space="preserve"> Front Ac Power Box Smoke Alarm Check  센서가 감지되었습니다.</t>
  </si>
  <si>
    <t xml:space="preserve"> Front Right Side Dc Fan#2 Check  센서가 감지되었습니다.</t>
  </si>
  <si>
    <t xml:space="preserve"> Front Right Side Dc Fan#1 Check    센서가 감지되었습니다.</t>
  </si>
  <si>
    <t xml:space="preserve"> Front Left Side Dc Fan#2 Check  센서가 감지되었습니다.</t>
  </si>
  <si>
    <t xml:space="preserve"> Front Left Side Dc Fan#1 Check    센서가 감지되었습니다.</t>
  </si>
  <si>
    <t xml:space="preserve"> Bottom Door Check Right Side#3 Check  센서가 감지되었습니다.</t>
  </si>
  <si>
    <t xml:space="preserve"> Bottom Door Check Right Side#2 Check  센서가 감지되었습니다.</t>
  </si>
  <si>
    <t xml:space="preserve"> Bottom Door Check Right Side#1 Check   센서가 감지되었습니다.</t>
  </si>
  <si>
    <t xml:space="preserve"> Bottom Door Check Left Side#3 Check  센서가 감지되었습니다.</t>
  </si>
  <si>
    <t xml:space="preserve"> Bottom Door Check Left Side#2 Check  센서가 감지되었습니다.</t>
  </si>
  <si>
    <t xml:space="preserve"> Bottom Door Check Left Side#1 Check   센서가 감지되었습니다.</t>
  </si>
  <si>
    <t xml:space="preserve"> Bottom Door Check Reject Check   센서가 감지되었습니다.</t>
  </si>
  <si>
    <t xml:space="preserve"> Unloader Light Curtain Check   센서가 감지되었습니다.</t>
  </si>
  <si>
    <t xml:space="preserve"> Unloader Conveyer On Switch   센서가 감지되었습니다.</t>
  </si>
  <si>
    <t xml:space="preserve"> Unloader Light Curtain Mute On   센서가 감지되었습니다.</t>
  </si>
  <si>
    <t xml:space="preserve"> Unloader Light Curtain Mute Off Switch   센서가 감지되었습니다.</t>
  </si>
  <si>
    <t xml:space="preserve"> Unloader Light Curtain Mute Switch   센서가 감지되었습니다.</t>
  </si>
  <si>
    <t xml:space="preserve"> Middle Light Curtain Check   센서가 감지되었습니다.</t>
  </si>
  <si>
    <t xml:space="preserve"> Middle Light Curtain Mute On   센서가 감지되었습니다.</t>
  </si>
  <si>
    <t xml:space="preserve"> Middle Light Curtain Mute Off Switch   센서가 감지되었습니다.</t>
  </si>
  <si>
    <t xml:space="preserve"> Middle Light Curtain Mute Switch   센서가 감지되었습니다.</t>
  </si>
  <si>
    <t xml:space="preserve"> Loader Light Curtain Check   센서가 감지되었습니다.</t>
  </si>
  <si>
    <t xml:space="preserve"> Loader Conveyer On Switch   센서가 감지되었습니다.</t>
  </si>
  <si>
    <t xml:space="preserve"> Loader Light Curtain Mute On   센서가 감지되었습니다.</t>
  </si>
  <si>
    <t xml:space="preserve"> Loader Light Curtain Mute Off Switch   센서가 감지되었습니다.</t>
  </si>
  <si>
    <t xml:space="preserve"> Loader Light Curtain Mute Switch   센서가 감지되었습니다.</t>
  </si>
  <si>
    <t xml:space="preserve"> Safety Door Key #6 Front R Side 3 Check   센서가 감지되었습니다.</t>
  </si>
  <si>
    <t xml:space="preserve"> Safety Door Key #5 Front R Side 2 Check   센서가 감지되었습니다.</t>
  </si>
  <si>
    <t xml:space="preserve"> Safety Door Key #4 Front R Side 1 Check   센서가 감지되었습니다.</t>
  </si>
  <si>
    <t xml:space="preserve"> Safety Door Lock #6 Front R Side 3 Check   센서가 감지되었습니다.</t>
  </si>
  <si>
    <t xml:space="preserve"> Safety Door Lock #5 Front R Side 2 Check   센서가 감지되었습니다.</t>
  </si>
  <si>
    <t xml:space="preserve"> Safety Door Lock #4 Front R Side 1 Check   센서가 감지되었습니다.</t>
  </si>
  <si>
    <t xml:space="preserve"> Safety Door Key #3 Front L Side 3 Check   센서가 감지되었습니다.</t>
  </si>
  <si>
    <t xml:space="preserve"> Safety Door Key #2 Front L Side 2 Check   센서가 감지되었습니다.</t>
  </si>
  <si>
    <t xml:space="preserve"> Safety Door Key #1 Front L Side 1 Check   센서가 감지되었습니다.</t>
  </si>
  <si>
    <t xml:space="preserve"> Safety Door Lock #3 Front L Side 3 Check   센서가 감지되었습니다.</t>
  </si>
  <si>
    <t xml:space="preserve"> Safety Door Lock #2 Front L Side 2 Check   센서가 감지되었습니다.</t>
  </si>
  <si>
    <t xml:space="preserve"> Safety Door Lock #1 Front L Side 1 Check   센서가 감지되었습니다.</t>
  </si>
  <si>
    <t xml:space="preserve"> EMS Switch #6 Front Right Side Check   센서가 감지되었습니다.</t>
  </si>
  <si>
    <t xml:space="preserve"> EMS Switch #5 Front Left Side  Check   센서가 감지되었습니다.</t>
  </si>
  <si>
    <t xml:space="preserve"> EMS Switch #4 Reject  Conveyer Check   센서가 감지되었습니다.</t>
  </si>
  <si>
    <t xml:space="preserve"> EMS Switch #3 Unloader  Conveyer Check   센서가 감지되었습니다.</t>
  </si>
  <si>
    <t xml:space="preserve"> EMS Switch #2 Middle Conveyer Check   센서가 감지되었습니다.</t>
  </si>
  <si>
    <t xml:space="preserve"> EMS Switch #1 Loader Conveyer Check   센서가 감지되었습니다.</t>
  </si>
  <si>
    <t xml:space="preserve"> Rear Switch Seclect Check   센서가 감지되었습니다.</t>
  </si>
  <si>
    <t xml:space="preserve"> Front Switch Seclect Check   센서가 감지되었습니다.</t>
  </si>
  <si>
    <t xml:space="preserve"> Manual Mode Check   센서가 감지되었습니다.</t>
  </si>
  <si>
    <t xml:space="preserve"> Front Lamp Switch   센서가 감지되었습니다.</t>
  </si>
  <si>
    <t xml:space="preserve"> Front DOOR Open Switch   센서가 감지되었습니다.</t>
  </si>
  <si>
    <t xml:space="preserve"> Front Reset Switch   센서가 감지되었습니다.</t>
  </si>
  <si>
    <t xml:space="preserve"> Front Stop Switch   센서가 감지되었습니다.</t>
  </si>
  <si>
    <t xml:space="preserve"> Front Start Switch   센서가 감지되었습니다.</t>
  </si>
  <si>
    <t xml:space="preserve"> TEST_SITE_REAR_Z 등록 된 Teaching Pos에서 Last Pos을 찾을 수 없습니다. </t>
  </si>
  <si>
    <t>[MOTOR]</t>
  </si>
  <si>
    <t xml:space="preserve"> TEST_SITE_FRONT_Z 등록 된 Teaching Pos에서 Last Pos을 찾을 수 없습니다. </t>
  </si>
  <si>
    <t xml:space="preserve"> OUTPUT_FLOW_REAR_BOTTOM_FEEDER_X 등록 된 Teaching Pos에서 Last Pos을 찾을 수 없습니다. </t>
  </si>
  <si>
    <t xml:space="preserve"> OUTPUT_FLOW_FRONT_BOTTOM_FEEDER_X 등록 된 Teaching Pos에서 Last Pos을 찾을 수 없습니다. </t>
  </si>
  <si>
    <t xml:space="preserve"> OUTPUT_FLOW_TOP_FEEDER_Y 등록 된 Teaching Pos에서 Last Pos을 찾을 수 없습니다. </t>
  </si>
  <si>
    <t xml:space="preserve"> UNLOAD_FLOW_MIDDLE_FEEDER_Y 등록 된 Teaching Pos에서 Last Pos을 찾을 수 없습니다. </t>
  </si>
  <si>
    <t xml:space="preserve"> INPUT_FLOW_REAR_BOTTOM_FEEDER_X 등록 된 Teaching Pos에서 Last Pos을 찾을 수 없습니다. </t>
  </si>
  <si>
    <t xml:space="preserve"> INPUT_FLOW_FRONT_BOTTOM_FEEDER_X 등록 된 Teaching Pos에서 Last Pos을 찾을 수 없습니다. </t>
  </si>
  <si>
    <t xml:space="preserve"> INPUT_FLOW_TOP_FEEDER_Y 등록 된 Teaching Pos에서 Last Pos을 찾을 수 없습니다. </t>
  </si>
  <si>
    <t xml:space="preserve"> LOAD_FLOW_MIDDLE_FEEDER_Y 등록 된 Teaching Pos에서 Last Pos을 찾을 수 없습니다. </t>
  </si>
  <si>
    <t xml:space="preserve"> UNLOAD_TRANSFER_X 등록 된 Teaching Pos에서 Last Pos을 찾을 수 없습니다. </t>
  </si>
  <si>
    <t xml:space="preserve"> UNLOAD_TRANSFER_Z 등록 된 Teaching Pos에서 Last Pos을 찾을 수 없습니다. </t>
  </si>
  <si>
    <t xml:space="preserve"> UNLOAD_TRANSFER_GRIP_R 등록 된 Teaching Pos에서 Last Pos을 찾을 수 없습니다. </t>
  </si>
  <si>
    <t xml:space="preserve"> UNLOAD_TRANSFER_GRIP_L 등록 된 Teaching Pos에서 Last Pos을 찾을 수 없습니다. </t>
  </si>
  <si>
    <t xml:space="preserve"> UNLOAD_TRANSFER_T 등록 된 Teaching Pos에서 Last Pos을 찾을 수 없습니다. </t>
  </si>
  <si>
    <t xml:space="preserve"> LOAD_TRANSFER_X 등록 된 Teaching Pos에서 Last Pos을 찾을 수 없습니다. </t>
  </si>
  <si>
    <t xml:space="preserve"> LOAD_TRANSFER_Z 등록 된 Teaching Pos에서 Last Pos을 찾을 수 없습니다. </t>
  </si>
  <si>
    <t xml:space="preserve"> LOAD_TRANSFER_GRIP_R 등록 된 Teaching Pos에서 Last Pos을 찾을 수 없습니다. </t>
  </si>
  <si>
    <t xml:space="preserve"> LOAD_TRANSFER_GRIP_L 등록 된 Teaching Pos에서 Last Pos을 찾을 수 없습니다. </t>
  </si>
  <si>
    <t xml:space="preserve"> LOAD_TRANSFER_T 등록 된 Teaching Pos에서 Last Pos을 찾을 수 없습니다. </t>
  </si>
  <si>
    <t xml:space="preserve"> UNLOAD_HAND_Y 등록 된 Teaching Pos에서 Last Pos을 찾을 수 없습니다. </t>
  </si>
  <si>
    <t xml:space="preserve"> UNLOAD_HAND_X 등록 된 Teaching Pos에서 Last Pos을 찾을 수 없습니다. </t>
  </si>
  <si>
    <t xml:space="preserve"> UNLOAD_HAND_Z 등록 된 Teaching Pos에서 Last Pos을 찾을 수 없습니다. </t>
  </si>
  <si>
    <t xml:space="preserve"> LOAD_HAND_Y 등록 된 Teaching Pos에서 Last Pos을 찾을 수 없습니다. </t>
  </si>
  <si>
    <t xml:space="preserve"> LOAD_HAND_X 등록 된 Teaching Pos에서 Last Pos을 찾을 수 없습니다. </t>
  </si>
  <si>
    <t xml:space="preserve"> LOAD_HAND_Z 등록 된 Teaching Pos에서 Last Pos을 찾을 수 없습니다. </t>
  </si>
  <si>
    <t xml:space="preserve"> TEST_SITE_REAR_Z 절대치 엔코더 설정이 안되어 있습니다. </t>
  </si>
  <si>
    <t xml:space="preserve"> TEST_SITE_FRONT_Z 절대치 엔코더 설정이 안되어 있습니다. </t>
  </si>
  <si>
    <t xml:space="preserve"> OUTPUT_FLOW_REAR_BOTTOM_FEEDER_X 절대치 엔코더 설정이 안되어 있습니다. </t>
  </si>
  <si>
    <t xml:space="preserve"> OUTPUT_FLOW_FRONT_BOTTOM_FEEDER_X 절대치 엔코더 설정이 안되어 있습니다. </t>
  </si>
  <si>
    <t xml:space="preserve"> OUTPUT_FLOW_TOP_FEEDER_Y 절대치 엔코더 설정이 안되어 있습니다. </t>
  </si>
  <si>
    <t xml:space="preserve"> UNLOAD_FLOW_MIDDLE_FEEDER_Y 절대치 엔코더 설정이 안되어 있습니다. </t>
  </si>
  <si>
    <t xml:space="preserve"> INPUT_FLOW_REAR_BOTTOM_FEEDER_X 절대치 엔코더 설정이 안되어 있습니다. </t>
  </si>
  <si>
    <t xml:space="preserve"> INPUT_FLOW_FRONT_BOTTOM_FEEDER_X 절대치 엔코더 설정이 안되어 있습니다. </t>
  </si>
  <si>
    <t xml:space="preserve"> INPUT_FLOW_TOP_FEEDER_Y 절대치 엔코더 설정이 안되어 있습니다. </t>
  </si>
  <si>
    <t xml:space="preserve"> LOAD_FLOW_MIDDLE_FEEDER_Y 절대치 엔코더 설정이 안되어 있습니다. </t>
  </si>
  <si>
    <t xml:space="preserve"> UNLOAD_TRANSFER_X 절대치 엔코더 설정이 안되어 있습니다. </t>
  </si>
  <si>
    <t xml:space="preserve"> UNLOAD_TRANSFER_Z 절대치 엔코더 설정이 안되어 있습니다. </t>
  </si>
  <si>
    <t xml:space="preserve"> UNLOAD_TRANSFER_GRIP_R 절대치 엔코더 설정이 안되어 있습니다. </t>
  </si>
  <si>
    <t xml:space="preserve"> UNLOAD_TRANSFER_GRIP_L 절대치 엔코더 설정이 안되어 있습니다. </t>
  </si>
  <si>
    <t xml:space="preserve"> UNLOAD_TRANSFER_T 절대치 엔코더 설정이 안되어 있습니다. </t>
  </si>
  <si>
    <t xml:space="preserve"> LOAD_TRANSFER_X 절대치 엔코더 설정이 안되어 있습니다. </t>
  </si>
  <si>
    <t xml:space="preserve"> LOAD_TRANSFER_Z 절대치 엔코더 설정이 안되어 있습니다. </t>
  </si>
  <si>
    <t xml:space="preserve"> LOAD_TRANSFER_GRIP_R 절대치 엔코더 설정이 안되어 있습니다. </t>
  </si>
  <si>
    <t xml:space="preserve"> LOAD_TRANSFER_GRIP_L 절대치 엔코더 설정이 안되어 있습니다. </t>
  </si>
  <si>
    <t xml:space="preserve"> LOAD_TRANSFER_T 절대치 엔코더 설정이 안되어 있습니다. </t>
  </si>
  <si>
    <t xml:space="preserve"> UNLOAD_HAND_Y 절대치 엔코더 설정이 안되어 있습니다. </t>
  </si>
  <si>
    <t xml:space="preserve"> UNLOAD_HAND_X 절대치 엔코더 설정이 안되어 있습니다. </t>
  </si>
  <si>
    <t xml:space="preserve"> UNLOAD_HAND_Z 절대치 엔코더 설정이 안되어 있습니다. </t>
  </si>
  <si>
    <t xml:space="preserve"> LOAD_HAND_Y 절대치 엔코더 설정이 안되어 있습니다. </t>
  </si>
  <si>
    <t xml:space="preserve"> LOAD_HAND_X 절대치 엔코더 설정이 안되어 있습니다. </t>
  </si>
  <si>
    <t xml:space="preserve"> LOAD_HAND_Z 절대치 엔코더 설정이 안되어 있습니다. </t>
  </si>
  <si>
    <t xml:space="preserve"> TEST_SITE_REAR_Z 축 Limit 센서에 감지되었습니다. </t>
  </si>
  <si>
    <t xml:space="preserve"> TEST_SITE_FRONT_Z 축 Limit 센서에 감지되었습니다. </t>
  </si>
  <si>
    <t xml:space="preserve"> OUTPUT_FLOW_REAR_BOTTOM_FEEDER_X 축 Limit 센서에 감지되었습니다. </t>
  </si>
  <si>
    <t xml:space="preserve"> OUTPUT_FLOW_FRONT_BOTTOM_FEEDER_X 축 Limit 센서에 감지되었습니다. </t>
  </si>
  <si>
    <t xml:space="preserve"> OUTPUT_FLOW_TOP_FEEDER_Y 축 Limit 센서에 감지되었습니다. </t>
  </si>
  <si>
    <t xml:space="preserve"> UNLOAD_FLOW_MIDDLE_FEEDER_Y 축 Limit 센서에 감지되었습니다. </t>
  </si>
  <si>
    <t xml:space="preserve"> INPUT_FLOW_REAR_BOTTOM_FEEDER_X 축 Limit 센서에 감지되었습니다. </t>
  </si>
  <si>
    <t xml:space="preserve"> INPUT_FLOW_FRONT_BOTTOM_FEEDER_X 축 Limit 센서에 감지되었습니다. </t>
  </si>
  <si>
    <t xml:space="preserve"> INPUT_FLOW_TOP_FEEDER_Y 축 Limit 센서에 감지되었습니다. </t>
  </si>
  <si>
    <t xml:space="preserve"> LOAD_FLOW_MIDDLE_FEEDER_Y 축 Limit 센서에 감지되었습니다. </t>
  </si>
  <si>
    <t xml:space="preserve"> UNLOAD_TRANSFER_X 축 Limit 센서에 감지되었습니다. </t>
  </si>
  <si>
    <t xml:space="preserve"> UNLOAD_TRANSFER_Z 축 Limit 센서에 감지되었습니다. </t>
  </si>
  <si>
    <t xml:space="preserve"> UNLOAD_TRANSFER_GRIP_R 축 Limit 센서에 감지되었습니다. </t>
  </si>
  <si>
    <t xml:space="preserve"> UNLOAD_TRANSFER_GRIP_L 축 Limit 센서에 감지되었습니다. </t>
  </si>
  <si>
    <t xml:space="preserve"> UNLOAD_TRANSFER_T 축 Limit 센서에 감지되었습니다. </t>
  </si>
  <si>
    <t xml:space="preserve"> LOAD_TRANSFER_X 축 Limit 센서에 감지되었습니다. </t>
  </si>
  <si>
    <t xml:space="preserve"> LOAD_TRANSFER_Z 축 Limit 센서에 감지되었습니다. </t>
  </si>
  <si>
    <t xml:space="preserve"> LOAD_TRANSFER_GRIP_R 축 Limit 센서에 감지되었습니다. </t>
  </si>
  <si>
    <t xml:space="preserve"> LOAD_TRANSFER_GRIP_L 축 Limit 센서에 감지되었습니다. </t>
  </si>
  <si>
    <t xml:space="preserve"> LOAD_TRANSFER_T 축 Limit 센서에 감지되었습니다. </t>
  </si>
  <si>
    <t xml:space="preserve"> UNLOAD_HAND_Y 축 Limit 센서에 감지되었습니다. </t>
  </si>
  <si>
    <t xml:space="preserve"> UNLOAD_HAND_X 축 Limit 센서에 감지되었습니다. </t>
  </si>
  <si>
    <t xml:space="preserve"> UNLOAD_HAND_Z 축 Limit 센서에 감지되었습니다. </t>
  </si>
  <si>
    <t xml:space="preserve"> LOAD_HAND_Y 축 Limit 센서에 감지되었습니다. </t>
  </si>
  <si>
    <t xml:space="preserve"> LOAD_HAND_X 축 Limit 센서에 감지되었습니다. </t>
  </si>
  <si>
    <t xml:space="preserve"> LOAD_HAND_Z 축 Limit 센서에 감지되었습니다. </t>
  </si>
  <si>
    <t xml:space="preserve"> TEST_SITE_REAR_Z 축이 SW ERROR -&gt; Target이 최대 이동범위를 초과했습니다. </t>
  </si>
  <si>
    <t xml:space="preserve"> TEST_SITE_FRONT_Z 축이 SW ERROR -&gt; Target이 최대 이동범위를 초과했습니다. </t>
  </si>
  <si>
    <t xml:space="preserve"> OUTPUT_FLOW_REAR_BOTTOM_FEEDER_X 축이 SW ERROR -&gt; Target이 최대 이동범위를 초과했습니다. </t>
  </si>
  <si>
    <t xml:space="preserve"> OUTPUT_FLOW_FRONT_BOTTOM_FEEDER_X 축이 SW ERROR -&gt; Target이 최대 이동범위를 초과했습니다. </t>
  </si>
  <si>
    <t xml:space="preserve"> OUTPUT_FLOW_TOP_FEEDER_Y 축이 SW ERROR -&gt; Target이 최대 이동범위를 초과했습니다. </t>
  </si>
  <si>
    <t xml:space="preserve"> UNLOAD_FLOW_MIDDLE_FEEDER_Y 축이 SW ERROR -&gt; Target이 최대 이동범위를 초과했습니다. </t>
  </si>
  <si>
    <t xml:space="preserve"> INPUT_FLOW_REAR_BOTTOM_FEEDER_X 축이 SW ERROR -&gt; Target이 최대 이동범위를 초과했습니다. </t>
  </si>
  <si>
    <t xml:space="preserve"> INPUT_FLOW_FRONT_BOTTOM_FEEDER_X 축이 SW ERROR -&gt; Target이 최대 이동범위를 초과했습니다. </t>
  </si>
  <si>
    <t xml:space="preserve"> INPUT_FLOW_TOP_FEEDER_Y 축이 SW ERROR -&gt; Target이 최대 이동범위를 초과했습니다. </t>
  </si>
  <si>
    <t xml:space="preserve"> LOAD_FLOW_MIDDLE_FEEDER_Y 축이 SW ERROR -&gt; Target이 최대 이동범위를 초과했습니다. </t>
  </si>
  <si>
    <t xml:space="preserve"> UNLOAD_TRANSFER_X 축이 SW ERROR -&gt; Target이 최대 이동범위를 초과했습니다. </t>
  </si>
  <si>
    <t xml:space="preserve"> UNLOAD_TRANSFER_Z 축이 SW ERROR -&gt; Target이 최대 이동범위를 초과했습니다. </t>
  </si>
  <si>
    <t xml:space="preserve"> UNLOAD_TRANSFER_GRIP_R 축이 SW ERROR -&gt; Target이 최대 이동범위를 초과했습니다. </t>
  </si>
  <si>
    <t xml:space="preserve"> UNLOAD_TRANSFER_GRIP_L 축이 SW ERROR -&gt; Target이 최대 이동범위를 초과했습니다. </t>
  </si>
  <si>
    <t xml:space="preserve"> UNLOAD_TRANSFER_T 축이 SW ERROR -&gt; Target이 최대 이동범위를 초과했습니다. </t>
  </si>
  <si>
    <t xml:space="preserve"> LOAD_TRANSFER_X 축이 SW ERROR -&gt; Target이 최대 이동범위를 초과했습니다. </t>
  </si>
  <si>
    <t xml:space="preserve"> LOAD_TRANSFER_Z 축이 SW ERROR -&gt; Target이 최대 이동범위를 초과했습니다. </t>
  </si>
  <si>
    <t xml:space="preserve"> LOAD_TRANSFER_GRIP_R 축이 SW ERROR -&gt; Target이 최대 이동범위를 초과했습니다. </t>
  </si>
  <si>
    <t xml:space="preserve"> LOAD_TRANSFER_GRIP_L 축이 SW ERROR -&gt; Target이 최대 이동범위를 초과했습니다. </t>
  </si>
  <si>
    <t xml:space="preserve"> LOAD_TRANSFER_T 축이 SW ERROR -&gt; Target이 최대 이동범위를 초과했습니다. </t>
  </si>
  <si>
    <t xml:space="preserve"> UNLOAD_HAND_Y 축이 SW ERROR -&gt; Target이 최대 이동범위를 초과했습니다. </t>
  </si>
  <si>
    <t xml:space="preserve"> UNLOAD_HAND_X 축이 SW ERROR -&gt; Target이 최대 이동범위를 초과했습니다. </t>
  </si>
  <si>
    <t xml:space="preserve"> UNLOAD_HAND_Z 축이 SW ERROR -&gt; Target이 최대 이동범위를 초과했습니다. </t>
  </si>
  <si>
    <t xml:space="preserve"> LOAD_HAND_Y 축이 SW ERROR -&gt; Target이 최대 이동범위를 초과했습니다. </t>
  </si>
  <si>
    <t xml:space="preserve"> LOAD_HAND_X 축이 SW ERROR -&gt; Target이 최대 이동범위를 초과했습니다. </t>
  </si>
  <si>
    <t xml:space="preserve"> LOAD_HAND_Z 축이 SW ERROR -&gt; Target이 최대 이동범위를 초과했습니다. </t>
  </si>
  <si>
    <t xml:space="preserve"> TEST_SITE_REAR_Z 축 모터 Home Check가 되지 않았습니다. </t>
  </si>
  <si>
    <t xml:space="preserve"> TEST_SITE_FRONT_Z 축 모터 Home Check가 되지 않았습니다. </t>
  </si>
  <si>
    <t xml:space="preserve"> OUTPUT_FLOW_REAR_BOTTOM_FEEDER_X 축 모터 Home Check가 되지 않았습니다. </t>
  </si>
  <si>
    <t xml:space="preserve"> OUTPUT_FLOW_FRONT_BOTTOM_FEEDER_X 축 모터 Home Check가 되지 않았습니다. </t>
  </si>
  <si>
    <t xml:space="preserve"> OUTPUT_FLOW_TOP_FEEDER_Y 축 모터 Home Check가 되지 않았습니다. </t>
  </si>
  <si>
    <t xml:space="preserve"> UNLOAD_FLOW_MIDDLE_FEEDER_Y 축 모터 Home Check가 되지 않았습니다. </t>
  </si>
  <si>
    <t xml:space="preserve"> INPUT_FLOW_REAR_BOTTOM_FEEDER_X 축 모터 Home Check가 되지 않았습니다. </t>
  </si>
  <si>
    <t xml:space="preserve"> INPUT_FLOW_FRONT_BOTTOM_FEEDER_X 축 모터 Home Check가 되지 않았습니다. </t>
  </si>
  <si>
    <t xml:space="preserve"> INPUT_FLOW_TOP_FEEDER_Y 축 모터 Home Check가 되지 않았습니다. </t>
  </si>
  <si>
    <t xml:space="preserve"> LOAD_FLOW_MIDDLE_FEEDER_Y 축 모터 Home Check가 되지 않았습니다. </t>
  </si>
  <si>
    <t xml:space="preserve"> UNLOAD_TRANSFER_X 축 모터 Home Check가 되지 않았습니다. </t>
  </si>
  <si>
    <t xml:space="preserve"> UNLOAD_TRANSFER_Z 축 모터 Home Check가 되지 않았습니다. </t>
  </si>
  <si>
    <t xml:space="preserve"> UNLOAD_TRANSFER_GRIP_R 축 모터 Home Check가 되지 않았습니다. </t>
  </si>
  <si>
    <t xml:space="preserve"> UNLOAD_TRANSFER_GRIP_L 축 모터 Home Check가 되지 않았습니다. </t>
  </si>
  <si>
    <t xml:space="preserve"> UNLOAD_TRANSFER_T 축 모터 Home Check가 되지 않았습니다. </t>
  </si>
  <si>
    <t xml:space="preserve"> LOAD_TRANSFER_X 축 모터 Home Check가 되지 않았습니다. </t>
  </si>
  <si>
    <t xml:space="preserve"> LOAD_TRANSFER_Z 축 모터 Home Check가 되지 않았습니다. </t>
  </si>
  <si>
    <t xml:space="preserve"> LOAD_TRANSFER_GRIP_R 축 모터 Home Check가 되지 않았습니다. </t>
  </si>
  <si>
    <t xml:space="preserve"> LOAD_TRANSFER_GRIP_L 축 모터 Home Check가 되지 않았습니다. </t>
  </si>
  <si>
    <t xml:space="preserve"> LOAD_TRANSFER_T 축 모터 Home Check가 되지 않았습니다. </t>
  </si>
  <si>
    <t xml:space="preserve"> UNLOAD_HAND_Y 축 모터 Home Check가 되지 않았습니다. </t>
  </si>
  <si>
    <t xml:space="preserve"> UNLOAD_HAND_X 축 모터 Home Check가 되지 않았습니다. </t>
  </si>
  <si>
    <t xml:space="preserve"> UNLOAD_HAND_Z 축 모터 Home Check가 되지 않았습니다. </t>
  </si>
  <si>
    <t xml:space="preserve"> LOAD_HAND_Y 축 모터 Home Check가 되지 않았습니다. </t>
  </si>
  <si>
    <t xml:space="preserve"> LOAD_HAND_X 축 모터 Home Check가 되지 않았습니다. </t>
  </si>
  <si>
    <t xml:space="preserve"> LOAD_HAND_Z 축 모터 Home Check가 되지 않았습니다. </t>
  </si>
  <si>
    <t xml:space="preserve"> TEST_SITE_REAR_Z 축이 모터 알람이 발생하였습니다. </t>
  </si>
  <si>
    <t xml:space="preserve"> TEST_SITE_FRONT_Z 축이 모터 알람이 발생하였습니다. </t>
  </si>
  <si>
    <t xml:space="preserve"> OUTPUT_FLOW_REAR_BOTTOM_FEEDER_X 축이 모터 알람이 발생하였습니다. </t>
  </si>
  <si>
    <t xml:space="preserve"> OUTPUT_FLOW_FRONT_BOTTOM_FEEDER_X 축이 모터 알람이 발생하였습니다. </t>
  </si>
  <si>
    <t xml:space="preserve"> OUTPUT_FLOW_TOP_FEEDER_Y 축이 모터 알람이 발생하였습니다. </t>
  </si>
  <si>
    <t xml:space="preserve"> UNLOAD_FLOW_MIDDLE_FEEDER_Y 축이 모터 알람이 발생하였습니다. </t>
  </si>
  <si>
    <t xml:space="preserve"> INPUT_FLOW_REAR_BOTTOM_FEEDER_X 축이 모터 알람이 발생하였습니다. </t>
  </si>
  <si>
    <t xml:space="preserve"> INPUT_FLOW_FRONT_BOTTOM_FEEDER_X 축이 모터 알람이 발생하였습니다. </t>
  </si>
  <si>
    <t xml:space="preserve"> INPUT_FLOW_TOP_FEEDER_Y 축이 모터 알람이 발생하였습니다. </t>
  </si>
  <si>
    <t xml:space="preserve"> LOAD_FLOW_MIDDLE_FEEDER_Y 축이 모터 알람이 발생하였습니다. </t>
  </si>
  <si>
    <t xml:space="preserve"> UNLOAD_TRANSFER_X 축이 모터 알람이 발생하였습니다. </t>
  </si>
  <si>
    <t xml:space="preserve"> UNLOAD_TRANSFER_Z 축이 모터 알람이 발생하였습니다. </t>
  </si>
  <si>
    <t xml:space="preserve"> UNLOAD_TRANSFER_GRIP_R 축이 모터 알람이 발생하였습니다. </t>
  </si>
  <si>
    <t xml:space="preserve"> UNLOAD_TRANSFER_GRIP_L 축이 모터 알람이 발생하였습니다. </t>
  </si>
  <si>
    <t xml:space="preserve"> UNLOAD_TRANSFER_T 축이 모터 알람이 발생하였습니다. </t>
  </si>
  <si>
    <t xml:space="preserve"> LOAD_TRANSFER_X 축이 모터 알람이 발생하였습니다. </t>
  </si>
  <si>
    <t xml:space="preserve"> LOAD_TRANSFER_Z 축이 모터 알람이 발생하였습니다. </t>
  </si>
  <si>
    <t xml:space="preserve"> LOAD_TRANSFER_GRIP_R 축이 모터 알람이 발생하였습니다. </t>
  </si>
  <si>
    <t xml:space="preserve"> LOAD_TRANSFER_GRIP_L 축이 모터 알람이 발생하였습니다. </t>
  </si>
  <si>
    <t xml:space="preserve"> LOAD_TRANSFER_T 축이 모터 알람이 발생하였습니다. </t>
  </si>
  <si>
    <t xml:space="preserve"> UNLOAD_HAND_Y 축이 모터 알람이 발생하였습니다. </t>
  </si>
  <si>
    <t xml:space="preserve"> UNLOAD_HAND_X 축이 모터 알람이 발생하였습니다. </t>
  </si>
  <si>
    <t xml:space="preserve"> UNLOAD_HAND_Z 축이 모터 알람이 발생하였습니다. </t>
  </si>
  <si>
    <t xml:space="preserve"> LOAD_HAND_Y 축이 모터 알람이 발생하였습니다. </t>
  </si>
  <si>
    <t xml:space="preserve"> LOAD_HAND_X 축이 모터 알람이 발생하였습니다. </t>
  </si>
  <si>
    <t xml:space="preserve"> LOAD_HAND_Z 축이 모터 알람이 발생하였습니다. </t>
  </si>
  <si>
    <t xml:space="preserve"> TEST_SITE_REAR_Z 축이 모터의 파워가 공급되지 않습니다. </t>
  </si>
  <si>
    <t xml:space="preserve"> TEST_SITE_FRONT_Z 축이 모터의 파워가 공급되지 않습니다. </t>
  </si>
  <si>
    <t xml:space="preserve"> OUTPUT_FLOW_REAR_BOTTOM_FEEDER_X 축이 모터의 파워가 공급되지 않습니다. </t>
  </si>
  <si>
    <t xml:space="preserve"> OUTPUT_FLOW_FRONT_BOTTOM_FEEDER_X 축이 모터의 파워가 공급되지 않습니다. </t>
  </si>
  <si>
    <t xml:space="preserve"> OUTPUT_FLOW_TOP_FEEDER_Y 축이 모터의 파워가 공급되지 않습니다. </t>
  </si>
  <si>
    <t xml:space="preserve"> UNLOAD_FLOW_MIDDLE_FEEDER_Y 축이 모터의 파워가 공급되지 않습니다. </t>
  </si>
  <si>
    <t xml:space="preserve"> INPUT_FLOW_REAR_BOTTOM_FEEDER_X 축이 모터의 파워가 공급되지 않습니다. </t>
  </si>
  <si>
    <t xml:space="preserve"> INPUT_FLOW_FRONT_BOTTOM_FEEDER_X 축이 모터의 파워가 공급되지 않습니다. </t>
  </si>
  <si>
    <t xml:space="preserve"> INPUT_FLOW_TOP_FEEDER_Y 축이 모터의 파워가 공급되지 않습니다. </t>
  </si>
  <si>
    <t xml:space="preserve"> LOAD_FLOW_MIDDLE_FEEDER_Y 축이 모터의 파워가 공급되지 않습니다. </t>
  </si>
  <si>
    <t xml:space="preserve"> UNLOAD_TRANSFER_X 축이 모터의 파워가 공급되지 않습니다. </t>
  </si>
  <si>
    <t xml:space="preserve"> UNLOAD_TRANSFER_Z 축이 모터의 파워가 공급되지 않습니다. </t>
  </si>
  <si>
    <t xml:space="preserve"> UNLOAD_TRANSFER_GRIP_R 축이 모터의 파워가 공급되지 않습니다. </t>
  </si>
  <si>
    <t xml:space="preserve"> UNLOAD_TRANSFER_GRIP_L 축이 모터의 파워가 공급되지 않습니다. </t>
  </si>
  <si>
    <t xml:space="preserve"> UNLOAD_TRANSFER_T 축이 모터의 파워가 공급되지 않습니다. </t>
  </si>
  <si>
    <t xml:space="preserve"> LOAD_TRANSFER_X 축이 모터의 파워가 공급되지 않습니다. </t>
  </si>
  <si>
    <t xml:space="preserve"> LOAD_TRANSFER_Z 축이 모터의 파워가 공급되지 않습니다. </t>
  </si>
  <si>
    <t xml:space="preserve"> LOAD_TRANSFER_GRIP_R 축이 모터의 파워가 공급되지 않습니다. </t>
  </si>
  <si>
    <t xml:space="preserve"> LOAD_TRANSFER_GRIP_L 축이 모터의 파워가 공급되지 않습니다. </t>
  </si>
  <si>
    <t xml:space="preserve"> LOAD_TRANSFER_T 축이 모터의 파워가 공급되지 않습니다. </t>
  </si>
  <si>
    <t xml:space="preserve"> UNLOAD_HAND_Y 축이 모터의 파워가 공급되지 않습니다. </t>
  </si>
  <si>
    <t xml:space="preserve"> UNLOAD_HAND_X 축이 모터의 파워가 공급되지 않습니다. </t>
  </si>
  <si>
    <t xml:space="preserve"> UNLOAD_HAND_Z 축이 모터의 파워가 공급되지 않습니다. </t>
  </si>
  <si>
    <t xml:space="preserve"> LOAD_HAND_Y 축이 모터의 파워가 공급되지 않습니다. </t>
  </si>
  <si>
    <t xml:space="preserve"> LOAD_HAND_X 축이 모터의 파워가 공급되지 않습니다. </t>
  </si>
  <si>
    <t xml:space="preserve"> LOAD_HAND_Z 축이 모터의 파워가 공급되지 않습니다. </t>
  </si>
  <si>
    <t xml:space="preserve"> TEST_SITE_REAR_Z 축이 안전 위치에 있지 않습니다. </t>
  </si>
  <si>
    <t xml:space="preserve"> TEST_SITE_FRONT_Z 축이 안전 위치에 있지 않습니다. </t>
  </si>
  <si>
    <t xml:space="preserve"> OUTPUT_FLOW_REAR_BOTTOM_FEEDER_X 축이 안전 위치에 있지 않습니다. </t>
  </si>
  <si>
    <t xml:space="preserve"> OUTPUT_FLOW_FRONT_BOTTOM_FEEDER_X 축이 안전 위치에 있지 않습니다. </t>
  </si>
  <si>
    <t xml:space="preserve"> OUTPUT_FLOW_TOP_FEEDER_Y 축이 안전 위치에 있지 않습니다. </t>
  </si>
  <si>
    <t xml:space="preserve"> UNLOAD_FLOW_MIDDLE_FEEDER_Y 축이 안전 위치에 있지 않습니다. </t>
  </si>
  <si>
    <t xml:space="preserve"> INPUT_FLOW_REAR_BOTTOM_FEEDER_X 축이 안전 위치에 있지 않습니다. </t>
  </si>
  <si>
    <t xml:space="preserve"> INPUT_FLOW_FRONT_BOTTOM_FEEDER_X 축이 안전 위치에 있지 않습니다. </t>
  </si>
  <si>
    <t xml:space="preserve"> INPUT_FLOW_TOP_FEEDER_Y 축이 안전 위치에 있지 않습니다. </t>
  </si>
  <si>
    <t xml:space="preserve"> LOAD_FLOW_MIDDLE_FEEDER_Y 축이 안전 위치에 있지 않습니다. </t>
  </si>
  <si>
    <t xml:space="preserve"> UNLOAD_TRANSFER_X 축이 안전 위치에 있지 않습니다. </t>
  </si>
  <si>
    <t xml:space="preserve"> UNLOAD_TRANSFER_Z 축이 안전 위치에 있지 않습니다. </t>
  </si>
  <si>
    <t xml:space="preserve"> UNLOAD_TRANSFER_GRIP_R 축이 안전 위치에 있지 않습니다. </t>
  </si>
  <si>
    <t xml:space="preserve"> UNLOAD_TRANSFER_GRIP_L 축이 안전 위치에 있지 않습니다. </t>
  </si>
  <si>
    <t xml:space="preserve"> UNLOAD_TRANSFER_T 축이 안전 위치에 있지 않습니다. </t>
  </si>
  <si>
    <t xml:space="preserve"> LOAD_TRANSFER_X 축이 안전 위치에 있지 않습니다. </t>
  </si>
  <si>
    <t xml:space="preserve"> LOAD_TRANSFER_Z 축이 안전 위치에 있지 않습니다. </t>
  </si>
  <si>
    <t xml:space="preserve"> LOAD_TRANSFER_GRIP_R 축이 안전 위치에 있지 않습니다. </t>
  </si>
  <si>
    <t xml:space="preserve"> LOAD_TRANSFER_GRIP_L 축이 안전 위치에 있지 않습니다. </t>
  </si>
  <si>
    <t xml:space="preserve"> LOAD_TRANSFER_T 축이 안전 위치에 있지 않습니다. </t>
  </si>
  <si>
    <t xml:space="preserve"> UNLOAD_HAND_Y 축이 안전 위치에 있지 않습니다. </t>
  </si>
  <si>
    <t xml:space="preserve"> UNLOAD_HAND_X 축이 안전 위치에 있지 않습니다. </t>
  </si>
  <si>
    <t xml:space="preserve"> UNLOAD_HAND_Z 축이 안전 위치에 있지 않습니다. </t>
  </si>
  <si>
    <t xml:space="preserve"> LOAD_HAND_Y 축이 안전 위치에 있지 않습니다. </t>
  </si>
  <si>
    <t xml:space="preserve"> LOAD_HAND_X 축이 안전 위치에 있지 않습니다. </t>
  </si>
  <si>
    <t xml:space="preserve"> LOAD_HAND_Z 축이 안전 위치에 있지 않습니다. </t>
  </si>
  <si>
    <t xml:space="preserve"> TEST_SITE_REAR_Z 축이 원하는 위치로 이동하지 못하였습니다. </t>
  </si>
  <si>
    <t xml:space="preserve"> TEST_SITE_FRONT_Z 축이 원하는 위치로 이동하지 못하였습니다. </t>
  </si>
  <si>
    <t xml:space="preserve"> OUTPUT_FLOW_REAR_BOTTOM_FEEDER_X 축이 원하는 위치로 이동하지 못하였습니다. </t>
  </si>
  <si>
    <t xml:space="preserve"> OUTPUT_FLOW_FRONT_BOTTOM_FEEDER_X 축이 원하는 위치로 이동하지 못하였습니다. </t>
  </si>
  <si>
    <t xml:space="preserve"> OUTPUT_FLOW_TOP_FEEDER_Y 축이 원하는 위치로 이동하지 못하였습니다. </t>
  </si>
  <si>
    <t xml:space="preserve"> UNLOAD_FLOW_MIDDLE_FEEDER_Y 축이 원하는 위치로 이동하지 못하였습니다. </t>
  </si>
  <si>
    <t xml:space="preserve"> INPUT_FLOW_REAR_BOTTOM_FEEDER_X 축이 원하는 위치로 이동하지 못하였습니다. </t>
  </si>
  <si>
    <t xml:space="preserve"> INPUT_FLOW_FRONT_BOTTOM_FEEDER_X 축이 원하는 위치로 이동하지 못하였습니다. </t>
  </si>
  <si>
    <t xml:space="preserve"> INPUT_FLOW_TOP_FEEDER_Y 축이 원하는 위치로 이동하지 못하였습니다. </t>
  </si>
  <si>
    <t xml:space="preserve"> LOAD_FLOW_MIDDLE_FEEDER_Y 축이 원하는 위치로 이동하지 못하였습니다. </t>
  </si>
  <si>
    <t xml:space="preserve"> UNLOAD_TRANSFER_X 축이 원하는 위치로 이동하지 못하였습니다. </t>
  </si>
  <si>
    <t xml:space="preserve"> UNLOAD_TRANSFER_Z 축이 원하는 위치로 이동하지 못하였습니다. </t>
  </si>
  <si>
    <t xml:space="preserve"> UNLOAD_TRANSFER_GRIP_R 축이 원하는 위치로 이동하지 못하였습니다. </t>
  </si>
  <si>
    <t xml:space="preserve"> UNLOAD_TRANSFER_GRIP_L 축이 원하는 위치로 이동하지 못하였습니다. </t>
  </si>
  <si>
    <t xml:space="preserve"> UNLOAD_TRANSFER_T 축이 원하는 위치로 이동하지 못하였습니다. </t>
  </si>
  <si>
    <t xml:space="preserve"> LOAD_TRANSFER_X 축이 원하는 위치로 이동하지 못하였습니다. </t>
  </si>
  <si>
    <t xml:space="preserve"> LOAD_TRANSFER_Z 축이 원하는 위치로 이동하지 못하였습니다. </t>
  </si>
  <si>
    <t xml:space="preserve"> LOAD_TRANSFER_GRIP_R 축이 원하는 위치로 이동하지 못하였습니다. </t>
  </si>
  <si>
    <t xml:space="preserve"> LOAD_TRANSFER_GRIP_L 축이 원하는 위치로 이동하지 못하였습니다. </t>
  </si>
  <si>
    <t xml:space="preserve"> LOAD_TRANSFER_T 축이 원하는 위치로 이동하지 못하였습니다. </t>
  </si>
  <si>
    <t xml:space="preserve"> UNLOAD_HAND_Y 축이 원하는 위치로 이동하지 못하였습니다. </t>
  </si>
  <si>
    <t xml:space="preserve"> UNLOAD_HAND_X 축이 원하는 위치로 이동하지 못하였습니다. </t>
  </si>
  <si>
    <t xml:space="preserve"> UNLOAD_HAND_Z 축이 원하는 위치로 이동하지 못하였습니다. </t>
  </si>
  <si>
    <t xml:space="preserve"> LOAD_HAND_Y 축이 원하는 위치로 이동하지 못하였습니다. </t>
  </si>
  <si>
    <t xml:space="preserve"> LOAD_HAND_X 축이 원하는 위치로 이동하지 못하였습니다. </t>
  </si>
  <si>
    <t xml:space="preserve"> LOAD_HAND_Z 축이 원하는 위치로 이동하지 못하였습니다. </t>
  </si>
  <si>
    <t xml:space="preserve"> TEST_SITE_REAR_Z 축 원점 복귀에 실패 하였습니다. </t>
  </si>
  <si>
    <t xml:space="preserve"> TEST_SITE_FRONT_Z 축 원점 복귀에 실패 하였습니다. </t>
  </si>
  <si>
    <t xml:space="preserve"> OUTPUT_FLOW_REAR_BOTTOM_FEEDER_X 축 원점 복귀에 실패 하였습니다. </t>
  </si>
  <si>
    <t xml:space="preserve"> OUTPUT_FLOW_FRONT_BOTTOM_FEEDER_X 축 원점 복귀에 실패 하였습니다. </t>
  </si>
  <si>
    <t xml:space="preserve"> OUTPUT_FLOW_TOP_FEEDER_Y 축 원점 복귀에 실패 하였습니다. </t>
  </si>
  <si>
    <t xml:space="preserve"> UNLOAD_FLOW_MIDDLE_FEEDER_Y 축 원점 복귀에 실패 하였습니다. </t>
  </si>
  <si>
    <t xml:space="preserve"> INPUT_FLOW_REAR_BOTTOM_FEEDER_X 축 원점 복귀에 실패 하였습니다. </t>
  </si>
  <si>
    <t xml:space="preserve"> INPUT_FLOW_FRONT_BOTTOM_FEEDER_X 축 원점 복귀에 실패 하였습니다. </t>
  </si>
  <si>
    <t xml:space="preserve"> INPUT_FLOW_TOP_FEEDER_Y 축 원점 복귀에 실패 하였습니다. </t>
  </si>
  <si>
    <t xml:space="preserve"> LOAD_FLOW_MIDDLE_FEEDER_Y 축 원점 복귀에 실패 하였습니다. </t>
  </si>
  <si>
    <t xml:space="preserve"> UNLOAD_TRANSFER_X 축 원점 복귀에 실패 하였습니다. </t>
  </si>
  <si>
    <t xml:space="preserve"> UNLOAD_TRANSFER_Z 축 원점 복귀에 실패 하였습니다. </t>
  </si>
  <si>
    <t xml:space="preserve"> UNLOAD_TRANSFER_GRIP_R 축 원점 복귀에 실패 하였습니다. </t>
  </si>
  <si>
    <t xml:space="preserve"> UNLOAD_TRANSFER_GRIP_L 축 원점 복귀에 실패 하였습니다. </t>
  </si>
  <si>
    <t xml:space="preserve"> UNLOAD_TRANSFER_T 축 원점 복귀에 실패 하였습니다. </t>
  </si>
  <si>
    <t xml:space="preserve"> LOAD_TRANSFER_X 축 원점 복귀에 실패 하였습니다. </t>
  </si>
  <si>
    <t xml:space="preserve"> LOAD_TRANSFER_Z 축 원점 복귀에 실패 하였습니다. </t>
  </si>
  <si>
    <t xml:space="preserve"> LOAD_TRANSFER_GRIP_R 축 원점 복귀에 실패 하였습니다. </t>
  </si>
  <si>
    <t xml:space="preserve"> LOAD_TRANSFER_GRIP_L 축 원점 복귀에 실패 하였습니다. </t>
  </si>
  <si>
    <t xml:space="preserve"> LOAD_TRANSFER_T 축 원점 복귀에 실패 하였습니다. </t>
  </si>
  <si>
    <t xml:space="preserve"> UNLOAD_HAND_Y 축 원점 복귀에 실패 하였습니다. </t>
  </si>
  <si>
    <t xml:space="preserve"> UNLOAD_HAND_X 축 원점 복귀에 실패 하였습니다. </t>
  </si>
  <si>
    <t xml:space="preserve"> UNLOAD_HAND_Z 축 원점 복귀에 실패 하였습니다. </t>
  </si>
  <si>
    <t xml:space="preserve"> LOAD_HAND_Y 축 원점 복귀에 실패 하였습니다. </t>
  </si>
  <si>
    <t xml:space="preserve"> LOAD_HAND_X 축 원점 복귀에 실패 하였습니다. </t>
  </si>
  <si>
    <t xml:space="preserve"> LOAD_HAND_Z 축 원점 복귀에 실패 하였습니다. </t>
  </si>
  <si>
    <t xml:space="preserve"> MIDDLE FEEDER 위치가 변경되었습니다. </t>
  </si>
  <si>
    <t>[UNLOAD_FLOW]</t>
  </si>
  <si>
    <t xml:space="preserve"> RAIL 위치가 변경되었습니다. </t>
  </si>
  <si>
    <t xml:space="preserve"> BOTTOM GRIP 상태가 아닙니다. </t>
  </si>
  <si>
    <t xml:space="preserve"> SIDE LOCK 상태가 아닙니다. </t>
  </si>
  <si>
    <t xml:space="preserve"> T-Tray 정위치에 위치하지 않습니다. </t>
  </si>
  <si>
    <t xml:space="preserve"> MIDDLE FEEDER 초기 M 위치가 아닙니다. </t>
  </si>
  <si>
    <t xml:space="preserve"> Empty T-Tray 에서 Device가 감지 되었습니다 . </t>
  </si>
  <si>
    <t xml:space="preserve"> RFID가 Tray ID와 일치하지 않습니다. </t>
  </si>
  <si>
    <t xml:space="preserve"> RFID 읽기 실패하였습니다. </t>
  </si>
  <si>
    <t xml:space="preserve"> ULD Tray Flow LPCAMM Close Sol 동작 시 동작 완료 센서 비교 시간을 초과하였습니다.</t>
  </si>
  <si>
    <t xml:space="preserve"> Rear ULD Middle Feeder Docking Off Sol  동작이 실패 하였습니다.</t>
  </si>
  <si>
    <t xml:space="preserve"> Front ULD Feeder Docking Off Sol  동작이 실패 하였습니다.</t>
  </si>
  <si>
    <t xml:space="preserve"> ULD Middle Feeder Tray Side Unlock Sol  동작이 실패 하였습니다.</t>
  </si>
  <si>
    <t xml:space="preserve"> ULD Middle Feeder Rail Down Soll  동작이 실패 하였습니다.</t>
  </si>
  <si>
    <t xml:space="preserve"> ULD Middle Feeder Gripper Backward Sol    동작이 실패 하였습니다.</t>
  </si>
  <si>
    <t xml:space="preserve"> ULD Middle Feeder Gripper Down Sol  동작이 실패 하였습니다.</t>
  </si>
  <si>
    <t xml:space="preserve"> ULD Tray Flow LPCAMM Close Sol  동작이 실패 하였습니다.</t>
  </si>
  <si>
    <t xml:space="preserve"> ULD Tray Flow Pitch Change Down Sol  동작이 실패 하였습니다.</t>
  </si>
  <si>
    <t xml:space="preserve"> ULD Tray Flow Rear Pitch Change Close Sol(S-Dimm)  동작이 실패 하였습니다.</t>
  </si>
  <si>
    <t xml:space="preserve"> ULD Tray Flow Front Pitch Change Close Sol(S-Dimm)  동작이 실패 하였습니다.</t>
  </si>
  <si>
    <t xml:space="preserve"> ULD Tray Flow Tray Guide Roller Off Sol  동작이 실패 하였습니다.</t>
  </si>
  <si>
    <t xml:space="preserve"> ULD Tray Flow Preciser Down Sol  동작이 실패 하였습니다.</t>
  </si>
  <si>
    <t xml:space="preserve"> Rear ULD Middle Feeder Docking On Sol  동작이 실패 하였습니다.</t>
  </si>
  <si>
    <t xml:space="preserve"> Front ULD Feeder Docking On Sol  동작이 실패 하였습니다.</t>
  </si>
  <si>
    <t xml:space="preserve"> ULD Middle Feeder Tray Side Lock Sol  동작이 실패 하였습니다.</t>
  </si>
  <si>
    <t xml:space="preserve"> ULD Middle Feeder Rail Up Sol  동작이 실패 하였습니다.</t>
  </si>
  <si>
    <t xml:space="preserve"> ULD Middle Feeder Gripper Forward Sol    동작이 실패 하였습니다.</t>
  </si>
  <si>
    <t xml:space="preserve"> ULD Middle Feeder Gripper Up Sol  동작이 실패 하였습니다.</t>
  </si>
  <si>
    <t xml:space="preserve"> ULD Tray Flow LPCAMM Open Sol  동작이 실패 하였습니다.</t>
  </si>
  <si>
    <t xml:space="preserve"> ULD Tray Flow Pitch Change Up Sol  동작이 실패 하였습니다.</t>
  </si>
  <si>
    <t xml:space="preserve"> ULD Tray Flow Rear Pitch Change Open Sol(R-Dimm)  동작이 실패 하였습니다.</t>
  </si>
  <si>
    <t xml:space="preserve"> ULD Tray Flow Front Pitch Change Open Sol(R-Dimm)  동작이 실패 하였습니다.</t>
  </si>
  <si>
    <t xml:space="preserve"> ULD Tray Flow Tray Guide Roller On Sol  동작이 실패 하였습니다.</t>
  </si>
  <si>
    <t xml:space="preserve"> ULD Tray Flow Preciser Up Sol  동작이 실패 하였습니다.</t>
  </si>
  <si>
    <t xml:space="preserve"> ULD Middle Feeder Rail Down Sensor   센서가 감지되지 않았습니다.</t>
  </si>
  <si>
    <t xml:space="preserve"> ULD Middle Feeder Rail Up Sensor    센서가 감지되지 않았습니다.</t>
  </si>
  <si>
    <t xml:space="preserve"> ULD Middle Feeder Tray R Side Unlock Sensor  센서가 감지되지 않았습니다.</t>
  </si>
  <si>
    <t xml:space="preserve"> ULD Middle Feeder Tray R Side Lock Sensor  센서가 감지되지 않았습니다.</t>
  </si>
  <si>
    <t xml:space="preserve"> ULD Middle Feeder Gripper Backward Sensor    센서가 감지되지 않았습니다.</t>
  </si>
  <si>
    <t xml:space="preserve"> ULD Middle Feeder Gripper Forward Sensor    센서가 감지되지 않았습니다.</t>
  </si>
  <si>
    <t xml:space="preserve"> ULD Middle Feeder Gripper Down Sensor    센서가 감지되지 않았습니다.</t>
  </si>
  <si>
    <t xml:space="preserve"> ULD Middle Feeder Gripper UP Sensor    센서가 감지되지 않았습니다.</t>
  </si>
  <si>
    <t xml:space="preserve"> ULD Middle Feeder Rear Tray Check   센서가 감지되지 않았습니다.</t>
  </si>
  <si>
    <t xml:space="preserve"> ULD Middle Feeder Front Tray Check    센서가 감지되지 않았습니다.</t>
  </si>
  <si>
    <t xml:space="preserve"> Rear ULD Middle Feeder Docking Off Sensor  센서가 감지되지 않았습니다.</t>
  </si>
  <si>
    <t xml:space="preserve"> Rear ULD Middle Feeder Docking On Sensor  센서가 감지되지 않았습니다.</t>
  </si>
  <si>
    <t xml:space="preserve"> UNLOADER MIDDLE FEEDER DOCKING CHECK  센서가 감지되지 않았습니다.</t>
  </si>
  <si>
    <t xml:space="preserve"> ULD Tray Flow Rear Right Pitch Change Down Sensor   센서가 감지되지 않았습니다.</t>
  </si>
  <si>
    <t xml:space="preserve"> ULD Tray Flow Rear Right Pitch Change Up Sensor   센서가 감지되지 않았습니다.</t>
  </si>
  <si>
    <t xml:space="preserve"> ULD Tray Flow Rear Left Pitch Change Down Sensor   센서가 감지되지 않았습니다.</t>
  </si>
  <si>
    <t xml:space="preserve"> ULD Tray Flow Rear Left Pitch Change Up Sensor   센서가 감지되지 않았습니다.</t>
  </si>
  <si>
    <t xml:space="preserve"> ULD Tray Flow Front Right Pitch Change Down Sensor   센서가 감지되지 않았습니다.</t>
  </si>
  <si>
    <t xml:space="preserve"> ULD Tray Flow Front Right Pitch Change Up Sensor   센서가 감지되지 않았습니다.</t>
  </si>
  <si>
    <t xml:space="preserve"> ULD Tray Flow Front Left Pitch Change Down Sensor   센서가 감지되지 않았습니다.</t>
  </si>
  <si>
    <t xml:space="preserve"> ULD Tray Flow Front Left Pitch Change Up Sensor   센서가 감지되지 않았습니다.</t>
  </si>
  <si>
    <t xml:space="preserve"> ULD Tray Flow Right Preciser Down Sensor   센서가 감지되지 않았습니다.</t>
  </si>
  <si>
    <t xml:space="preserve"> ULD Tray Flow Right Preciser Up Sensor   센서가 감지되지 않았습니다.</t>
  </si>
  <si>
    <t xml:space="preserve"> ULD Tray Flow Left Preciser Down Sensor   센서가 감지되지 않았습니다.</t>
  </si>
  <si>
    <t xml:space="preserve"> ULD Tray Flow Left Preciser Up Sensor   센서가 감지되지 않았습니다.</t>
  </si>
  <si>
    <t xml:space="preserve"> ULD RIGHT LP/R.SO DIMM Chnage Sensor  센서가 감지되지 않았습니다.</t>
  </si>
  <si>
    <t xml:space="preserve"> ULD LEFT LP/R.SO DIMM Chnage Sensor  센서가 감지되지 않았습니다.</t>
  </si>
  <si>
    <t xml:space="preserve"> ULD BOTTOM LP/R.SO DIMM Chnage Sensor  센서가 감지되지 않았습니다.</t>
  </si>
  <si>
    <t xml:space="preserve"> ULD TOP LP/R.SO DIMM Chnage Sensor  센서가 감지되지 않았습니다.</t>
  </si>
  <si>
    <t xml:space="preserve"> ULD Tray Flow Rear Right Pitch Change Close Sensor(S-Dimm)  센서가 감지되지 않았습니다.</t>
  </si>
  <si>
    <t xml:space="preserve"> ULD Tray Flow Rear Right Pitch Change Open Sensor(R-Dimm)  센서가 감지되지 않았습니다.</t>
  </si>
  <si>
    <t xml:space="preserve"> ULD Tray Flow Rear Left Pitch Change Close Sensor(S-Dimm)  센서가 감지되지 않았습니다.</t>
  </si>
  <si>
    <t xml:space="preserve"> ULD Tray Flow Rear Left Pitch Change Open Sensor(R-Dimm)  센서가 감지되지 않았습니다.</t>
  </si>
  <si>
    <t xml:space="preserve"> ULD Tray Flow Front Right Pitch Change Close Sensor(S-Dimm)  센서가 감지되지 않았습니다.</t>
  </si>
  <si>
    <t xml:space="preserve"> ULD Tray Flow Front Right Pitch Change Open Sensor(R-Dimm)  센서가 감지되지 않았습니다.</t>
  </si>
  <si>
    <t xml:space="preserve"> ULD Tray Flow Front Left Pitch Change Close Sensor(S-Dimm)  센서가 감지되지 않았습니다.</t>
  </si>
  <si>
    <t xml:space="preserve"> ULD Tray Flow Front Left Pitch Change Open Sensor(R-Dimm)  센서가 감지되지 않았습니다.</t>
  </si>
  <si>
    <t xml:space="preserve"> ULD Tray Flow Right Tray Rear Guide Roller Off Sensor  센서가 감지되지 않았습니다.</t>
  </si>
  <si>
    <t xml:space="preserve"> ULD Tray Flow Right Tray Rear Guide Roller On Sensor  센서가 감지되지 않았습니다.</t>
  </si>
  <si>
    <t xml:space="preserve"> ULD Tray Flow Right Tray Front Guide Roller Off Sensor  센서가 감지되지 않았습니다.</t>
  </si>
  <si>
    <t xml:space="preserve"> ULD Tray Flow Right Tray Front Guide Roller On Sensor  센서가 감지되지 않았습니다.</t>
  </si>
  <si>
    <t xml:space="preserve"> ULD  Tray Flow Right LPCAMM Close Sensor   센서가 감지되지 않았습니다.</t>
  </si>
  <si>
    <t xml:space="preserve"> ULD  Tray Flow Right LPCAMM Open Sensor   센서가 감지되지 않았습니다.</t>
  </si>
  <si>
    <t xml:space="preserve"> ULD Tray Flow Rear Preciser Dimm Reverse Check   센서가 감지되지 않았습니다.</t>
  </si>
  <si>
    <t xml:space="preserve"> ULD Tray Flow Front Preciser Dimm Reverse Check   센서가 감지되지 않았습니다.</t>
  </si>
  <si>
    <t xml:space="preserve"> ULD MIDDLE FEEDER DOWN TRAY CHECK SENSOR  센서가 감지되지 않았습니다.</t>
  </si>
  <si>
    <t xml:space="preserve"> ULD MIDDLE FEEDER UP TRAY CHECK SENSOR  센서가 감지되지 않았습니다.</t>
  </si>
  <si>
    <t xml:space="preserve"> ULD Tray Flow Left Tray Rear Guide Roller Off Sensor  센서가 감지되지 않았습니다.</t>
  </si>
  <si>
    <t xml:space="preserve"> ULD Tray Flow Left Tray Rear Guide Roller On Sensor  센서가 감지되지 않았습니다.</t>
  </si>
  <si>
    <t xml:space="preserve"> ULD Tray Flow Left Tray Front Guide Roller Off Sensor  센서가 감지되지 않았습니다.</t>
  </si>
  <si>
    <t xml:space="preserve"> ULD Tray Flow Left Tray Front Guide Roller On Sensor  센서가 감지되지 않았습니다.</t>
  </si>
  <si>
    <t xml:space="preserve"> ULD Tray Flow Rear LP-CAMM Check   센서가 감지되지 않았습니다.</t>
  </si>
  <si>
    <t xml:space="preserve"> ULD Tray Flow Front LP-CAMM Check   센서가 감지되지 않았습니다.</t>
  </si>
  <si>
    <t xml:space="preserve"> ULD Tray Flow Left LPCAMM Close Sensor   센서가 감지되지 않았습니다.</t>
  </si>
  <si>
    <t xml:space="preserve"> ULD Tray Flow Left LPCAMM Open Sensor   센서가 감지되지 않았습니다.</t>
  </si>
  <si>
    <t xml:space="preserve"> ULD Tray Flow Bottom T-Tray Check   센서가 감지되지 않았습니다.</t>
  </si>
  <si>
    <t xml:space="preserve"> ULD Tray Flow Top T-Tray Check   센서가 감지되지 않았습니다.</t>
  </si>
  <si>
    <t xml:space="preserve"> ULD Tray Flow Rear Dimm Check   센서가 감지되지 않았습니다.</t>
  </si>
  <si>
    <t xml:space="preserve"> ULD Tray Flow Front Dimm Check   센서가 감지되지 않았습니다.</t>
  </si>
  <si>
    <t xml:space="preserve"> Front ULD Middle Feeder Docking Off Sensor   센서가 감지되지 않았습니다.</t>
  </si>
  <si>
    <t xml:space="preserve"> Front ULD Middle Feeder Docking On Sensor   센서가 감지되지 않았습니다.</t>
  </si>
  <si>
    <t xml:space="preserve"> ULD Middle Feeder Rail Down Sensor   센서가 감지되었습니다.</t>
  </si>
  <si>
    <t xml:space="preserve"> ULD Middle Feeder Rail Up Sensor    센서가 감지되었습니다.</t>
  </si>
  <si>
    <t xml:space="preserve"> ULD Middle Feeder Tray R Side Unlock Sensor  센서가 감지되었습니다.</t>
  </si>
  <si>
    <t xml:space="preserve"> ULD Middle Feeder Tray R Side Lock Sensor  센서가 감지되었습니다.</t>
  </si>
  <si>
    <t xml:space="preserve"> ULD Middle Feeder Gripper Backward Sensor    센서가 감지되었습니다.</t>
  </si>
  <si>
    <t xml:space="preserve"> ULD Middle Feeder Gripper Forward Sensor    센서가 감지되었습니다.</t>
  </si>
  <si>
    <t xml:space="preserve"> ULD Middle Feeder Gripper Down Sensor    센서가 감지되었습니다.</t>
  </si>
  <si>
    <t xml:space="preserve"> ULD Middle Feeder Gripper UP Sensor    센서가 감지되었습니다.</t>
  </si>
  <si>
    <t xml:space="preserve"> ULD Middle Feeder Rear Tray Check   센서가 감지되었습니다.</t>
  </si>
  <si>
    <t xml:space="preserve"> ULD Middle Feeder Front Tray Check    센서가 감지되었습니다.</t>
  </si>
  <si>
    <t xml:space="preserve"> Rear ULD Middle Feeder Docking Off Sensor  센서가 감지되었습니다.</t>
  </si>
  <si>
    <t xml:space="preserve"> Rear ULD Middle Feeder Docking On Sensor  센서가 감지되었습니다.</t>
  </si>
  <si>
    <t xml:space="preserve"> UNLOADER MIDDLE FEEDER DOCKING CHECK  센서가 감지되었습니다.</t>
  </si>
  <si>
    <t xml:space="preserve"> ULD Tray Flow Rear Right Pitch Change Down Sensor   센서가 감지되었습니다.</t>
  </si>
  <si>
    <t xml:space="preserve"> ULD Tray Flow Rear Right Pitch Change Up Sensor   센서가 감지되었습니다.</t>
  </si>
  <si>
    <t xml:space="preserve"> ULD Tray Flow Rear Left Pitch Change Down Sensor   센서가 감지되었습니다.</t>
  </si>
  <si>
    <t xml:space="preserve"> ULD Tray Flow Rear Left Pitch Change Up Sensor   센서가 감지되었습니다.</t>
  </si>
  <si>
    <t xml:space="preserve"> ULD Tray Flow Front Right Pitch Change Down Sensor   센서가 감지되었습니다.</t>
  </si>
  <si>
    <t xml:space="preserve"> ULD Tray Flow Front Right Pitch Change Up Sensor   센서가 감지되었습니다.</t>
  </si>
  <si>
    <t xml:space="preserve"> ULD Tray Flow Front Left Pitch Change Down Sensor   센서가 감지되었습니다.</t>
  </si>
  <si>
    <t xml:space="preserve"> ULD Tray Flow Front Left Pitch Change Up Sensor   센서가 감지되었습니다.</t>
  </si>
  <si>
    <t xml:space="preserve"> ULD Tray Flow Right Preciser Down Sensor   센서가 감지되었습니다.</t>
  </si>
  <si>
    <t xml:space="preserve"> ULD Tray Flow Right Preciser Up Sensor   센서가 감지되었습니다.</t>
  </si>
  <si>
    <t xml:space="preserve"> ULD Tray Flow Left Preciser Down Sensor   센서가 감지되었습니다.</t>
  </si>
  <si>
    <t xml:space="preserve"> ULD Tray Flow Left Preciser Up Sensor   센서가 감지되었습니다.</t>
  </si>
  <si>
    <t xml:space="preserve"> ULD RIGHT LP/R.SO DIMM Chnage Sensor  센서가 감지되었습니다.</t>
  </si>
  <si>
    <t xml:space="preserve"> ULD LEFT LP/R.SO DIMM Chnage Sensor  센서가 감지되었습니다.</t>
  </si>
  <si>
    <t xml:space="preserve"> ULD BOTTOM LP/R.SO DIMM Chnage Sensor  센서가 감지되었습니다.</t>
  </si>
  <si>
    <t xml:space="preserve"> ULD TOP LP/R.SO DIMM Chnage Sensor  센서가 감지되었습니다.</t>
  </si>
  <si>
    <t xml:space="preserve"> ULD Tray Flow Rear Right Pitch Change Close Sensor(S-Dimm)  센서가 감지되었습니다.</t>
  </si>
  <si>
    <t xml:space="preserve"> ULD Tray Flow Rear Right Pitch Change Open Sensor(R-Dimm)  센서가 감지되었습니다.</t>
  </si>
  <si>
    <t xml:space="preserve"> ULD Tray Flow Rear Left Pitch Change Close Sensor(S-Dimm)  센서가 감지되었습니다.</t>
  </si>
  <si>
    <t xml:space="preserve"> ULD Tray Flow Rear Left Pitch Change Open Sensor(R-Dimm)  센서가 감지되었습니다.</t>
  </si>
  <si>
    <t xml:space="preserve"> ULD Tray Flow Front Right Pitch Change Close Sensor(S-Dimm)  센서가 감지되었습니다.</t>
  </si>
  <si>
    <t xml:space="preserve"> ULD Tray Flow Front Right Pitch Change Open Sensor(R-Dimm)  센서가 감지되었습니다.</t>
  </si>
  <si>
    <t xml:space="preserve"> ULD Tray Flow Front Left Pitch Change Close Sensor(S-Dimm)  센서가 감지되었습니다.</t>
  </si>
  <si>
    <t xml:space="preserve"> ULD Tray Flow Front Left Pitch Change Open Sensor(R-Dimm)  센서가 감지되었습니다.</t>
  </si>
  <si>
    <t xml:space="preserve"> ULD Tray Flow Right Tray Rear Guide Roller Off Sensor  센서가 감지되었습니다.</t>
  </si>
  <si>
    <t xml:space="preserve"> ULD Tray Flow Right Tray Rear Guide Roller On Sensor  센서가 감지되었습니다.</t>
  </si>
  <si>
    <t xml:space="preserve"> ULD Tray Flow Right Tray Front Guide Roller Off Sensor  센서가 감지되었습니다.</t>
  </si>
  <si>
    <t xml:space="preserve"> ULD Tray Flow Right Tray Front Guide Roller On Sensor  센서가 감지되었습니다.</t>
  </si>
  <si>
    <t xml:space="preserve"> ULD  Tray Flow Right LPCAMM Close Sensor   센서가 감지되었습니다.</t>
  </si>
  <si>
    <t xml:space="preserve"> ULD  Tray Flow Right LPCAMM Open Sensor   센서가 감지되었습니다.</t>
  </si>
  <si>
    <t xml:space="preserve"> ULD Tray Flow Rear Preciser Dimm Reverse Check   센서가 감지되었습니다.</t>
  </si>
  <si>
    <t xml:space="preserve"> ULD Tray Flow Front Preciser Dimm Reverse Check   센서가 감지되었습니다.</t>
  </si>
  <si>
    <t xml:space="preserve"> ULD MIDDLE FEEDER DOWN TRAY CHECK SENSOR  센서가 감지되었습니다.</t>
  </si>
  <si>
    <t xml:space="preserve"> ULD MIDDLE FEEDER UP TRAY CHECK SENSOR  센서가 감지되었습니다.</t>
  </si>
  <si>
    <t xml:space="preserve"> ULD Tray Flow Left Tray Rear Guide Roller Off Sensor  센서가 감지되었습니다.</t>
  </si>
  <si>
    <t xml:space="preserve"> ULD Tray Flow Left Tray Rear Guide Roller On Sensor  센서가 감지되었습니다.</t>
  </si>
  <si>
    <t xml:space="preserve"> ULD Tray Flow Left Tray Front Guide Roller Off Sensor  센서가 감지되었습니다.</t>
  </si>
  <si>
    <t xml:space="preserve"> ULD Tray Flow Left Tray Front Guide Roller On Sensor  센서가 감지되었습니다.</t>
  </si>
  <si>
    <t xml:space="preserve"> ULD Tray Flow Rear LP-CAMM Check   센서가 감지되었습니다.</t>
  </si>
  <si>
    <t xml:space="preserve"> ULD Tray Flow Front LP-CAMM Check   센서가 감지되었습니다.</t>
  </si>
  <si>
    <t xml:space="preserve"> ULD Tray Flow Left LPCAMM Close Sensor   센서가 감지되었습니다.</t>
  </si>
  <si>
    <t xml:space="preserve"> ULD Tray Flow Left LPCAMM Open Sensor   센서가 감지되었습니다.</t>
  </si>
  <si>
    <t xml:space="preserve"> ULD Tray Flow Bottom T-Tray Check   센서가 감지되었습니다.</t>
  </si>
  <si>
    <t xml:space="preserve"> ULD Tray Flow Top T-Tray Check   센서가 감지되었습니다.</t>
  </si>
  <si>
    <t xml:space="preserve"> ULD Tray Flow Rear Dimm Check   센서가 감지되었습니다.</t>
  </si>
  <si>
    <t xml:space="preserve"> ULD Tray Flow Front Dimm Check   센서가 감지되었습니다.</t>
  </si>
  <si>
    <t xml:space="preserve"> Front ULD Middle Feeder Docking Off Sensor   센서가 감지되었습니다.</t>
  </si>
  <si>
    <t xml:space="preserve"> Front ULD Middle Feeder Docking On Sensor   센서가 감지되었습니다.</t>
  </si>
  <si>
    <t xml:space="preserve"> REAR BOTTOM FEEDER 위치가 변경되었습니다. </t>
  </si>
  <si>
    <t>[OUTPUT_FLOW]</t>
  </si>
  <si>
    <t xml:space="preserve"> FRONT BOTTOM FEEDER 위치가 변경되었습니다. </t>
  </si>
  <si>
    <t xml:space="preserve"> TOP FEEDER 위치가 변경되었습니다. </t>
  </si>
  <si>
    <t xml:space="preserve"> REAR BOTTOM GRIP 상태가 아닙니다. </t>
  </si>
  <si>
    <t xml:space="preserve"> FRONT BOTTOM GRIP 상태가 아닙니다. </t>
  </si>
  <si>
    <t xml:space="preserve"> REAR TOP LOCK 상태가 아닙니다. </t>
  </si>
  <si>
    <t xml:space="preserve"> FRONT TOP LOCK 상태가 아닙니다. </t>
  </si>
  <si>
    <t xml:space="preserve"> REAR SIDE LOCK 상태가 아닙니다. </t>
  </si>
  <si>
    <t xml:space="preserve"> FRONT SIDE LOCK 상태가 아닙니다. </t>
  </si>
  <si>
    <t xml:space="preserve"> TOP FEEDER GRIP 상태를 확인 해 주십시오. </t>
  </si>
  <si>
    <t xml:space="preserve"> ULD Bottom Feeder Rear Gripper  Down Sol  동작이 실패 하였습니다.</t>
  </si>
  <si>
    <t xml:space="preserve"> ULD Tray Lift Rear Down Sol  동작이 실패 하였습니다.</t>
  </si>
  <si>
    <t xml:space="preserve"> ULD Tray Lift Rear Tray Side Unlock Sol  동작이 실패 하였습니다.</t>
  </si>
  <si>
    <t xml:space="preserve"> ULD Top Feeder Rear Tray Guide Rail Off Sol  동작이 실패 하였습니다.</t>
  </si>
  <si>
    <t xml:space="preserve"> ULD Top Feeder Rear Tray Guide Unlock Sol  동작이 실패 하였습니다.</t>
  </si>
  <si>
    <t xml:space="preserve"> ULD Bottom Feeder Front Gripper Down Sol  동작이 실패 하였습니다.</t>
  </si>
  <si>
    <t xml:space="preserve"> ULD Tray Lift Front Down Sol  동작이 실패 하였습니다.</t>
  </si>
  <si>
    <t xml:space="preserve"> ULD Tray Lift Front Tray Side Unlock Sol  동작이 실패 하였습니다.</t>
  </si>
  <si>
    <t xml:space="preserve"> ULD Top Feeder Front Tray Guide Rail Off Sol  동작이 실패 하였습니다.</t>
  </si>
  <si>
    <t xml:space="preserve"> ULD Top Feeder Front Tray Guide Unlock Sol  동작이 실패 하였습니다.</t>
  </si>
  <si>
    <t xml:space="preserve"> ULD Top Feeder Gripper Down Sol  동작이 실패 하였습니다.</t>
  </si>
  <si>
    <t xml:space="preserve"> ULD Bottom Feeder Rear Gripper  Up Sol  동작이 실패 하였습니다.</t>
  </si>
  <si>
    <t xml:space="preserve"> ULD Tray Lift Rear Up Sol  동작이 실패 하였습니다.</t>
  </si>
  <si>
    <t xml:space="preserve"> ULD Tray Lift Rear Tray Side Lock Sol  동작이 실패 하였습니다.</t>
  </si>
  <si>
    <t xml:space="preserve"> ULD Top Feeder Rear Tray Guide Rail On Sol  동작이 실패 하였습니다.</t>
  </si>
  <si>
    <t xml:space="preserve"> ULD Top Feeder Rear Tray Guide Lock Sol  동작이 실패 하였습니다.</t>
  </si>
  <si>
    <t xml:space="preserve"> ULD Bottom Feeder Front Gripper Up Sol  동작이 실패 하였습니다.</t>
  </si>
  <si>
    <t xml:space="preserve"> ULD Tray Lift Front Up Sol  동작이 실패 하였습니다.</t>
  </si>
  <si>
    <t xml:space="preserve"> ULD Tray Lift Front Tray Side Lock Sol  동작이 실패 하였습니다.</t>
  </si>
  <si>
    <t xml:space="preserve"> ULD Top Feeder Front Tray Guide Rail On Sol  동작이 실패 하였습니다.</t>
  </si>
  <si>
    <t xml:space="preserve"> ULD Top Feeder Front Tray Guide Lock Sol  동작이 실패 하였습니다.</t>
  </si>
  <si>
    <t xml:space="preserve"> ULD Top Feeder Gripper Up Sol  동작이 실패 하였습니다.</t>
  </si>
  <si>
    <t xml:space="preserve"> ULD Top Feeder Tray Rear Right Guide Rear Rail Off Sensor   센서가 감지되지 않았습니다.</t>
  </si>
  <si>
    <t xml:space="preserve"> ULD Top Feeder Tray Rear Right Guide Rear Rail On Sensor   센서가 감지되지 않았습니다.</t>
  </si>
  <si>
    <t xml:space="preserve"> ULD Top Feeder Tray Rear Right Guide Front Rail Off Sensor   센서가 감지되지 않았습니다.</t>
  </si>
  <si>
    <t xml:space="preserve"> ULD Top Feeder Tray Rear Right Guide Front Rail On Sensor   센서가 감지되지 않았습니다.</t>
  </si>
  <si>
    <t xml:space="preserve"> ULD Top Feeder Tray Rear Left Guide Rear Rail Off Sensor   센서가 감지되지 않았습니다.</t>
  </si>
  <si>
    <t xml:space="preserve"> ULD Top Feeder Tray Rear Left Guide Rear Rail On Sensor   센서가 감지되지 않았습니다.</t>
  </si>
  <si>
    <t xml:space="preserve"> ULD Top Feeder Tray Rear Left Guide Front Rail Off Sensor   센서가 감지되지 않았습니다.</t>
  </si>
  <si>
    <t xml:space="preserve"> ULD Top Feeder Tray Rear Left Guide Front Rail On Sensor   센서가 감지되지 않았습니다.</t>
  </si>
  <si>
    <t xml:space="preserve"> ULD Top Feeder Tray Front Right Guide Rear Rail Off Sensor   센서가 감지되지 않았습니다.</t>
  </si>
  <si>
    <t xml:space="preserve"> ULD Top Feeder Tray Front Right Guide Rear Rail On Sensor   센서가 감지되지 않았습니다.</t>
  </si>
  <si>
    <t xml:space="preserve"> ULD Top Feeder Tray Front Right Guide Front Rail Off Sensor   센서가 감지되지 않았습니다.</t>
  </si>
  <si>
    <t xml:space="preserve"> ULD Top Feeder Tray Front Right Guide Front Rail On Sensor   센서가 감지되지 않았습니다.</t>
  </si>
  <si>
    <t xml:space="preserve"> ULD Top Feeder Tray Front Left Guide Rear Rail Off Sensor   센서가 감지되지 않았습니다.</t>
  </si>
  <si>
    <t xml:space="preserve"> ULD Top Feeder Tray Front Left Guide Rear Rail On Sensor   센서가 감지되지 않았습니다.</t>
  </si>
  <si>
    <t xml:space="preserve"> ULD Top Feeder Tray Front Left Guide Front Rail Off Sensor   센서가 감지되지 않았습니다.</t>
  </si>
  <si>
    <t xml:space="preserve"> ULD Top Feeder Tray Front Left Guide Front Rail On Sensor   센서가 감지되지 않았습니다.</t>
  </si>
  <si>
    <t xml:space="preserve"> ULD Top Feeder Gripper Down Sensor   센서가 감지되지 않았습니다.</t>
  </si>
  <si>
    <t xml:space="preserve"> ULD Top Feeder Gripper Up Sensor   센서가 감지되지 않았습니다.</t>
  </si>
  <si>
    <t xml:space="preserve"> ULD Top Feeder Tray Rear Right Guide Unlock Sensor   센서가 감지되지 않았습니다.</t>
  </si>
  <si>
    <t xml:space="preserve"> ULD Top Feeder Tray Rear Right Guide Lock Sensor   센서가 감지되지 않았습니다.</t>
  </si>
  <si>
    <t xml:space="preserve"> ULD Top Feeder Tray Rear Left Guide Unlock Sensor   센서가 감지되지 않았습니다.</t>
  </si>
  <si>
    <t xml:space="preserve"> ULD Top Feeder Tray Rear Left Guide Lock Sensor   센서가 감지되지 않았습니다.</t>
  </si>
  <si>
    <t xml:space="preserve"> ULD Top Feeder Tray Front Right Guide Unlock Sensor   센서가 감지되지 않았습니다.</t>
  </si>
  <si>
    <t xml:space="preserve"> ULD Top Feeder Tray Front Right Guide Lock Sensor   센서가 감지되지 않았습니다.</t>
  </si>
  <si>
    <t xml:space="preserve"> ULD Top Feeder Tray Front Left Guide Unlock Sensor   센서가 감지되지 않았습니다.</t>
  </si>
  <si>
    <t xml:space="preserve"> ULD Top Feeder Tray Front Left Guide Lock Sensor   센서가 감지되지 않았습니다.</t>
  </si>
  <si>
    <t xml:space="preserve"> ULD Bottom Feeder Rear Right Gripper Down Sensor   센서가 감지되지 않았습니다.</t>
  </si>
  <si>
    <t xml:space="preserve"> ULD Bottom Feeder Rear Right Gripper Up Sensor   센서가 감지되지 않았습니다.</t>
  </si>
  <si>
    <t xml:space="preserve"> ULD Bottom Feeder Rear Left Gripper Down Sensor   센서가 감지되지 않았습니다.</t>
  </si>
  <si>
    <t xml:space="preserve"> ULD Bottom Feeder Rear Left Gripper Up Sensor   센서가 감지되지 않았습니다.</t>
  </si>
  <si>
    <t xml:space="preserve"> ULD Bottom Feeder Front Right Gripper Down Sensor   센서가 감지되지 않았습니다.</t>
  </si>
  <si>
    <t xml:space="preserve"> ULD Bottom Feeder Front Right Gripper Up Sensor   센서가 감지되지 않았습니다.</t>
  </si>
  <si>
    <t xml:space="preserve"> ULD Bottom Feeder Front Left Gripper Down Sensor   센서가 감지되지 않았습니다.</t>
  </si>
  <si>
    <t xml:space="preserve"> ULD Bottom Feeder Front Left Gripper Up Sensor   센서가 감지되지 않았습니다.</t>
  </si>
  <si>
    <t xml:space="preserve"> ULD Tray Lift Raer Tray Rear Side Unlock Sensor   센서가 감지되지 않았습니다.</t>
  </si>
  <si>
    <t xml:space="preserve"> ULD Tray Lift Rear Tray Rear Side Lock Sensor   센서가 감지되지 않았습니다.</t>
  </si>
  <si>
    <t xml:space="preserve"> ULD Tray Lift Rear Tray Front Side Unlock Sensor   센서가 감지되지 않았습니다.</t>
  </si>
  <si>
    <t xml:space="preserve"> ULD Tray Lift Rear Tray Front Side Lock Sensor   센서가 감지되지 않았습니다.</t>
  </si>
  <si>
    <t xml:space="preserve"> ULD Tray Lift Rear Down Sensor   센서가 감지되지 않았습니다.</t>
  </si>
  <si>
    <t xml:space="preserve"> ULD Tray Lift Rear Up Sensor   센서가 감지되지 않았습니다.</t>
  </si>
  <si>
    <t xml:space="preserve"> ULD Tray Lift Rear Bottom Check   센서가 감지되지 않았습니다.</t>
  </si>
  <si>
    <t xml:space="preserve"> ULD Tray Lift Rear Top Check   센서가 감지되지 않았습니다.</t>
  </si>
  <si>
    <t xml:space="preserve"> ULD Tray Lift Front Tray Rear Side Unlock Sensor   센서가 감지되지 않았습니다.</t>
  </si>
  <si>
    <t xml:space="preserve"> ULD Tray Lift Front Tray Rear Side Lock Sensor   센서가 감지되지 않았습니다.</t>
  </si>
  <si>
    <t xml:space="preserve"> ULD Tray Lift Front Tray Front Side Unlock Sensor   센서가 감지되지 않았습니다.</t>
  </si>
  <si>
    <t xml:space="preserve"> ULD Tray Lift Front Tray Front Side Lock Sensor   센서가 감지되지 않았습니다.</t>
  </si>
  <si>
    <t xml:space="preserve"> ULD Tray Lift Front Down Sensor   센서가 감지되지 않았습니다.</t>
  </si>
  <si>
    <t xml:space="preserve"> ULD Tray Lift Front Up Sensor   센서가 감지되지 않았습니다.</t>
  </si>
  <si>
    <t xml:space="preserve"> ULD Tray Lift Front Bottom Check   센서가 감지되지 않았습니다.</t>
  </si>
  <si>
    <t xml:space="preserve"> ULD Tray Lift Front Top Check   센서가 감지되지 않았습니다.</t>
  </si>
  <si>
    <t xml:space="preserve"> ULD Top Feeder Tray Rear Right Guide Rear Rail Off Sensor   센서가 감지되었습니다.</t>
  </si>
  <si>
    <t xml:space="preserve"> ULD Top Feeder Tray Rear Right Guide Rear Rail On Sensor   센서가 감지되었습니다.</t>
  </si>
  <si>
    <t xml:space="preserve"> ULD Top Feeder Tray Rear Right Guide Front Rail Off Sensor   센서가 감지되었습니다.</t>
  </si>
  <si>
    <t xml:space="preserve"> ULD Top Feeder Tray Rear Right Guide Front Rail On Sensor   센서가 감지되었습니다.</t>
  </si>
  <si>
    <t xml:space="preserve"> ULD Top Feeder Tray Rear Left Guide Rear Rail Off Sensor   센서가 감지되었습니다.</t>
  </si>
  <si>
    <t xml:space="preserve"> ULD Top Feeder Tray Rear Left Guide Rear Rail On Sensor   센서가 감지되었습니다.</t>
  </si>
  <si>
    <t xml:space="preserve"> ULD Top Feeder Tray Rear Left Guide Front Rail Off Sensor   센서가 감지되었습니다.</t>
  </si>
  <si>
    <t xml:space="preserve"> ULD Top Feeder Tray Rear Left Guide Front Rail On Sensor   센서가 감지되었습니다.</t>
  </si>
  <si>
    <t xml:space="preserve"> ULD Top Feeder Tray Front Right Guide Rear Rail Off Sensor   센서가 감지되었습니다.</t>
  </si>
  <si>
    <t xml:space="preserve"> ULD Top Feeder Tray Front Right Guide Rear Rail On Sensor   센서가 감지되었습니다.</t>
  </si>
  <si>
    <t xml:space="preserve"> ULD Top Feeder Tray Front Right Guide Front Rail Off Sensor   센서가 감지되었습니다.</t>
  </si>
  <si>
    <t xml:space="preserve"> ULD Top Feeder Tray Front Right Guide Front Rail On Sensor   센서가 감지되었습니다.</t>
  </si>
  <si>
    <t xml:space="preserve"> ULD Top Feeder Tray Front Left Guide Rear Rail Off Sensor   센서가 감지되었습니다.</t>
  </si>
  <si>
    <t xml:space="preserve"> ULD Top Feeder Tray Front Left Guide Rear Rail On Sensor   센서가 감지되었습니다.</t>
  </si>
  <si>
    <t xml:space="preserve"> ULD Top Feeder Tray Front Left Guide Front Rail Off Sensor   센서가 감지되었습니다.</t>
  </si>
  <si>
    <t xml:space="preserve"> ULD Top Feeder Tray Front Left Guide Front Rail On Sensor   센서가 감지되었습니다.</t>
  </si>
  <si>
    <t xml:space="preserve"> ULD Top Feeder Gripper Down Sensor   센서가 감지되었습니다.</t>
  </si>
  <si>
    <t xml:space="preserve"> ULD Top Feeder Gripper Up Sensor   센서가 감지되었습니다.</t>
  </si>
  <si>
    <t xml:space="preserve"> ULD Top Feeder Tray Rear Right Guide Unlock Sensor   센서가 감지되었습니다.</t>
  </si>
  <si>
    <t xml:space="preserve"> ULD Top Feeder Tray Rear Right Guide Lock Sensor   센서가 감지되었습니다.</t>
  </si>
  <si>
    <t xml:space="preserve"> ULD Top Feeder Tray Rear Left Guide Unlock Sensor   센서가 감지되었습니다.</t>
  </si>
  <si>
    <t xml:space="preserve"> ULD Top Feeder Tray Rear Left Guide Lock Sensor   센서가 감지되었습니다.</t>
  </si>
  <si>
    <t xml:space="preserve"> ULD Top Feeder Tray Front Right Guide Unlock Sensor   센서가 감지되었습니다.</t>
  </si>
  <si>
    <t xml:space="preserve"> ULD Top Feeder Tray Front Right Guide Lock Sensor   센서가 감지되었습니다.</t>
  </si>
  <si>
    <t xml:space="preserve"> ULD Top Feeder Tray Front Left Guide Unlock Sensor   센서가 감지되었습니다.</t>
  </si>
  <si>
    <t xml:space="preserve"> ULD Top Feeder Tray Front Left Guide Lock Sensor   센서가 감지되었습니다.</t>
  </si>
  <si>
    <t xml:space="preserve"> ULD Bottom Feeder Rear Right Gripper Down Sensor   센서가 감지되었습니다.</t>
  </si>
  <si>
    <t xml:space="preserve"> ULD Bottom Feeder Rear Right Gripper Up Sensor   센서가 감지되었습니다.</t>
  </si>
  <si>
    <t xml:space="preserve"> ULD Bottom Feeder Rear Left Gripper Down Sensor   센서가 감지되었습니다.</t>
  </si>
  <si>
    <t xml:space="preserve"> ULD Bottom Feeder Rear Left Gripper Up Sensor   센서가 감지되었습니다.</t>
  </si>
  <si>
    <t xml:space="preserve"> ULD Bottom Feeder Front Right Gripper Down Sensor   센서가 감지되었습니다.</t>
  </si>
  <si>
    <t xml:space="preserve"> ULD Bottom Feeder Front Right Gripper Up Sensor   센서가 감지되었습니다.</t>
  </si>
  <si>
    <t xml:space="preserve"> ULD Bottom Feeder Front Left Gripper Down Sensor   센서가 감지되었습니다.</t>
  </si>
  <si>
    <t xml:space="preserve"> ULD Bottom Feeder Front Left Gripper Up Sensor   센서가 감지되었습니다.</t>
  </si>
  <si>
    <t xml:space="preserve"> ULD Tray Lift Raer Tray Rear Side Unlock Sensor   센서가 감지되었습니다.</t>
  </si>
  <si>
    <t xml:space="preserve"> ULD Tray Lift Rear Tray Rear Side Lock Sensor   센서가 감지되었습니다.</t>
  </si>
  <si>
    <t xml:space="preserve"> ULD Tray Lift Rear Tray Front Side Unlock Sensor   센서가 감지되었습니다.</t>
  </si>
  <si>
    <t xml:space="preserve"> ULD Tray Lift Rear Tray Front Side Lock Sensor   센서가 감지되었습니다.</t>
  </si>
  <si>
    <t xml:space="preserve"> ULD Tray Lift Rear Down Sensor   센서가 감지되었습니다.</t>
  </si>
  <si>
    <t xml:space="preserve"> ULD Tray Lift Rear Up Sensor   센서가 감지되었습니다.</t>
  </si>
  <si>
    <t xml:space="preserve"> ULD Tray Lift Rear Bottom Check   센서가 감지되었습니다.</t>
  </si>
  <si>
    <t xml:space="preserve"> ULD Tray Lift Rear Top Check   센서가 감지되었습니다.</t>
  </si>
  <si>
    <t xml:space="preserve"> ULD Tray Lift Front Tray Rear Side Unlock Sensor   센서가 감지되었습니다.</t>
  </si>
  <si>
    <t xml:space="preserve"> ULD Tray Lift Front Tray Rear Side Lock Sensor   센서가 감지되었습니다.</t>
  </si>
  <si>
    <t xml:space="preserve"> ULD Tray Lift Front Tray Front Side Unlock Sensor   센서가 감지되었습니다.</t>
  </si>
  <si>
    <t xml:space="preserve"> ULD Tray Lift Front Tray Front Side Lock Sensor   센서가 감지되었습니다.</t>
  </si>
  <si>
    <t xml:space="preserve"> ULD Tray Lift Front Down Sensor   센서가 감지되었습니다.</t>
  </si>
  <si>
    <t xml:space="preserve"> ULD Tray Lift Front Up Sensor   센서가 감지되었습니다.</t>
  </si>
  <si>
    <t xml:space="preserve"> ULD Tray Lift Front Bottom Check   센서가 감지되었습니다.</t>
  </si>
  <si>
    <t xml:space="preserve"> ULD Tray Lift Front Top Check   센서가 감지되었습니다.</t>
  </si>
  <si>
    <t xml:space="preserve"> TOP LOCK REGULATOR 압력이 설정값과 맞지 않습니다. </t>
  </si>
  <si>
    <t>[TEST_SITE]</t>
  </si>
  <si>
    <t xml:space="preserve"> REAR REGULATOR 압력이 설정값과 맞지 않습니다. </t>
  </si>
  <si>
    <t xml:space="preserve"> FRONT REGULATOR 압력이 설정값과 맞지 않습니다. </t>
  </si>
  <si>
    <t xml:space="preserve"> REAR ALIGN PIN LOCK 상태가 아닙니다. </t>
  </si>
  <si>
    <t xml:space="preserve"> FRONT ALIGN PIN LOCK 상태가 아닙니다. </t>
  </si>
  <si>
    <t xml:space="preserve"> SOCKET ALL DUT 1회 이상 FAIL 발생하였습니다. </t>
  </si>
  <si>
    <t xml:space="preserve"> SOCKET OFF FULL CNT 발생하였습니다. </t>
  </si>
  <si>
    <t xml:space="preserve"> Tester Server 통신 TimeOut 발생하엿습니다. </t>
  </si>
  <si>
    <t xml:space="preserve"> Tester Server 통신 Serial ID Error 발생하엿습니다. </t>
  </si>
  <si>
    <t xml:space="preserve"> Tester Server 통신 Bin 정보 Error 발생하엿습니다. </t>
  </si>
  <si>
    <t xml:space="preserve"> Tester 통신 Msg :  확인 바랍니다. </t>
  </si>
  <si>
    <t xml:space="preserve"> Tester 통신 Part ID Error 발생하엿습니다. </t>
  </si>
  <si>
    <t xml:space="preserve"> Tester 통신 Lot ID Error 발생하엿습니다. </t>
  </si>
  <si>
    <t xml:space="preserve"> Tester 통신 Equipment ID Error 발생하엿습니다. </t>
  </si>
  <si>
    <t xml:space="preserve"> Tester 통신 Result Error 발생하엿습니다. </t>
  </si>
  <si>
    <t xml:space="preserve"> Tester Client 통신 Data Size Error 발생하엿습니다. </t>
  </si>
  <si>
    <t xml:space="preserve"> Tester Client 통신 Reply Error 발생하엿습니다. </t>
  </si>
  <si>
    <t xml:space="preserve"> Rear Test Site Top Tray Lock Sol 동작 시 동작 완료 센서 비교 시간을 초과하였습니다.</t>
  </si>
  <si>
    <t xml:space="preserve"> Front Test Site Top Tray Lock Sol 동작 시 동작 완료 센서 비교 시간을 초과하였습니다.</t>
  </si>
  <si>
    <t xml:space="preserve"> Rear Test Site Docking Off Sol  동작이 실패 하였습니다.</t>
  </si>
  <si>
    <t xml:space="preserve"> Front Test Site Docking Off Sol  동작이 실패 하였습니다.</t>
  </si>
  <si>
    <t xml:space="preserve"> Rear Test Site Tray stopper Backward Sol  동작이 실패 하였습니다.</t>
  </si>
  <si>
    <t xml:space="preserve"> Rear Test Site Tray stopper Down Sol  동작이 실패 하였습니다.</t>
  </si>
  <si>
    <t xml:space="preserve"> Rear Test Site Top Tray Lp-cam Insert Rotation Check Down Sol  동작이 실패 하였습니다.</t>
  </si>
  <si>
    <t xml:space="preserve"> Rear Test Site Top Tray Unlock Sol  동작이 실패 하였습니다.</t>
  </si>
  <si>
    <t xml:space="preserve"> Front Test Site Tray stopper Backward Sol  동작이 실패 하였습니다.</t>
  </si>
  <si>
    <t xml:space="preserve"> Front Test Site Tray stopper Down Sol  동작이 실패 하였습니다.</t>
  </si>
  <si>
    <t xml:space="preserve"> Front Test Site Top Tray Lp-cam Insert Rotation Check Down Sol    동작이 실패 하였습니다.</t>
  </si>
  <si>
    <t xml:space="preserve"> Front Test Site Top Tray Unlock Sol  동작이 실패 하였습니다.</t>
  </si>
  <si>
    <t xml:space="preserve"> Rear Test Site Docking On Sol  동작이 실패 하였습니다.</t>
  </si>
  <si>
    <t xml:space="preserve"> Front Test Site Docking On Sol  동작이 실패 하였습니다.</t>
  </si>
  <si>
    <t xml:space="preserve"> Rear Test Site Tray stopper Forward Sol  동작이 실패 하였습니다.</t>
  </si>
  <si>
    <t xml:space="preserve"> Rear Test Site Tray stopper Up Sol  동작이 실패 하였습니다.</t>
  </si>
  <si>
    <t xml:space="preserve"> Rear Test Site Top Tray Lp-cam Insert Rotation Check Up Sol    동작이 실패 하였습니다.</t>
  </si>
  <si>
    <t xml:space="preserve"> Rear Test Site Top Tray Lock Sol  동작이 실패 하였습니다.</t>
  </si>
  <si>
    <t xml:space="preserve"> Front Test Site Tray stopper Forward Sol  동작이 실패 하였습니다.</t>
  </si>
  <si>
    <t xml:space="preserve"> Front Test Site Tray stopper Up Sol  동작이 실패 하였습니다.</t>
  </si>
  <si>
    <t xml:space="preserve"> Front Test Site Top Tray Lp-cam Insert Rotation Check Up Sol   동작이 실패 하였습니다.</t>
  </si>
  <si>
    <t xml:space="preserve"> Front Test Site Top Tray Lock Sol  동작이 실패 하였습니다.</t>
  </si>
  <si>
    <t xml:space="preserve"> Rear Test Site Right Rear Docking Off Check   센서가 감지되지 않았습니다.</t>
  </si>
  <si>
    <t xml:space="preserve"> Rear Test Site Right Rear Docking On Check   센서가 감지되지 않았습니다.</t>
  </si>
  <si>
    <t xml:space="preserve"> Rear Test Site Right Middle Docking Off Check   센서가 감지되지 않았습니다.</t>
  </si>
  <si>
    <t xml:space="preserve"> Rear Test Site Right Middle Docking On Check   센서가 감지되지 않았습니다.</t>
  </si>
  <si>
    <t xml:space="preserve"> Rear Test Site Right Front Docking Off Check   센서가 감지되지 않았습니다.</t>
  </si>
  <si>
    <t xml:space="preserve"> Rear Test Site Right Front Docking On Check   센서가 감지되지 않았습니다.</t>
  </si>
  <si>
    <t xml:space="preserve"> Front Test Site Right Rear Docking Off Check   센서가 감지되지 않았습니다.</t>
  </si>
  <si>
    <t xml:space="preserve"> Front Test Site Right Rear Docking On Check   센서가 감지되지 않았습니다.</t>
  </si>
  <si>
    <t xml:space="preserve"> Front Test Site Right Middle Docking Off Check   센서가 감지되지 않았습니다.</t>
  </si>
  <si>
    <t xml:space="preserve"> Front Test Site Right Middle Docking On Check   센서가 감지되지 않았습니다.</t>
  </si>
  <si>
    <t xml:space="preserve"> Front Test Site Right Front Docking Off Check   센서가 감지되지 않았습니다.</t>
  </si>
  <si>
    <t xml:space="preserve"> Front Test Site Right Front Docking On Check   센서가 감지되지 않았습니다.</t>
  </si>
  <si>
    <t xml:space="preserve"> Rear Tester Check   센서가 감지되지 않았습니다.</t>
  </si>
  <si>
    <t xml:space="preserve"> Rear Test Site Left Rear Docking Off Check   센서가 감지되지 않았습니다.</t>
  </si>
  <si>
    <t xml:space="preserve"> Rear Test Site Left Rear Docking On Check   센서가 감지되지 않았습니다.</t>
  </si>
  <si>
    <t xml:space="preserve"> Rear Test Site Left Middle Docking Off Check   센서가 감지되지 않았습니다.</t>
  </si>
  <si>
    <t xml:space="preserve"> Rear Test Site Left Middle Docking On Check   센서가 감지되지 않았습니다.</t>
  </si>
  <si>
    <t xml:space="preserve"> Rear Test Site Left Front Docking Off Check   센서가 감지되지 않았습니다.</t>
  </si>
  <si>
    <t xml:space="preserve"> Rear Test Site Left Front Docking On Check   센서가 감지되지 않았습니다.</t>
  </si>
  <si>
    <t xml:space="preserve"> Front Tester Check   센서가 감지되지 않았습니다.</t>
  </si>
  <si>
    <t xml:space="preserve"> Front Test Site Left Rear Docking Off Check   센서가 감지되지 않았습니다.</t>
  </si>
  <si>
    <t xml:space="preserve"> Front Test Site Left Rear Docking On Check   센서가 감지되지 않았습니다.</t>
  </si>
  <si>
    <t xml:space="preserve"> Front Test Site Left Middle Docking Off Check   센서가 감지되지 않았습니다.</t>
  </si>
  <si>
    <t xml:space="preserve"> Front Test Site Left Middle Docking On Check   센서가 감지되지 않았습니다.</t>
  </si>
  <si>
    <t xml:space="preserve"> Front Test Site Left Front Docking Off Check   센서가 감지되지 않았습니다.</t>
  </si>
  <si>
    <t xml:space="preserve"> Front Test Site Left Front Docking On Check   센서가 감지되지 않았습니다.</t>
  </si>
  <si>
    <t xml:space="preserve"> Rear Test Site Tray LP-Camm Right Check   센서가 감지되지 않았습니다.</t>
  </si>
  <si>
    <t xml:space="preserve"> Rear Test Site Tray LP-Camm Left Check   센서가 감지되지 않았습니다.</t>
  </si>
  <si>
    <t xml:space="preserve"> Rear Test Site Tray S-Dimm Right Check   센서가 감지되지 않았습니다.</t>
  </si>
  <si>
    <t xml:space="preserve"> Rear Test Site Tray R-Dimm Right Check   센서가 감지되지 않았습니다.</t>
  </si>
  <si>
    <t xml:space="preserve"> Rear Test Site Tray S-Dimm Left Check   센서가 감지되지 않았습니다.</t>
  </si>
  <si>
    <t xml:space="preserve"> Rear Test Site Tray R-Dimm Left Check   센서가 감지되지 않았습니다.</t>
  </si>
  <si>
    <t xml:space="preserve"> Front Test Site Tray LP-Camm Right Check   센서가 감지되지 않았습니다.</t>
  </si>
  <si>
    <t xml:space="preserve"> Front Test Site Tray LP-Camm Left Check   센서가 감지되지 않았습니다.</t>
  </si>
  <si>
    <t xml:space="preserve"> Front Test Site Tray S-Dimm Right Check   센서가 감지되지 않았습니다.</t>
  </si>
  <si>
    <t xml:space="preserve"> Front Test Site Tray R-Dimm Right Check   센서가 감지되지 않았습니다.</t>
  </si>
  <si>
    <t xml:space="preserve"> Front Test Site Tray S-Dimm Left Check   센서가 감지되지 않았습니다.</t>
  </si>
  <si>
    <t xml:space="preserve"> Front Test Site Tray R-Dimm Left Check   센서가 감지되지 않았습니다.</t>
  </si>
  <si>
    <t xml:space="preserve"> Rear Test Site Tray stopper Backward Sensor   센서가 감지되지 않았습니다.</t>
  </si>
  <si>
    <t xml:space="preserve"> Rear Test Site Tray stopper Forward Sensor   센서가 감지되지 않았습니다.</t>
  </si>
  <si>
    <t xml:space="preserve"> Rear Test Site Tray stopper  Down Sensor   센서가 감지되지 않았습니다.</t>
  </si>
  <si>
    <t xml:space="preserve"> Rear Test Site Tray stopper  Up Sensor   센서가 감지되지 않았습니다.</t>
  </si>
  <si>
    <t xml:space="preserve"> Front Test Site Tray stopper Backward Sensor   센서가 감지되지 않았습니다.</t>
  </si>
  <si>
    <t xml:space="preserve"> Front Test Site Tray stopper Forward Sensor   센서가 감지되지 않았습니다.</t>
  </si>
  <si>
    <t xml:space="preserve"> Front Test Site Tray stopper Down Sensor   센서가 감지되지 않았습니다.</t>
  </si>
  <si>
    <t xml:space="preserve"> Front Test Site Tray stopper Up Sensor   센서가 감지되지 않았습니다.</t>
  </si>
  <si>
    <t xml:space="preserve"> Rear Test Site Top Tray Lp-cam Insert Rear Rotation Check   센서가 감지되지 않았습니다.</t>
  </si>
  <si>
    <t xml:space="preserve"> Rear Test Site Top Tray Lp-cam Insert Front Rotation Check   센서가 감지되지 않았습니다.</t>
  </si>
  <si>
    <t xml:space="preserve"> Rear Test Site Top Tray Right Unlock Sensor   센서가 감지되지 않았습니다.</t>
  </si>
  <si>
    <t xml:space="preserve"> Rear Test Site Top Tray Right Lock Sensor   센서가 감지되지 않았습니다.</t>
  </si>
  <si>
    <t xml:space="preserve"> Rear Test Site Top Tray Left Unlock Sensor   센서가 감지되지 않았습니다.</t>
  </si>
  <si>
    <t xml:space="preserve"> Rear Test Site Top Tray Left Lock Sensor   센서가 감지되지 않았습니다.</t>
  </si>
  <si>
    <t xml:space="preserve"> Front Test Site Top Tray Lp-cam Insert Rear Rotation Check   센서가 감지되지 않았습니다.</t>
  </si>
  <si>
    <t xml:space="preserve"> Front Test Site Top Tray Lp-cam Insert Front Rotation Check   센서가 감지되지 않았습니다.</t>
  </si>
  <si>
    <t xml:space="preserve"> Front Test Site Top Tray Right Unlock Sensor   센서가 감지되지 않았습니다.</t>
  </si>
  <si>
    <t xml:space="preserve"> Front Test Site Top Tray Right Lock Sensor   센서가 감지되지 않았습니다.</t>
  </si>
  <si>
    <t xml:space="preserve"> Front Test Site Top Tray Left Unlock Sensor   센서가 감지되지 않았습니다.</t>
  </si>
  <si>
    <t xml:space="preserve"> Front Test Site Top Tray Left Lock Sensor   센서가 감지되지 않았습니다.</t>
  </si>
  <si>
    <t xml:space="preserve"> Rear Test Site Top Tray Lp-cam Insert Rotation Check Down Sensor  센서가 감지되지 않았습니다.</t>
  </si>
  <si>
    <t xml:space="preserve"> Rear Test Site Top Tray Lp-cam Insert Rotation Check Up Sensor    센서가 감지되지 않았습니다.</t>
  </si>
  <si>
    <t xml:space="preserve"> Front Test Site Top Tray Lp-cam Insert Rotation Check Down Sensor    센서가 감지되지 않았습니다.</t>
  </si>
  <si>
    <t xml:space="preserve"> Front Test Site Top Tray Lp-cam Insert Rotation Check Up Sensor   센서가 감지되지 않았습니다.</t>
  </si>
  <si>
    <t xml:space="preserve"> Rear Test Site Right Rear Docking Off Check   센서가 감지되었습니다.</t>
  </si>
  <si>
    <t xml:space="preserve"> Rear Test Site Right Rear Docking On Check   센서가 감지되었습니다.</t>
  </si>
  <si>
    <t xml:space="preserve"> Rear Test Site Right Middle Docking Off Check   센서가 감지되었습니다.</t>
  </si>
  <si>
    <t xml:space="preserve"> Rear Test Site Right Middle Docking On Check   센서가 감지되었습니다.</t>
  </si>
  <si>
    <t xml:space="preserve"> Rear Test Site Right Front Docking Off Check   센서가 감지되었습니다.</t>
  </si>
  <si>
    <t xml:space="preserve"> Rear Test Site Right Front Docking On Check   센서가 감지되었습니다.</t>
  </si>
  <si>
    <t xml:space="preserve"> Front Test Site Right Rear Docking Off Check   센서가 감지되었습니다.</t>
  </si>
  <si>
    <t xml:space="preserve"> Front Test Site Right Rear Docking On Check   센서가 감지되었습니다.</t>
  </si>
  <si>
    <t xml:space="preserve"> Front Test Site Right Middle Docking Off Check   센서가 감지되었습니다.</t>
  </si>
  <si>
    <t xml:space="preserve"> Front Test Site Right Middle Docking On Check   센서가 감지되었습니다.</t>
  </si>
  <si>
    <t xml:space="preserve"> Front Test Site Right Front Docking Off Check   센서가 감지되었습니다.</t>
  </si>
  <si>
    <t xml:space="preserve"> Front Test Site Right Front Docking On Check   센서가 감지되었습니다.</t>
  </si>
  <si>
    <t xml:space="preserve"> Rear Tester Check   센서가 감지되었습니다.</t>
  </si>
  <si>
    <t xml:space="preserve"> Rear Test Site Left Rear Docking Off Check   센서가 감지되었습니다.</t>
  </si>
  <si>
    <t xml:space="preserve"> Rear Test Site Left Rear Docking On Check   센서가 감지되었습니다.</t>
  </si>
  <si>
    <t xml:space="preserve"> Rear Test Site Left Middle Docking Off Check   센서가 감지되었습니다.</t>
  </si>
  <si>
    <t xml:space="preserve"> Rear Test Site Left Middle Docking On Check   센서가 감지되었습니다.</t>
  </si>
  <si>
    <t xml:space="preserve"> Rear Test Site Left Front Docking Off Check   센서가 감지되었습니다.</t>
  </si>
  <si>
    <t xml:space="preserve"> Rear Test Site Left Front Docking On Check   센서가 감지되었습니다.</t>
  </si>
  <si>
    <t xml:space="preserve"> Front Tester Check   센서가 감지되었습니다.</t>
  </si>
  <si>
    <t xml:space="preserve"> Front Test Site Left Rear Docking Off Check   센서가 감지되었습니다.</t>
  </si>
  <si>
    <t xml:space="preserve"> Front Test Site Left Rear Docking On Check   센서가 감지되었습니다.</t>
  </si>
  <si>
    <t xml:space="preserve"> Front Test Site Left Middle Docking Off Check   센서가 감지되었습니다.</t>
  </si>
  <si>
    <t xml:space="preserve"> Front Test Site Left Middle Docking On Check   센서가 감지되었습니다.</t>
  </si>
  <si>
    <t xml:space="preserve"> Front Test Site Left Front Docking Off Check   센서가 감지되었습니다.</t>
  </si>
  <si>
    <t xml:space="preserve"> Front Test Site Left Front Docking On Check   센서가 감지되었습니다.</t>
  </si>
  <si>
    <t xml:space="preserve"> Rear Test Site Tray LP-Camm Right Check   센서가 감지되었습니다.</t>
  </si>
  <si>
    <t xml:space="preserve"> Rear Test Site Tray LP-Camm Left Check   센서가 감지되었습니다.</t>
  </si>
  <si>
    <t xml:space="preserve"> Rear Test Site Tray S-Dimm Right Check   센서가 감지되었습니다.</t>
  </si>
  <si>
    <t xml:space="preserve"> Rear Test Site Tray R-Dimm Right Check   센서가 감지되었습니다.</t>
  </si>
  <si>
    <t xml:space="preserve"> Rear Test Site Tray S-Dimm Left Check   센서가 감지되었습니다.</t>
  </si>
  <si>
    <t xml:space="preserve"> Rear Test Site Tray R-Dimm Left Check   센서가 감지되었습니다.</t>
  </si>
  <si>
    <t xml:space="preserve"> Front Test Site Tray LP-Camm Right Check   센서가 감지되었습니다.</t>
  </si>
  <si>
    <t xml:space="preserve"> Front Test Site Tray LP-Camm Left Check   센서가 감지되었습니다.</t>
  </si>
  <si>
    <t xml:space="preserve"> Front Test Site Tray S-Dimm Right Check   센서가 감지되었습니다.</t>
  </si>
  <si>
    <t xml:space="preserve"> Front Test Site Tray R-Dimm Right Check   센서가 감지되었습니다.</t>
  </si>
  <si>
    <t xml:space="preserve"> Front Test Site Tray S-Dimm Left Check   센서가 감지되었습니다.</t>
  </si>
  <si>
    <t xml:space="preserve"> Front Test Site Tray R-Dimm Left Check   센서가 감지되었습니다.</t>
  </si>
  <si>
    <t xml:space="preserve"> Rear Test Site Tray stopper Backward Sensor   센서가 감지되었습니다.</t>
  </si>
  <si>
    <t xml:space="preserve"> Rear Test Site Tray stopper Forward Sensor   센서가 감지되었습니다.</t>
  </si>
  <si>
    <t xml:space="preserve"> Rear Test Site Tray stopper  Down Sensor   센서가 감지되었습니다.</t>
  </si>
  <si>
    <t xml:space="preserve"> Rear Test Site Tray stopper  Up Sensor   센서가 감지되었습니다.</t>
  </si>
  <si>
    <t xml:space="preserve"> Front Test Site Tray stopper Backward Sensor   센서가 감지되었습니다.</t>
  </si>
  <si>
    <t xml:space="preserve"> Front Test Site Tray stopper Forward Sensor   센서가 감지되었습니다.</t>
  </si>
  <si>
    <t xml:space="preserve"> Front Test Site Tray stopper Down Sensor   센서가 감지되었습니다.</t>
  </si>
  <si>
    <t xml:space="preserve"> Front Test Site Tray stopper Up Sensor   센서가 감지되었습니다.</t>
  </si>
  <si>
    <t xml:space="preserve"> Rear Test Site Top Tray Lp-cam Insert Rear Rotation Check   센서가 감지되었습니다.</t>
  </si>
  <si>
    <t xml:space="preserve"> Rear Test Site Top Tray Lp-cam Insert Front Rotation Check   센서가 감지되었습니다.</t>
  </si>
  <si>
    <t xml:space="preserve"> Rear Test Site Top Tray Right Unlock Sensor   센서가 감지되었습니다.</t>
  </si>
  <si>
    <t xml:space="preserve"> Rear Test Site Top Tray Right Lock Sensor   센서가 감지되었습니다.</t>
  </si>
  <si>
    <t xml:space="preserve"> Rear Test Site Top Tray Left Unlock Sensor   센서가 감지되었습니다.</t>
  </si>
  <si>
    <t xml:space="preserve"> Rear Test Site Top Tray Left Lock Sensor   센서가 감지되었습니다.</t>
  </si>
  <si>
    <t xml:space="preserve"> Front Test Site Top Tray Lp-cam Insert Rear Rotation Check   센서가 감지되었습니다.</t>
  </si>
  <si>
    <t xml:space="preserve"> Front Test Site Top Tray Lp-cam Insert Front Rotation Check   센서가 감지되었습니다.</t>
  </si>
  <si>
    <t xml:space="preserve"> Front Test Site Top Tray Right Unlock Sensor   센서가 감지되었습니다.</t>
  </si>
  <si>
    <t xml:space="preserve"> Front Test Site Top Tray Right Lock Sensor   센서가 감지되었습니다.</t>
  </si>
  <si>
    <t xml:space="preserve"> Front Test Site Top Tray Left Unlock Sensor   센서가 감지되었습니다.</t>
  </si>
  <si>
    <t xml:space="preserve"> Front Test Site Top Tray Left Lock Sensor   센서가 감지되었습니다.</t>
  </si>
  <si>
    <t xml:space="preserve"> Rear Test Site Top Tray Lp-cam Insert Rotation Check Down Sensor  센서가 감지되었습니다.</t>
  </si>
  <si>
    <t xml:space="preserve"> Rear Test Site Top Tray Lp-cam Insert Rotation Check Up Sensor    센서가 감지되었습니다.</t>
  </si>
  <si>
    <t xml:space="preserve"> Front Test Site Top Tray Lp-cam Insert Rotation Check Down Sensor    센서가 감지되었습니다.</t>
  </si>
  <si>
    <t xml:space="preserve"> Front Test Site Top Tray Lp-cam Insert Rotation Check Up Sensor   센서가 감지되었습니다.</t>
  </si>
  <si>
    <t>[INPUT_FLOW]</t>
  </si>
  <si>
    <t xml:space="preserve"> Rear RFID가 Tray ID와 일치하지 않습니다. </t>
  </si>
  <si>
    <t xml:space="preserve"> Front RFID가 Tray ID와 일치하지 않습니다. </t>
  </si>
  <si>
    <t xml:space="preserve"> Rear RFID 읽기 실패하였습니다. </t>
  </si>
  <si>
    <t xml:space="preserve"> Front RFID 읽기 실패하였습니다. </t>
  </si>
  <si>
    <t xml:space="preserve"> LD Bottom Feeder Rear Gripper  Down Sol  동작이 실패 하였습니다.</t>
  </si>
  <si>
    <t xml:space="preserve"> LD Tray Lift Rear Down Sol  동작이 실패 하였습니다.</t>
  </si>
  <si>
    <t xml:space="preserve"> LD Tray Lift Rear Tray Side Unlock Sol  동작이 실패 하였습니다.</t>
  </si>
  <si>
    <t xml:space="preserve"> LD Top Feeder Rear Tray Guide Rail Off Sol  동작이 실패 하였습니다.</t>
  </si>
  <si>
    <t xml:space="preserve"> LD Top Feeder Rear Tray Guide Unlock Sol  동작이 실패 하였습니다.</t>
  </si>
  <si>
    <t xml:space="preserve"> LD Bottom Feeder Front Gripper Down Sol  동작이 실패 하였습니다.</t>
  </si>
  <si>
    <t xml:space="preserve"> LD Tray Lift Front Down Sol  동작이 실패 하였습니다.</t>
  </si>
  <si>
    <t xml:space="preserve"> LD Tray Lift Front Tray Side Unlock Sol  동작이 실패 하였습니다.</t>
  </si>
  <si>
    <t xml:space="preserve"> LD Top Feeder Front Tray Guide Rail Off Sol  동작이 실패 하였습니다.</t>
  </si>
  <si>
    <t xml:space="preserve"> LD Top Feeder Front Tray Guide Unlock Sol  동작이 실패 하였습니다.</t>
  </si>
  <si>
    <t xml:space="preserve"> LD Top Feeder Gripper Down Sol  동작이 실패 하였습니다.</t>
  </si>
  <si>
    <t xml:space="preserve"> LD Bottom Feeder Rear Gripper  Up Sol  동작이 실패 하였습니다.</t>
  </si>
  <si>
    <t xml:space="preserve"> LD Tray Lift Rear Up Sol  동작이 실패 하였습니다.</t>
  </si>
  <si>
    <t xml:space="preserve"> LD Tray Lift Rear Tray Side Lock Sol  동작이 실패 하였습니다.</t>
  </si>
  <si>
    <t xml:space="preserve"> LD Top Feeder Rear Tray Guide Rail On Sol  동작이 실패 하였습니다.</t>
  </si>
  <si>
    <t xml:space="preserve"> LD Top Feeder Rear Tray Guide Lock Sol  동작이 실패 하였습니다.</t>
  </si>
  <si>
    <t xml:space="preserve"> LD Bottom Feeder Front Gripper Up Sol  동작이 실패 하였습니다.</t>
  </si>
  <si>
    <t xml:space="preserve"> LD Tray Lift Front Up Sol  동작이 실패 하였습니다.</t>
  </si>
  <si>
    <t xml:space="preserve"> LD Tray Lift Front Tray Side Lock Sol  동작이 실패 하였습니다.</t>
  </si>
  <si>
    <t xml:space="preserve"> LD Top Feeder Front Tray Guide Rail On Sol  동작이 실패 하였습니다.</t>
  </si>
  <si>
    <t xml:space="preserve"> LD Top Feeder Front Tray Guide Lock Sol  동작이 실패 하였습니다.</t>
  </si>
  <si>
    <t xml:space="preserve"> LD Top Feeder Gripper Up Sol  동작이 실패 하였습니다.</t>
  </si>
  <si>
    <t xml:space="preserve"> LD Bottom Feeder Rear Right Gripper Down Sensor   센서가 감지되지 않았습니다.</t>
  </si>
  <si>
    <t xml:space="preserve"> LD Bottom Feeder Rear Right Gripper Up Sensor   센서가 감지되지 않았습니다.</t>
  </si>
  <si>
    <t xml:space="preserve"> LD Bottom Feeder Rear Left Gripper Down Sensor   센서가 감지되지 않았습니다.</t>
  </si>
  <si>
    <t xml:space="preserve"> LD Bottom Feeder Rear Left Gripper Up Sensor   센서가 감지되지 않았습니다.</t>
  </si>
  <si>
    <t xml:space="preserve"> LD Bottom Feeder Front Right Gripper Down Sensor   센서가 감지되지 않았습니다.</t>
  </si>
  <si>
    <t xml:space="preserve"> LD Bottom Feeder Front Right Gripper Up Sensor   센서가 감지되지 않았습니다.</t>
  </si>
  <si>
    <t xml:space="preserve"> LD Bottom Feeder Front Left Gripper Down Sensor   센서가 감지되지 않았습니다.</t>
  </si>
  <si>
    <t xml:space="preserve"> LD Bottom Feeder Front Left Gripper Up Sensor   센서가 감지되지 않았습니다.</t>
  </si>
  <si>
    <t xml:space="preserve"> LD Tray Lift Raer Tray Rear Side Unlock Sensor   센서가 감지되지 않았습니다.</t>
  </si>
  <si>
    <t xml:space="preserve"> LD Tray Lift Rear Tray Rear Side Lock Sensor   센서가 감지되지 않았습니다.</t>
  </si>
  <si>
    <t xml:space="preserve"> LD Tray Lift Rear Tray Front Side Unlock Sensor   센서가 감지되지 않았습니다.</t>
  </si>
  <si>
    <t xml:space="preserve"> LD Tray Lift Rear Tray Front Side Lock Sensor   센서가 감지되지 않았습니다.</t>
  </si>
  <si>
    <t xml:space="preserve"> LD Tray Lift Rear Down Sensor   센서가 감지되지 않았습니다.</t>
  </si>
  <si>
    <t xml:space="preserve"> LD Tray Lift Rear Up Sensor   센서가 감지되지 않았습니다.</t>
  </si>
  <si>
    <t xml:space="preserve"> LD Tray Lift Rear Bottom Check   센서가 감지되지 않았습니다.</t>
  </si>
  <si>
    <t xml:space="preserve"> LD Tray Lift Rear Top Check   센서가 감지되지 않았습니다.</t>
  </si>
  <si>
    <t xml:space="preserve"> LD Tray Lift Front Tray Rear Side Unlock Sensor   센서가 감지되지 않았습니다.</t>
  </si>
  <si>
    <t xml:space="preserve"> LD Tray Lift Front Tray Rear Side Lock Sensor   센서가 감지되지 않았습니다.</t>
  </si>
  <si>
    <t xml:space="preserve"> LD Tray Lift Front Tray Front Side Unlock Sensor   센서가 감지되지 않았습니다.</t>
  </si>
  <si>
    <t xml:space="preserve"> LD Tray Lift Front Tray Front Side Lock Sensor   센서가 감지되지 않았습니다.</t>
  </si>
  <si>
    <t xml:space="preserve"> LD Tray Lift Front Down Sensor   센서가 감지되지 않았습니다.</t>
  </si>
  <si>
    <t xml:space="preserve"> LD Tray Lift Front Up Sensor   센서가 감지되지 않았습니다.</t>
  </si>
  <si>
    <t xml:space="preserve"> LD Tray Lift Front Bottom Check   센서가 감지되지 않았습니다.</t>
  </si>
  <si>
    <t xml:space="preserve"> LD Tray Lift Front Top Check   센서가 감지되지 않았습니다.</t>
  </si>
  <si>
    <t xml:space="preserve"> LD Top Feeder Tray Rear Right Guide Rear Rail Off Sensor   센서가 감지되지 않았습니다.</t>
  </si>
  <si>
    <t xml:space="preserve"> LD Top Feeder Tray Rear Right Guide Rear Rail On Sensor   센서가 감지되지 않았습니다.</t>
  </si>
  <si>
    <t xml:space="preserve"> LD Top Feeder Tray Rear Right Guide Front Rail Off Sensor   센서가 감지되지 않았습니다.</t>
  </si>
  <si>
    <t xml:space="preserve"> LD Top Feeder Tray Rear Right Guide Front Rail On Sensor   센서가 감지되지 않았습니다.</t>
  </si>
  <si>
    <t xml:space="preserve"> LD Top Feeder Tray Rear Left Guide Rear Rail Off Sensor   센서가 감지되지 않았습니다.</t>
  </si>
  <si>
    <t xml:space="preserve"> LD Top Feeder Tray Rear Left Guide Rear Rail On Sensor   센서가 감지되지 않았습니다.</t>
  </si>
  <si>
    <t xml:space="preserve"> LD Top Feeder Tray Rear Left Guide Front Rail Off Sensor   센서가 감지되지 않았습니다.</t>
  </si>
  <si>
    <t xml:space="preserve"> LD Top Feeder Tray Rear Left Guide Front Rail On Sensor   센서가 감지되지 않았습니다.</t>
  </si>
  <si>
    <t xml:space="preserve"> LD Top Feeder Tray Front Right Guide Rear Rail Off Sensor   센서가 감지되지 않았습니다.</t>
  </si>
  <si>
    <t xml:space="preserve"> LD Top Feeder Tray Front Right Guide Rear Rail On Sensor   센서가 감지되지 않았습니다.</t>
  </si>
  <si>
    <t xml:space="preserve"> LD Top Feeder Tray Front Right Guide Front Rail Off Sensor   센서가 감지되지 않았습니다.</t>
  </si>
  <si>
    <t xml:space="preserve"> LD Top Feeder Tray Front Right Guide Front Rail On Sensor   센서가 감지되지 않았습니다.</t>
  </si>
  <si>
    <t xml:space="preserve"> LD Top Feeder Tray Front Left Guide Rear Rail Off Sensor   센서가 감지되지 않았습니다.</t>
  </si>
  <si>
    <t xml:space="preserve"> LD Top Feeder Tray Front Left Guide Rear Rail On Sensor   센서가 감지되지 않았습니다.</t>
  </si>
  <si>
    <t xml:space="preserve"> LD Top Feeder Tray Front Left Guide Front Rail Off Sensor   센서가 감지되지 않았습니다.</t>
  </si>
  <si>
    <t xml:space="preserve"> LD Top Feeder Tray Front Left Guide Front Rail On Sensor   센서가 감지되지 않았습니다.</t>
  </si>
  <si>
    <t xml:space="preserve"> LD Top Feeder Gripper Down Sensor   센서가 감지되지 않았습니다.</t>
  </si>
  <si>
    <t xml:space="preserve"> LD Top Feeder Gripper Up Sensor   센서가 감지되지 않았습니다.</t>
  </si>
  <si>
    <t xml:space="preserve"> LD Top Feeder Tray Rear Right Guide Unlock Sensor   센서가 감지되지 않았습니다.</t>
  </si>
  <si>
    <t xml:space="preserve"> LD Top Feeder Tray Rear Right Guide Lock Sensor   센서가 감지되지 않았습니다.</t>
  </si>
  <si>
    <t xml:space="preserve"> LD Top Feeder Tray Rear Left Guide Unlock Sensor   센서가 감지되지 않았습니다.</t>
  </si>
  <si>
    <t xml:space="preserve"> LD Top Feeder Tray Rear Left Guide Lock Sensor   센서가 감지되지 않았습니다.</t>
  </si>
  <si>
    <t xml:space="preserve"> LD Top Feeder Tray Front Right Guide Unlock Sensor   센서가 감지되지 않았습니다.</t>
  </si>
  <si>
    <t xml:space="preserve"> LD Top Feeder Tray Front Right Guide Lock Sensor   센서가 감지되지 않았습니다.</t>
  </si>
  <si>
    <t xml:space="preserve"> LD Top Feeder Tray Front Left Guide Unlock Sensor   센서가 감지되지 않았습니다.</t>
  </si>
  <si>
    <t xml:space="preserve"> LD Top Feeder Tray Front Left Guide Lock Sensor   센서가 감지되지 않았습니다.</t>
  </si>
  <si>
    <t xml:space="preserve"> LD Bottom Feeder Rear Right Gripper Down Sensor   센서가 감지되었습니다.</t>
  </si>
  <si>
    <t xml:space="preserve"> LD Bottom Feeder Rear Right Gripper Up Sensor   센서가 감지되었습니다.</t>
  </si>
  <si>
    <t xml:space="preserve"> LD Bottom Feeder Rear Left Gripper Down Sensor   센서가 감지되었습니다.</t>
  </si>
  <si>
    <t xml:space="preserve"> LD Bottom Feeder Rear Left Gripper Up Sensor   센서가 감지되었습니다.</t>
  </si>
  <si>
    <t xml:space="preserve"> LD Bottom Feeder Front Right Gripper Down Sensor   센서가 감지되었습니다.</t>
  </si>
  <si>
    <t xml:space="preserve"> LD Bottom Feeder Front Right Gripper Up Sensor   센서가 감지되었습니다.</t>
  </si>
  <si>
    <t xml:space="preserve"> LD Bottom Feeder Front Left Gripper Down Sensor   센서가 감지되었습니다.</t>
  </si>
  <si>
    <t xml:space="preserve"> LD Bottom Feeder Front Left Gripper Up Sensor   센서가 감지되었습니다.</t>
  </si>
  <si>
    <t xml:space="preserve"> LD Tray Lift Raer Tray Rear Side Unlock Sensor   센서가 감지되었습니다.</t>
  </si>
  <si>
    <t xml:space="preserve"> LD Tray Lift Rear Tray Rear Side Lock Sensor   센서가 감지되었습니다.</t>
  </si>
  <si>
    <t xml:space="preserve"> LD Tray Lift Rear Tray Front Side Unlock Sensor   센서가 감지되었습니다.</t>
  </si>
  <si>
    <t xml:space="preserve"> LD Tray Lift Rear Tray Front Side Lock Sensor   센서가 감지되었습니다.</t>
  </si>
  <si>
    <t xml:space="preserve"> LD Tray Lift Rear Down Sensor   센서가 감지되었습니다.</t>
  </si>
  <si>
    <t xml:space="preserve"> LD Tray Lift Rear Up Sensor   센서가 감지되었습니다.</t>
  </si>
  <si>
    <t xml:space="preserve"> LD Tray Lift Rear Bottom Check   센서가 감지되었습니다.</t>
  </si>
  <si>
    <t xml:space="preserve"> LD Tray Lift Rear Top Check   센서가 감지되었습니다.</t>
  </si>
  <si>
    <t xml:space="preserve"> LD Tray Lift Front Tray Rear Side Unlock Sensor   센서가 감지되었습니다.</t>
  </si>
  <si>
    <t xml:space="preserve"> LD Tray Lift Front Tray Rear Side Lock Sensor   센서가 감지되었습니다.</t>
  </si>
  <si>
    <t xml:space="preserve"> LD Tray Lift Front Tray Front Side Unlock Sensor   센서가 감지되었습니다.</t>
  </si>
  <si>
    <t xml:space="preserve"> LD Tray Lift Front Tray Front Side Lock Sensor   센서가 감지되었습니다.</t>
  </si>
  <si>
    <t xml:space="preserve"> LD Tray Lift Front Down Sensor   센서가 감지되었습니다.</t>
  </si>
  <si>
    <t xml:space="preserve"> LD Tray Lift Front Up Sensor   센서가 감지되었습니다.</t>
  </si>
  <si>
    <t xml:space="preserve"> LD Tray Lift Front Bottom Check   센서가 감지되었습니다.</t>
  </si>
  <si>
    <t xml:space="preserve"> LD Tray Lift Front Top Check   센서가 감지되었습니다.</t>
  </si>
  <si>
    <t xml:space="preserve"> LD Top Feeder Tray Rear Right Guide Rear Rail Off Sensor   센서가 감지되었습니다.</t>
  </si>
  <si>
    <t xml:space="preserve"> LD Top Feeder Tray Rear Right Guide Rear Rail On Sensor   센서가 감지되었습니다.</t>
  </si>
  <si>
    <t xml:space="preserve"> LD Top Feeder Tray Rear Right Guide Front Rail Off Sensor   센서가 감지되었습니다.</t>
  </si>
  <si>
    <t xml:space="preserve"> LD Top Feeder Tray Rear Right Guide Front Rail On Sensor   센서가 감지되었습니다.</t>
  </si>
  <si>
    <t xml:space="preserve"> LD Top Feeder Tray Rear Left Guide Rear Rail Off Sensor   센서가 감지되었습니다.</t>
  </si>
  <si>
    <t xml:space="preserve"> LD Top Feeder Tray Rear Left Guide Rear Rail On Sensor   센서가 감지되었습니다.</t>
  </si>
  <si>
    <t xml:space="preserve"> LD Top Feeder Tray Rear Left Guide Front Rail Off Sensor   센서가 감지되었습니다.</t>
  </si>
  <si>
    <t xml:space="preserve"> LD Top Feeder Tray Rear Left Guide Front Rail On Sensor   센서가 감지되었습니다.</t>
  </si>
  <si>
    <t xml:space="preserve"> LD Top Feeder Tray Front Right Guide Rear Rail Off Sensor   센서가 감지되었습니다.</t>
  </si>
  <si>
    <t xml:space="preserve"> LD Top Feeder Tray Front Right Guide Rear Rail On Sensor   센서가 감지되었습니다.</t>
  </si>
  <si>
    <t xml:space="preserve"> LD Top Feeder Tray Front Right Guide Front Rail Off Sensor   센서가 감지되었습니다.</t>
  </si>
  <si>
    <t xml:space="preserve"> LD Top Feeder Tray Front Right Guide Front Rail On Sensor   센서가 감지되었습니다.</t>
  </si>
  <si>
    <t xml:space="preserve"> LD Top Feeder Tray Front Left Guide Rear Rail Off Sensor   센서가 감지되었습니다.</t>
  </si>
  <si>
    <t xml:space="preserve"> LD Top Feeder Tray Front Left Guide Rear Rail On Sensor   센서가 감지되었습니다.</t>
  </si>
  <si>
    <t xml:space="preserve"> LD Top Feeder Tray Front Left Guide Front Rail Off Sensor   센서가 감지되었습니다.</t>
  </si>
  <si>
    <t xml:space="preserve"> LD Top Feeder Tray Front Left Guide Front Rail On Sensor   센서가 감지되었습니다.</t>
  </si>
  <si>
    <t xml:space="preserve"> LD Top Feeder Gripper Down Sensor   센서가 감지되었습니다.</t>
  </si>
  <si>
    <t xml:space="preserve"> LD Top Feeder Gripper Up Sensor   센서가 감지되었습니다.</t>
  </si>
  <si>
    <t xml:space="preserve"> LD Top Feeder Tray Rear Right Guide Unlock Sensor   센서가 감지되었습니다.</t>
  </si>
  <si>
    <t xml:space="preserve"> LD Top Feeder Tray Rear Right Guide Lock Sensor   센서가 감지되었습니다.</t>
  </si>
  <si>
    <t xml:space="preserve"> LD Top Feeder Tray Rear Left Guide Unlock Sensor   센서가 감지되었습니다.</t>
  </si>
  <si>
    <t xml:space="preserve"> LD Top Feeder Tray Rear Left Guide Lock Sensor   센서가 감지되었습니다.</t>
  </si>
  <si>
    <t xml:space="preserve"> LD Top Feeder Tray Front Right Guide Unlock Sensor   센서가 감지되었습니다.</t>
  </si>
  <si>
    <t xml:space="preserve"> LD Top Feeder Tray Front Right Guide Lock Sensor   센서가 감지되었습니다.</t>
  </si>
  <si>
    <t xml:space="preserve"> LD Top Feeder Tray Front Left Guide Unlock Sensor   센서가 감지되었습니다.</t>
  </si>
  <si>
    <t xml:space="preserve"> LD Top Feeder Tray Front Left Guide Lock Sensor   센서가 감지되었습니다.</t>
  </si>
  <si>
    <t>[LOAD_FLOW]</t>
  </si>
  <si>
    <t xml:space="preserve"> LD Tray Flow LPCAMM Close Sol 동작 시 동작 완료 센서 비교 시간을 초과하였습니다.</t>
  </si>
  <si>
    <t xml:space="preserve"> Rear LD Middle Feeder Docking Off  Sol  동작이 실패 하였습니다.</t>
  </si>
  <si>
    <t xml:space="preserve"> Front LD Feeder Docking Off Sol  동작이 실패 하였습니다.</t>
  </si>
  <si>
    <t xml:space="preserve"> LD Middle Feeder Tray Side Unlock Sol  동작이 실패 하였습니다.</t>
  </si>
  <si>
    <t xml:space="preserve"> LD Middle Feeder Rail Down Soll  동작이 실패 하였습니다.</t>
  </si>
  <si>
    <t xml:space="preserve"> LD Middle Feeder Gripper Backward Sol    동작이 실패 하였습니다.</t>
  </si>
  <si>
    <t xml:space="preserve"> LD Middle Feeder Gripper Down Sol  동작이 실패 하였습니다.</t>
  </si>
  <si>
    <t xml:space="preserve"> LD Tray Flow LPCAMM Close Sol  동작이 실패 하였습니다.</t>
  </si>
  <si>
    <t xml:space="preserve"> LD Tray Flow Pitch Change Down Sol  동작이 실패 하였습니다.</t>
  </si>
  <si>
    <t xml:space="preserve"> LD Tray Flow Rear Pitch Change Close Sol(S-Dimm)  동작이 실패 하였습니다.</t>
  </si>
  <si>
    <t xml:space="preserve"> LD Tray Flow Front Pitch Change Close Sol(S-Dimm)  동작이 실패 하였습니다.</t>
  </si>
  <si>
    <t xml:space="preserve"> LD Tray Flow Tray Guide Roller Off Sol  동작이 실패 하였습니다.</t>
  </si>
  <si>
    <t xml:space="preserve"> LD Tray Flow Preciser Down Sol  동작이 실패 하였습니다.</t>
  </si>
  <si>
    <t xml:space="preserve"> Rear LD Middle Feeder Docking On Sol  동작이 실패 하였습니다.</t>
  </si>
  <si>
    <t xml:space="preserve"> Front LD Feeder Docking On Sol  동작이 실패 하였습니다.</t>
  </si>
  <si>
    <t xml:space="preserve"> LD Middle Feeder Tray Side Lock Sol  동작이 실패 하였습니다.</t>
  </si>
  <si>
    <t xml:space="preserve"> LD Middle Feeder Rail Up Sol  동작이 실패 하였습니다.</t>
  </si>
  <si>
    <t xml:space="preserve"> LD Middle Feeder Gripper Forward Sol    동작이 실패 하였습니다.</t>
  </si>
  <si>
    <t xml:space="preserve"> LD Middle Feeder Gripper Up Sol  동작이 실패 하였습니다.</t>
  </si>
  <si>
    <t xml:space="preserve"> LD Tray Flow LPCAMM Open Sol  동작이 실패 하였습니다.</t>
  </si>
  <si>
    <t xml:space="preserve"> LD Tray Flow Pitch Change Up Sol  동작이 실패 하였습니다.</t>
  </si>
  <si>
    <t xml:space="preserve"> LD Tray Flow Rear Pitch Change Open Sol(R-Dimm)  동작이 실패 하였습니다.</t>
  </si>
  <si>
    <t xml:space="preserve"> LD Tray Flow Front Pitch Change Open Sol(R-Dimm)  동작이 실패 하였습니다.</t>
  </si>
  <si>
    <t xml:space="preserve"> LD Tray Flow Tray Guide Roller On Sol  동작이 실패 하였습니다.</t>
  </si>
  <si>
    <t xml:space="preserve"> LD Tray Flow Preciser Up Sol  동작이 실패 하였습니다.</t>
  </si>
  <si>
    <t xml:space="preserve"> LD Middle Feeder Rear R-DIMM Rear Check Sensor  센서가 감지되지 않았습니다.</t>
  </si>
  <si>
    <t xml:space="preserve"> LD Middle Feeder Rear S-DIMM Rear Check Sensor  센서가 감지되지 않았습니다.</t>
  </si>
  <si>
    <t xml:space="preserve"> LD Middle Feeder Rear S-DIMM Front Check Sensor  센서가 감지되지 않았습니다.</t>
  </si>
  <si>
    <t xml:space="preserve"> LD Middle Feeder Rear R-DIMM Front Check Sensor  센서가 감지되지 않았습니다.</t>
  </si>
  <si>
    <t xml:space="preserve"> LD Middle Feeder Front R-DIMM Rear Check Sensor  센서가 감지되지 않았습니다.</t>
  </si>
  <si>
    <t xml:space="preserve"> LD Middle Feeder Front S-DIMM Rear Check Sensor  센서가 감지되지 않았습니다.</t>
  </si>
  <si>
    <t xml:space="preserve"> LD Middle Feeder Front S-DIMM Front Check Sensor  센서가 감지되지 않았습니다.</t>
  </si>
  <si>
    <t xml:space="preserve"> LD Middle Feeder Front R-DIMM Front Check Sensor  센서가 감지되지 않았습니다.</t>
  </si>
  <si>
    <t xml:space="preserve"> LD Middle Feeder Rail Down Sensor   센서가 감지되지 않았습니다.</t>
  </si>
  <si>
    <t xml:space="preserve"> LD Middle Feeder Rail Up Sensor    센서가 감지되지 않았습니다.</t>
  </si>
  <si>
    <t xml:space="preserve"> LD Middle Feeder Gripper Backward Sensor    센서가 감지되지 않았습니다.</t>
  </si>
  <si>
    <t xml:space="preserve"> LD Middle Feeder Gripper Forward Sensor    센서가 감지되지 않았습니다.</t>
  </si>
  <si>
    <t xml:space="preserve"> LD Middle Feeder Tray L Side Unlock Sensor  센서가 감지되지 않았습니다.</t>
  </si>
  <si>
    <t xml:space="preserve"> LD Middle Feeder Tray L Side Lock Sensor  센서가 감지되지 않았습니다.</t>
  </si>
  <si>
    <t xml:space="preserve"> LD Middle Feeder Gripper Down Sensor    센서가 감지되지 않았습니다.</t>
  </si>
  <si>
    <t xml:space="preserve"> LD Middle Feeder Gripper UP Sensor    센서가 감지되지 않았습니다.</t>
  </si>
  <si>
    <t xml:space="preserve"> LD Middle Feeder Rear Tray Check   센서가 감지되지 않았습니다.</t>
  </si>
  <si>
    <t xml:space="preserve"> LD Middle Feeder Front Tray Check    센서가 감지되지 않았습니다.</t>
  </si>
  <si>
    <t xml:space="preserve"> Rear LD Middle Feeder Docking Off Sensor   센서가 감지되지 않았습니다.</t>
  </si>
  <si>
    <t xml:space="preserve"> Rear LD Middle Feeder Docking On Sensor   센서가 감지되지 않았습니다.</t>
  </si>
  <si>
    <t xml:space="preserve"> LOADER MIDDLE FEEDER DOCKING CHECK  센서가 감지되지 않았습니다.</t>
  </si>
  <si>
    <t xml:space="preserve"> LD Tray Flow Rear Right Pitch Change Down Sensor   센서가 감지되지 않았습니다.</t>
  </si>
  <si>
    <t xml:space="preserve"> LD Tray Flow Rear Right Pitch Change Up Sensor   센서가 감지되지 않았습니다.</t>
  </si>
  <si>
    <t xml:space="preserve"> LD Tray Flow Rear Left Pitch Change Down Sensor   센서가 감지되지 않았습니다.</t>
  </si>
  <si>
    <t xml:space="preserve"> LD Tray Flow Rear Left Pitch Change Up Sensor   센서가 감지되지 않았습니다.</t>
  </si>
  <si>
    <t xml:space="preserve"> LD Tray Flow Front Right Pitch Change Down Sensor   센서가 감지되지 않았습니다.</t>
  </si>
  <si>
    <t xml:space="preserve"> LD Tray Flow Front Right Pitch Change Up Sensor   센서가 감지되지 않았습니다.</t>
  </si>
  <si>
    <t xml:space="preserve"> LD Tray Flow Front Left Pitch Change Down Sensor   센서가 감지되지 않았습니다.</t>
  </si>
  <si>
    <t xml:space="preserve"> LD Tray Flow Front Left Pitch Change Up Sensor   센서가 감지되지 않았습니다.</t>
  </si>
  <si>
    <t xml:space="preserve"> LD Tray Flow Right Preciser Down Sensor   센서가 감지되지 않았습니다.</t>
  </si>
  <si>
    <t xml:space="preserve"> LD Tray Flow Right Preciser Up Sensor   센서가 감지되지 않았습니다.</t>
  </si>
  <si>
    <t xml:space="preserve"> LD Tray Flow Left Preciser Down Sensor   센서가 감지되지 않았습니다.</t>
  </si>
  <si>
    <t xml:space="preserve"> LD Tray Flow Left Preciser Up Sensor   센서가 감지되지 않았습니다.</t>
  </si>
  <si>
    <t xml:space="preserve"> LD RIGHT LP/R.SO DIMM Chnage Sensor  센서가 감지되지 않았습니다.</t>
  </si>
  <si>
    <t xml:space="preserve"> LD LEFT LP/R.SO DIMM Chnage Sensor  센서가 감지되지 않았습니다.</t>
  </si>
  <si>
    <t xml:space="preserve"> LD BOTTOM LP/R.SO DIMM Chnage Sensor  센서가 감지되지 않았습니다.</t>
  </si>
  <si>
    <t xml:space="preserve"> LD TOP LP/R.SO DIMM Chnage Sensor  센서가 감지되지 않았습니다.</t>
  </si>
  <si>
    <t xml:space="preserve"> LD Tray Flow Rear Right Pitch Change Close Sensor(S-Dimm)  센서가 감지되지 않았습니다.</t>
  </si>
  <si>
    <t xml:space="preserve"> LD Tray Flow Rear Right Pitch Change Open Sensor(R-Dimm)  센서가 감지되지 않았습니다.</t>
  </si>
  <si>
    <t xml:space="preserve"> LD Tray Flow Rear Left Pitch Change Close Sensor(S-Dimm)  센서가 감지되지 않았습니다.</t>
  </si>
  <si>
    <t xml:space="preserve"> LD Tray Flow Rear Left Pitch Change Open Sensor(R-Dimm)  센서가 감지되지 않았습니다.</t>
  </si>
  <si>
    <t xml:space="preserve"> LD Tray Flow Front Right Pitch Change Close Sensor(S-Dimm)  센서가 감지되지 않았습니다.</t>
  </si>
  <si>
    <t xml:space="preserve"> LD Tray Flow Front Right Pitch Change Open Sensor(R-Dimm)  센서가 감지되지 않았습니다.</t>
  </si>
  <si>
    <t xml:space="preserve"> LD Tray Flow Front Left Pitch Change Close Sensor(S-Dimm)  센서가 감지되지 않았습니다.</t>
  </si>
  <si>
    <t xml:space="preserve"> LD Tray Flow Front Left Pitch Change Open Sensor(R-Dimm)  센서가 감지되지 않았습니다.</t>
  </si>
  <si>
    <t xml:space="preserve"> LD Tray Flow Rear Right Tray Guide Roller Off Sensor  센서가 감지되지 않았습니다.</t>
  </si>
  <si>
    <t xml:space="preserve"> LD Tray Flow Rear Right Tray Guide Roller On Sensor  센서가 감지되지 않았습니다.</t>
  </si>
  <si>
    <t xml:space="preserve"> LD Tray Flow Front Right Tray Guide Roller Off Sensor  센서가 감지되지 않았습니다.</t>
  </si>
  <si>
    <t xml:space="preserve"> LD Tray Flow Front Right Tray Guide Roller On Sensor  센서가 감지되지 않았습니다.</t>
  </si>
  <si>
    <t xml:space="preserve"> LD  Tray Flow Right LPCAMM Close Sensor  센서가 감지되지 않았습니다.</t>
  </si>
  <si>
    <t xml:space="preserve"> LD  Tray Flow Right LPCAMM Open Sensor  센서가 감지되지 않았습니다.</t>
  </si>
  <si>
    <t xml:space="preserve"> LD Tray Flow Rear Preciser Dimm Reverse Check  센서가 감지되지 않았습니다.</t>
  </si>
  <si>
    <t xml:space="preserve"> LD Tray Flow Font Preciser Dimm Reverse Check  센서가 감지되지 않았습니다.</t>
  </si>
  <si>
    <t xml:space="preserve"> LD MIDDLE FEEDER DOWN TRAY CHECK SENSOR  센서가 감지되지 않았습니다.</t>
  </si>
  <si>
    <t xml:space="preserve"> LD MIDDLE FEEDER UP TRAY CHECK SENSOR  센서가 감지되지 않았습니다.</t>
  </si>
  <si>
    <t xml:space="preserve"> LD Tray Flow Rear Left Tray Guide Roller Off Sensor  센서가 감지되지 않았습니다.</t>
  </si>
  <si>
    <t xml:space="preserve"> LD Tray Flow Rear Left Tray Guide Roller On Sensor  센서가 감지되지 않았습니다.</t>
  </si>
  <si>
    <t xml:space="preserve"> LD Tray Flow Front Left Tray Guide Roller Off Sensor  센서가 감지되지 않았습니다.</t>
  </si>
  <si>
    <t xml:space="preserve"> LD Tray Flow Front Left Tray Guide Roller On Sensor  센서가 감지되지 않았습니다.</t>
  </si>
  <si>
    <t xml:space="preserve"> LD Tray Flow Left LPCAMM Close Sensor   센서가 감지되지 않았습니다.</t>
  </si>
  <si>
    <t xml:space="preserve"> LD Tray Flow Left LPCAMM Open Sensor   센서가 감지되지 않았습니다.</t>
  </si>
  <si>
    <t xml:space="preserve"> LD Tray Flow Bottom T-Tray Check   센서가 감지되지 않았습니다.</t>
  </si>
  <si>
    <t xml:space="preserve"> LD Tray Flow Top T-Tray Check   센서가 감지되지 않았습니다.</t>
  </si>
  <si>
    <t xml:space="preserve"> Front LD Middle Feeder Docking Off Sensor   센서가 감지되지 않았습니다.</t>
  </si>
  <si>
    <t xml:space="preserve"> Front LD Middle Feeder Docking On Sensor   센서가 감지되지 않았습니다.</t>
  </si>
  <si>
    <t xml:space="preserve"> LD Middle Feeder Rear R-DIMM Rear Check Sensor  센서가 감지되었습니다.</t>
  </si>
  <si>
    <t xml:space="preserve"> LD Middle Feeder Rear S-DIMM Rear Check Sensor  센서가 감지되었습니다.</t>
  </si>
  <si>
    <t xml:space="preserve"> LD Middle Feeder Rear S-DIMM Front Check Sensor  센서가 감지되었습니다.</t>
  </si>
  <si>
    <t xml:space="preserve"> LD Middle Feeder Rear R-DIMM Front Check Sensor  센서가 감지되었습니다.</t>
  </si>
  <si>
    <t xml:space="preserve"> LD Middle Feeder Front R-DIMM Rear Check Sensor  센서가 감지되었습니다.</t>
  </si>
  <si>
    <t xml:space="preserve"> LD Middle Feeder Front S-DIMM Rear Check Sensor  센서가 감지되었습니다.</t>
  </si>
  <si>
    <t xml:space="preserve"> LD Middle Feeder Front S-DIMM Front Check Sensor  센서가 감지되었습니다.</t>
  </si>
  <si>
    <t xml:space="preserve"> LD Middle Feeder Front R-DIMM Front Check Sensor  센서가 감지되었습니다.</t>
  </si>
  <si>
    <t xml:space="preserve"> LD Middle Feeder Rail Down Sensor   센서가 감지되었습니다.</t>
  </si>
  <si>
    <t xml:space="preserve"> LD Middle Feeder Rail Up Sensor    센서가 감지되었습니다.</t>
  </si>
  <si>
    <t xml:space="preserve"> LD Middle Feeder Gripper Backward Sensor    센서가 감지되었습니다.</t>
  </si>
  <si>
    <t xml:space="preserve"> LD Middle Feeder Gripper Forward Sensor    센서가 감지되었습니다.</t>
  </si>
  <si>
    <t xml:space="preserve"> LD Middle Feeder Tray L Side Unlock Sensor  센서가 감지되었습니다.</t>
  </si>
  <si>
    <t xml:space="preserve"> LD Middle Feeder Tray L Side Lock Sensor  센서가 감지되었습니다.</t>
  </si>
  <si>
    <t xml:space="preserve"> LD Middle Feeder Gripper Down Sensor    센서가 감지되었습니다.</t>
  </si>
  <si>
    <t xml:space="preserve"> LD Middle Feeder Gripper UP Sensor    센서가 감지되었습니다.</t>
  </si>
  <si>
    <t xml:space="preserve"> LD Middle Feeder Rear Tray Check   센서가 감지되었습니다.</t>
  </si>
  <si>
    <t xml:space="preserve"> LD Middle Feeder Front Tray Check    센서가 감지되었습니다.</t>
  </si>
  <si>
    <t xml:space="preserve"> Rear LD Middle Feeder Docking Off Sensor   센서가 감지되었습니다.</t>
  </si>
  <si>
    <t xml:space="preserve"> Rear LD Middle Feeder Docking On Sensor   센서가 감지되었습니다.</t>
  </si>
  <si>
    <t xml:space="preserve"> LOADER MIDDLE FEEDER DOCKING CHECK  센서가 감지되었습니다.</t>
  </si>
  <si>
    <t xml:space="preserve"> LD Tray Flow Rear Right Pitch Change Down Sensor   센서가 감지되었습니다.</t>
  </si>
  <si>
    <t xml:space="preserve"> LD Tray Flow Rear Right Pitch Change Up Sensor   센서가 감지되었습니다.</t>
  </si>
  <si>
    <t xml:space="preserve"> LD Tray Flow Rear Left Pitch Change Down Sensor   센서가 감지되었습니다.</t>
  </si>
  <si>
    <t xml:space="preserve"> LD Tray Flow Rear Left Pitch Change Up Sensor   센서가 감지되었습니다.</t>
  </si>
  <si>
    <t xml:space="preserve"> LD Tray Flow Front Right Pitch Change Down Sensor   센서가 감지되었습니다.</t>
  </si>
  <si>
    <t xml:space="preserve"> LD Tray Flow Front Right Pitch Change Up Sensor   센서가 감지되었습니다.</t>
  </si>
  <si>
    <t xml:space="preserve"> LD Tray Flow Front Left Pitch Change Down Sensor   센서가 감지되었습니다.</t>
  </si>
  <si>
    <t xml:space="preserve"> LD Tray Flow Front Left Pitch Change Up Sensor   센서가 감지되었습니다.</t>
  </si>
  <si>
    <t xml:space="preserve"> LD Tray Flow Right Preciser Down Sensor   센서가 감지되었습니다.</t>
  </si>
  <si>
    <t xml:space="preserve"> LD Tray Flow Right Preciser Up Sensor   센서가 감지되었습니다.</t>
  </si>
  <si>
    <t xml:space="preserve"> LD Tray Flow Left Preciser Down Sensor   센서가 감지되었습니다.</t>
  </si>
  <si>
    <t xml:space="preserve"> LD Tray Flow Left Preciser Up Sensor   센서가 감지되었습니다.</t>
  </si>
  <si>
    <t xml:space="preserve"> LD RIGHT LP/R.SO DIMM Chnage Sensor  센서가 감지되었습니다.</t>
  </si>
  <si>
    <t xml:space="preserve"> LD LEFT LP/R.SO DIMM Chnage Sensor  센서가 감지되었습니다.</t>
  </si>
  <si>
    <t xml:space="preserve"> LD BOTTOM LP/R.SO DIMM Chnage Sensor  센서가 감지되었습니다.</t>
  </si>
  <si>
    <t xml:space="preserve"> LD TOP LP/R.SO DIMM Chnage Sensor  센서가 감지되었습니다.</t>
  </si>
  <si>
    <t xml:space="preserve"> LD Tray Flow Rear Right Pitch Change Close Sensor(S-Dimm)  센서가 감지되었습니다.</t>
  </si>
  <si>
    <t xml:space="preserve"> LD Tray Flow Rear Right Pitch Change Open Sensor(R-Dimm)  센서가 감지되었습니다.</t>
  </si>
  <si>
    <t xml:space="preserve"> LD Tray Flow Rear Left Pitch Change Close Sensor(S-Dimm)  센서가 감지되었습니다.</t>
  </si>
  <si>
    <t xml:space="preserve"> LD Tray Flow Rear Left Pitch Change Open Sensor(R-Dimm)  센서가 감지되었습니다.</t>
  </si>
  <si>
    <t xml:space="preserve"> LD Tray Flow Front Right Pitch Change Close Sensor(S-Dimm)  센서가 감지되었습니다.</t>
  </si>
  <si>
    <t xml:space="preserve"> LD Tray Flow Front Right Pitch Change Open Sensor(R-Dimm)  센서가 감지되었습니다.</t>
  </si>
  <si>
    <t xml:space="preserve"> LD Tray Flow Front Left Pitch Change Close Sensor(S-Dimm)  센서가 감지되었습니다.</t>
  </si>
  <si>
    <t xml:space="preserve"> LD Tray Flow Front Left Pitch Change Open Sensor(R-Dimm)  센서가 감지되었습니다.</t>
  </si>
  <si>
    <t xml:space="preserve"> LD Tray Flow Rear Right Tray Guide Roller Off Sensor  센서가 감지되었습니다.</t>
  </si>
  <si>
    <t xml:space="preserve"> LD Tray Flow Rear Right Tray Guide Roller On Sensor  센서가 감지되었습니다.</t>
  </si>
  <si>
    <t xml:space="preserve"> LD Tray Flow Front Right Tray Guide Roller Off Sensor  센서가 감지되었습니다.</t>
  </si>
  <si>
    <t xml:space="preserve"> LD Tray Flow Front Right Tray Guide Roller On Sensor  센서가 감지되었습니다.</t>
  </si>
  <si>
    <t xml:space="preserve"> LD  Tray Flow Right LPCAMM Close Sensor  센서가 감지되었습니다.</t>
  </si>
  <si>
    <t xml:space="preserve"> LD  Tray Flow Right LPCAMM Open Sensor  센서가 감지되었습니다.</t>
  </si>
  <si>
    <t xml:space="preserve"> LD Tray Flow Rear Preciser Dimm Reverse Check  센서가 감지되었습니다.</t>
  </si>
  <si>
    <t xml:space="preserve"> LD Tray Flow Font Preciser Dimm Reverse Check  센서가 감지되었습니다.</t>
  </si>
  <si>
    <t xml:space="preserve"> LD MIDDLE FEEDER DOWN TRAY CHECK SENSOR  센서가 감지되었습니다.</t>
  </si>
  <si>
    <t xml:space="preserve"> LD MIDDLE FEEDER UP TRAY CHECK SENSOR  센서가 감지되었습니다.</t>
  </si>
  <si>
    <t xml:space="preserve"> LD Tray Flow Rear Left Tray Guide Roller Off Sensor  센서가 감지되었습니다.</t>
  </si>
  <si>
    <t xml:space="preserve"> LD Tray Flow Rear Left Tray Guide Roller On Sensor  센서가 감지되었습니다.</t>
  </si>
  <si>
    <t xml:space="preserve"> LD Tray Flow Front Left Tray Guide Roller Off Sensor  센서가 감지되었습니다.</t>
  </si>
  <si>
    <t xml:space="preserve"> LD Tray Flow Front Left Tray Guide Roller On Sensor  센서가 감지되었습니다.</t>
  </si>
  <si>
    <t xml:space="preserve"> LD Tray Flow Left LPCAMM Close Sensor   센서가 감지되었습니다.</t>
  </si>
  <si>
    <t xml:space="preserve"> LD Tray Flow Left LPCAMM Open Sensor   센서가 감지되었습니다.</t>
  </si>
  <si>
    <t xml:space="preserve"> LD Tray Flow Bottom T-Tray Check   센서가 감지되었습니다.</t>
  </si>
  <si>
    <t xml:space="preserve"> LD Tray Flow Top T-Tray Check   센서가 감지되었습니다.</t>
  </si>
  <si>
    <t xml:space="preserve"> Front LD Middle Feeder Docking Off Sensor   센서가 감지되었습니다.</t>
  </si>
  <si>
    <t xml:space="preserve"> Front LD Middle Feeder Docking On Sensor   센서가 감지되었습니다.</t>
  </si>
  <si>
    <t xml:space="preserve"> Moving Buffer Backward Sol  동작이 실패 하였습니다.</t>
  </si>
  <si>
    <t>[SETPLATE_BUFFER]</t>
  </si>
  <si>
    <t xml:space="preserve"> In Buffer Tray Flow Backward Sol  동작이 실패 하였습니다.</t>
  </si>
  <si>
    <t xml:space="preserve"> Out Buffer Tray Flow Backward Sol  동작이 실패 하였습니다.</t>
  </si>
  <si>
    <t xml:space="preserve"> Out Buffer Tray Flow Down Sol  동작이 실패 하였습니다.</t>
  </si>
  <si>
    <t xml:space="preserve"> Buffer Tray Flow Stopper Off Sol  동작이 실패 하였습니다.</t>
  </si>
  <si>
    <t xml:space="preserve"> ULD#2 Set-Plate Tray Support Unlock Sol  동작이 실패 하였습니다.</t>
  </si>
  <si>
    <t xml:space="preserve"> ULD#2 Set-Plate Z-Axis Unlock Sol  동작이 실패 하였습니다.</t>
  </si>
  <si>
    <t xml:space="preserve"> ULD#1 Set-Plate Tray Support Unlock Sol  동작이 실패 하였습니다.</t>
  </si>
  <si>
    <t xml:space="preserve"> ULD#1 Set-Plate Z-Axis Unlock Sol  동작이 실패 하였습니다.</t>
  </si>
  <si>
    <t xml:space="preserve"> LD#2 Set-Plate Tray Support Unlock Sol  동작이 실패 하였습니다.</t>
  </si>
  <si>
    <t xml:space="preserve"> LD#2 Set-Plate Z-Axis Down Sol  동작이 실패 하였습니다.</t>
  </si>
  <si>
    <t xml:space="preserve"> LD#1 Set-Plate Tray Support Unlock Sol  동작이 실패 하였습니다.</t>
  </si>
  <si>
    <t xml:space="preserve"> LD#1 Set-Plate Z-Axis Down Sol  동작이 실패 하였습니다.</t>
  </si>
  <si>
    <t xml:space="preserve"> Moving Buffer Forward Sol  동작이 실패 하였습니다.</t>
  </si>
  <si>
    <t xml:space="preserve"> In Buffer Tray Flow Forward Sol  동작이 실패 하였습니다.</t>
  </si>
  <si>
    <t xml:space="preserve"> Out Buffer Tray Flow Forward Sol  동작이 실패 하였습니다.</t>
  </si>
  <si>
    <t xml:space="preserve"> Out Buffer Tray Flow Up Sol  동작이 실패 하였습니다.</t>
  </si>
  <si>
    <t xml:space="preserve"> Buffer Tray Flow Stopper On Sol  동작이 실패 하였습니다.</t>
  </si>
  <si>
    <t xml:space="preserve"> ULD#2 Set-Plate Tray Support Lock Sol  동작이 실패 하였습니다.</t>
  </si>
  <si>
    <t xml:space="preserve"> ULD#2 Set-Plate Z-Axis Lock Sol  동작이 실패 하였습니다.</t>
  </si>
  <si>
    <t xml:space="preserve"> ULD#1 Set-Plate Tray Support Lock Sol  동작이 실패 하였습니다.</t>
  </si>
  <si>
    <t xml:space="preserve"> ULD#1 Set-Plate Z-Axis Lock Sol  동작이 실패 하였습니다.</t>
  </si>
  <si>
    <t xml:space="preserve"> LD#2 Set-Plate Tray Support Lock Sol  동작이 실패 하였습니다.</t>
  </si>
  <si>
    <t xml:space="preserve"> LD#2 Set-Plate Z-Axis Up Sol  동작이 실패 하였습니다.</t>
  </si>
  <si>
    <t xml:space="preserve"> LD#1 Set-Plate Tray Support Lock Sol  동작이 실패 하였습니다.</t>
  </si>
  <si>
    <t xml:space="preserve"> LD#1 Set-Plate Z-Axis Up Sol  동작이 실패 하였습니다.</t>
  </si>
  <si>
    <t xml:space="preserve"> Reject Rear S/LP-Dimm zone LP-CAMM Front Check   센서가 감지되지 않았습니다.</t>
  </si>
  <si>
    <t xml:space="preserve"> Reject Rear S/LP-Dimm zone S-Dimm Front Check   센서가 감지되지 않았습니다.</t>
  </si>
  <si>
    <t xml:space="preserve"> Reject Rear S/LP-Dimm zone Existence Check   센서가 감지되지 않았습니다.</t>
  </si>
  <si>
    <t xml:space="preserve"> Reject Rear S/LP-Dimm zone S-Dimm Rear Check   센서가 감지되지 않았습니다.</t>
  </si>
  <si>
    <t xml:space="preserve"> Reject Rear S/LP-Dimm zone LP-CAMM Rear Check    센서가 감지되지 않았습니다.</t>
  </si>
  <si>
    <t xml:space="preserve"> Reject Front S/R-Dimm zone R-Dimm Front Check   센서가 감지되지 않았습니다.</t>
  </si>
  <si>
    <t xml:space="preserve"> Reject Front S/R-Dimm zone Existence Check   센서가 감지되지 않았습니다.</t>
  </si>
  <si>
    <t xml:space="preserve"> Reject Front S/R-Dimm zone R-Dimm Rear Check    센서가 감지되지 않았습니다.</t>
  </si>
  <si>
    <t xml:space="preserve"> ULD#2 Set-Plate Tray Support R Unlock Sensor   센서가 감지되지 않았습니다.</t>
  </si>
  <si>
    <t xml:space="preserve"> ULD#2 Set-Plate Tray Support R Lock Sensor   센서가 감지되지 않았습니다.</t>
  </si>
  <si>
    <t xml:space="preserve"> ULD#2 Set-Plate Tray Support L Unlock Sensor   센서가 감지되지 않았습니다.</t>
  </si>
  <si>
    <t xml:space="preserve"> ULD#2 Set-Plate Tray Support L Lock Sensor   센서가 감지되지 않았습니다.</t>
  </si>
  <si>
    <t xml:space="preserve"> ULD#2 Set-Plate Z-Axis Down Sensor   센서가 감지되지 않았습니다.</t>
  </si>
  <si>
    <t xml:space="preserve"> ULD#2 Set-Plate Z-Axis Up Sensor   센서가 감지되지 않았습니다.</t>
  </si>
  <si>
    <t xml:space="preserve"> ULD#2 Set-Plate Tray Existence Check   센서가 감지되지 않았습니다.</t>
  </si>
  <si>
    <t xml:space="preserve"> ULD#1 Set-Plate Tray Support R Unlock Sensor   센서가 감지되지 않았습니다.</t>
  </si>
  <si>
    <t xml:space="preserve"> ULD#1 Set-Plate Tray Support R Lock Sensor   센서가 감지되지 않았습니다.</t>
  </si>
  <si>
    <t xml:space="preserve"> ULD#1 Set-Plate Tray Support L Unlock Sensor   센서가 감지되지 않았습니다.</t>
  </si>
  <si>
    <t xml:space="preserve"> ULD#1 Set-Plate Tray Support L Lock Sensor   센서가 감지되지 않았습니다.</t>
  </si>
  <si>
    <t xml:space="preserve"> ULD#1 Set-Plate Z-Axis Down Sensor   센서가 감지되지 않았습니다.</t>
  </si>
  <si>
    <t xml:space="preserve"> ULD#1 Set-Plate Z-Axis Up Sensor   센서가 감지되지 않았습니다.</t>
  </si>
  <si>
    <t xml:space="preserve"> ULD#1 Set-Plate Tray Existence Check   센서가 감지되지 않았습니다.</t>
  </si>
  <si>
    <t xml:space="preserve"> LD#2 Set-Plate Tray Support R Unlock Sensor   센서가 감지되지 않았습니다.</t>
  </si>
  <si>
    <t xml:space="preserve"> LD#2 Set-Plate Tray Support R Lock Sensor   센서가 감지되지 않았습니다.</t>
  </si>
  <si>
    <t xml:space="preserve"> LD#2 Set-Plate Tray Support L Unlock Sensor   센서가 감지되지 않았습니다.</t>
  </si>
  <si>
    <t xml:space="preserve"> LD#2 Set-Plate Tray Support L Lock Sensor   센서가 감지되지 않았습니다.</t>
  </si>
  <si>
    <t xml:space="preserve"> LD#2 Set-Plate Z-Axis Down Sensor   센서가 감지되지 않았습니다.</t>
  </si>
  <si>
    <t xml:space="preserve"> LD#2 Set-Plate Z-Axis Up Sensor   센서가 감지되지 않았습니다.</t>
  </si>
  <si>
    <t xml:space="preserve"> LD#2 Set-Plate Tray Existence Check   센서가 감지되지 않았습니다.</t>
  </si>
  <si>
    <t xml:space="preserve"> LD#1 Set-Plate Tray Support R Unlock Sensor   센서가 감지되지 않았습니다.</t>
  </si>
  <si>
    <t xml:space="preserve"> LD#1 Set-Plate Tray Support R Lock Sensor   센서가 감지되지 않았습니다.</t>
  </si>
  <si>
    <t xml:space="preserve"> LD#1 Set-Plate Tray Support L Unlock Sensor   센서가 감지되지 않았습니다.</t>
  </si>
  <si>
    <t xml:space="preserve"> LD#1 Set-Plate Tray Support L Lock Sensor   센서가 감지되지 않았습니다.</t>
  </si>
  <si>
    <t xml:space="preserve"> LD#1 Set-Plate Z-Axis Down Sensor   센서가 감지되지 않았습니다.</t>
  </si>
  <si>
    <t xml:space="preserve"> LD#1 Set-Plate Z-Axis Up Sensor   센서가 감지되지 않았습니다.</t>
  </si>
  <si>
    <t xml:space="preserve"> LD#1 Set-Plate Tray Existence Check   센서가 감지되지 않았습니다.</t>
  </si>
  <si>
    <t xml:space="preserve"> ULD Load cell Cover Check   센서가 감지되지 않았습니다.</t>
  </si>
  <si>
    <t xml:space="preserve"> Fix Buffer Rear R-Dimm Front Check    센서가 감지되지 않았습니다.</t>
  </si>
  <si>
    <t xml:space="preserve"> Fix Buffer Rear S-Dimm/LP-CAMM Front Check    센서가 감지되지 않았습니다.</t>
  </si>
  <si>
    <t xml:space="preserve"> Fix Buffer Rear  S/R-Dimm zone Existence Check   센서가 감지되지 않았습니다.</t>
  </si>
  <si>
    <t xml:space="preserve"> Fix Buffer Rear S-Dimm/LP-CAMM Rear Check    센서가 감지되지 않았습니다.</t>
  </si>
  <si>
    <t xml:space="preserve"> Fix Buffer Rear R-Dimm Rear Check    센서가 감지되지 않았습니다.</t>
  </si>
  <si>
    <t xml:space="preserve"> Fix Buffer Front R-Dimm Front Check    센서가 감지되지 않았습니다.</t>
  </si>
  <si>
    <t xml:space="preserve"> Fix Buffer Front S-Dimm/LP-CAMM Front Check    센서가 감지되지 않았습니다.</t>
  </si>
  <si>
    <t xml:space="preserve"> Fix Buffer Front  S/R-Dimm zone Existence Check   센서가 감지되지 않았습니다.</t>
  </si>
  <si>
    <t xml:space="preserve"> Fix Buffer Front S-Dimm/LP-CAMM Rear Check    센서가 감지되지 않았습니다.</t>
  </si>
  <si>
    <t xml:space="preserve"> Fix Buffer Front R-Dimm Rear Check    센서가 감지되지 않았습니다.</t>
  </si>
  <si>
    <t xml:space="preserve"> Moving Buffer Rear R-Dimm Front Check    센서가 감지되지 않았습니다.</t>
  </si>
  <si>
    <t xml:space="preserve"> Moving Buffer Rear S-Dimm/LP-CAMM Front Check    센서가 감지되지 않았습니다.</t>
  </si>
  <si>
    <t xml:space="preserve"> Moving Buffer Rear  S/R-Dimm zone Existence Check   센서가 감지되지 않았습니다.</t>
  </si>
  <si>
    <t xml:space="preserve"> Moving Buffer Rear S-Dimm/LP-CAMM Rear Check    센서가 감지되지 않았습니다.</t>
  </si>
  <si>
    <t xml:space="preserve"> Moving Buffer Rear R-Dimm Rear Check    센서가 감지되지 않았습니다.</t>
  </si>
  <si>
    <t xml:space="preserve"> Moving Buffer Front R-Dimm Front Check    센서가 감지되지 않았습니다.</t>
  </si>
  <si>
    <t xml:space="preserve"> Moving Buffer Front S-Dimm/LP-CAMM Front Check    센서가 감지되지 않았습니다.</t>
  </si>
  <si>
    <t xml:space="preserve"> Moving Buffer Front  S/R-Dimm zone Existence Check   센서가 감지되지 않았습니다.</t>
  </si>
  <si>
    <t xml:space="preserve"> Moving Buffer Front S-Dimm/LP-CAMM Rear Check    센서가 감지되지 않았습니다.</t>
  </si>
  <si>
    <t xml:space="preserve"> Moving Buffer Front R-Dimm Rear Check    센서가 감지되지 않았습니다.</t>
  </si>
  <si>
    <t xml:space="preserve"> Moving Buffer Backward Sensor   센서가 감지되지 않았습니다.</t>
  </si>
  <si>
    <t xml:space="preserve"> Moving Buffer Forward Sensor   센서가 감지되지 않았습니다.</t>
  </si>
  <si>
    <t xml:space="preserve"> Out Buffer Tray Flow Down Sensor  센서가 감지되지 않았습니다.</t>
  </si>
  <si>
    <t xml:space="preserve"> Out Buffer Tray Flow Up Sensor  센서가 감지되지 않았습니다.</t>
  </si>
  <si>
    <t xml:space="preserve"> Out Buffer Tray Flow Backward Sensor  센서가 감지되지 않았습니다.</t>
  </si>
  <si>
    <t xml:space="preserve"> Out Buffer Tray Flow Forward Sensor  센서가 감지되지 않았습니다.</t>
  </si>
  <si>
    <t xml:space="preserve"> In Buffer Tray Flow Backward Sensor  센서가 감지되지 않았습니다.</t>
  </si>
  <si>
    <t xml:space="preserve"> In Buffer Tray Flow Forward Sensor  센서가 감지되지 않았습니다.</t>
  </si>
  <si>
    <t xml:space="preserve"> Buffer Tray Flow Rear Stopper Off Sensor  센서가 감지되지 않았습니다.</t>
  </si>
  <si>
    <t xml:space="preserve"> Buffer Tray Flow Rear Stopper On Sensor  센서가 감지되지 않았습니다.</t>
  </si>
  <si>
    <t xml:space="preserve"> Buffer Tray Flow Front Stopper Off Sensor  센서가 감지되지 않았습니다.</t>
  </si>
  <si>
    <t xml:space="preserve"> Buffer Tray Flow Front Stopper On Sensor  센서가 감지되지 않았습니다.</t>
  </si>
  <si>
    <t xml:space="preserve"> Buffer Tray Flow T-Tray Check   센서가 감지되지 않았습니다.</t>
  </si>
  <si>
    <t xml:space="preserve"> LD Load cell Cover Check   센서가 감지되지 않았습니다.</t>
  </si>
  <si>
    <t xml:space="preserve"> Reject Rear S/LP-Dimm zone LP-CAMM Front Check   센서가 감지되었습니다.</t>
  </si>
  <si>
    <t xml:space="preserve"> Reject Rear S/LP-Dimm zone S-Dimm Front Check   센서가 감지되었습니다.</t>
  </si>
  <si>
    <t xml:space="preserve"> Reject Rear S/LP-Dimm zone Existence Check   센서가 감지되었습니다.</t>
  </si>
  <si>
    <t xml:space="preserve"> Reject Rear S/LP-Dimm zone S-Dimm Rear Check   센서가 감지되었습니다.</t>
  </si>
  <si>
    <t xml:space="preserve"> Reject Rear S/LP-Dimm zone LP-CAMM Rear Check    센서가 감지되었습니다.</t>
  </si>
  <si>
    <t xml:space="preserve"> Reject Front S/R-Dimm zone R-Dimm Front Check   센서가 감지되었습니다.</t>
  </si>
  <si>
    <t xml:space="preserve"> Reject Front S/R-Dimm zone Existence Check   센서가 감지되었습니다.</t>
  </si>
  <si>
    <t xml:space="preserve"> Reject Front S/R-Dimm zone R-Dimm Rear Check    센서가 감지되었습니다.</t>
  </si>
  <si>
    <t xml:space="preserve"> ULD#2 Set-Plate Tray Support R Unlock Sensor   센서가 감지되었습니다.</t>
  </si>
  <si>
    <t xml:space="preserve"> ULD#2 Set-Plate Tray Support R Lock Sensor   센서가 감지되었습니다.</t>
  </si>
  <si>
    <t xml:space="preserve"> ULD#2 Set-Plate Tray Support L Unlock Sensor   센서가 감지되었습니다.</t>
  </si>
  <si>
    <t xml:space="preserve"> ULD#2 Set-Plate Tray Support L Lock Sensor   센서가 감지되었습니다.</t>
  </si>
  <si>
    <t xml:space="preserve"> ULD#2 Set-Plate Z-Axis Down Sensor   센서가 감지되었습니다.</t>
  </si>
  <si>
    <t xml:space="preserve"> ULD#2 Set-Plate Z-Axis Up Sensor   센서가 감지되었습니다.</t>
  </si>
  <si>
    <t xml:space="preserve"> ULD#2 Set-Plate Tray Existence Check   센서가 감지되었습니다.</t>
  </si>
  <si>
    <t xml:space="preserve"> ULD#1 Set-Plate Tray Support R Unlock Sensor   센서가 감지되었습니다.</t>
  </si>
  <si>
    <t xml:space="preserve"> ULD#1 Set-Plate Tray Support R Lock Sensor   센서가 감지되었습니다.</t>
  </si>
  <si>
    <t xml:space="preserve"> ULD#1 Set-Plate Tray Support L Unlock Sensor   센서가 감지되었습니다.</t>
  </si>
  <si>
    <t xml:space="preserve"> ULD#1 Set-Plate Tray Support L Lock Sensor   센서가 감지되었습니다.</t>
  </si>
  <si>
    <t xml:space="preserve"> ULD#1 Set-Plate Z-Axis Down Sensor   센서가 감지되었습니다.</t>
  </si>
  <si>
    <t xml:space="preserve"> ULD#1 Set-Plate Z-Axis Up Sensor   센서가 감지되었습니다.</t>
  </si>
  <si>
    <t xml:space="preserve"> ULD#1 Set-Plate Tray Existence Check   센서가 감지되었습니다.</t>
  </si>
  <si>
    <t xml:space="preserve"> LD#2 Set-Plate Tray Support R Unlock Sensor   센서가 감지되었습니다.</t>
  </si>
  <si>
    <t xml:space="preserve"> LD#2 Set-Plate Tray Support R Lock Sensor   센서가 감지되었습니다.</t>
  </si>
  <si>
    <t xml:space="preserve"> LD#2 Set-Plate Tray Support L Unlock Sensor   센서가 감지되었습니다.</t>
  </si>
  <si>
    <t xml:space="preserve"> LD#2 Set-Plate Tray Support L Lock Sensor   센서가 감지되었습니다.</t>
  </si>
  <si>
    <t xml:space="preserve"> LD#2 Set-Plate Z-Axis Down Sensor   센서가 감지되었습니다.</t>
  </si>
  <si>
    <t xml:space="preserve"> LD#2 Set-Plate Z-Axis Up Sensor   센서가 감지되었습니다.</t>
  </si>
  <si>
    <t xml:space="preserve"> LD#2 Set-Plate Tray Existence Check   센서가 감지되었습니다.</t>
  </si>
  <si>
    <t xml:space="preserve"> LD#1 Set-Plate Tray Support R Unlock Sensor   센서가 감지되었습니다.</t>
  </si>
  <si>
    <t xml:space="preserve"> LD#1 Set-Plate Tray Support R Lock Sensor   센서가 감지되었습니다.</t>
  </si>
  <si>
    <t xml:space="preserve"> LD#1 Set-Plate Tray Support L Unlock Sensor   센서가 감지되었습니다.</t>
  </si>
  <si>
    <t xml:space="preserve"> LD#1 Set-Plate Tray Support L Lock Sensor   센서가 감지되었습니다.</t>
  </si>
  <si>
    <t xml:space="preserve"> LD#1 Set-Plate Z-Axis Down Sensor   센서가 감지되었습니다.</t>
  </si>
  <si>
    <t xml:space="preserve"> LD#1 Set-Plate Z-Axis Up Sensor   센서가 감지되었습니다.</t>
  </si>
  <si>
    <t xml:space="preserve"> LD#1 Set-Plate Tray Existence Check   센서가 감지되었습니다.</t>
  </si>
  <si>
    <t xml:space="preserve"> ULD Load cell Cover Check   센서가 감지되었습니다.</t>
  </si>
  <si>
    <t xml:space="preserve"> Fix Buffer Rear R-Dimm Front Check    센서가 감지되었습니다.</t>
  </si>
  <si>
    <t xml:space="preserve"> Fix Buffer Rear S-Dimm/LP-CAMM Front Check    센서가 감지되었습니다.</t>
  </si>
  <si>
    <t xml:space="preserve"> Fix Buffer Rear  S/R-Dimm zone Existence Check   센서가 감지되었습니다.</t>
  </si>
  <si>
    <t xml:space="preserve"> Fix Buffer Rear S-Dimm/LP-CAMM Rear Check    센서가 감지되었습니다.</t>
  </si>
  <si>
    <t xml:space="preserve"> Fix Buffer Rear R-Dimm Rear Check    센서가 감지되었습니다.</t>
  </si>
  <si>
    <t xml:space="preserve"> Fix Buffer Front R-Dimm Front Check    센서가 감지되었습니다.</t>
  </si>
  <si>
    <t xml:space="preserve"> Fix Buffer Front S-Dimm/LP-CAMM Front Check    센서가 감지되었습니다.</t>
  </si>
  <si>
    <t xml:space="preserve"> Fix Buffer Front  S/R-Dimm zone Existence Check   센서가 감지되었습니다.</t>
  </si>
  <si>
    <t xml:space="preserve"> Fix Buffer Front S-Dimm/LP-CAMM Rear Check    센서가 감지되었습니다.</t>
  </si>
  <si>
    <t xml:space="preserve"> Fix Buffer Front R-Dimm Rear Check    센서가 감지되었습니다.</t>
  </si>
  <si>
    <t xml:space="preserve"> Moving Buffer Rear R-Dimm Front Check    센서가 감지되었습니다.</t>
  </si>
  <si>
    <t xml:space="preserve"> Moving Buffer Rear S-Dimm/LP-CAMM Front Check    센서가 감지되었습니다.</t>
  </si>
  <si>
    <t xml:space="preserve"> Moving Buffer Rear  S/R-Dimm zone Existence Check   센서가 감지되었습니다.</t>
  </si>
  <si>
    <t xml:space="preserve"> Moving Buffer Rear S-Dimm/LP-CAMM Rear Check    센서가 감지되었습니다.</t>
  </si>
  <si>
    <t xml:space="preserve"> Moving Buffer Rear R-Dimm Rear Check    센서가 감지되었습니다.</t>
  </si>
  <si>
    <t xml:space="preserve"> Moving Buffer Front R-Dimm Front Check    센서가 감지되었습니다.</t>
  </si>
  <si>
    <t xml:space="preserve"> Moving Buffer Front S-Dimm/LP-CAMM Front Check    센서가 감지되었습니다.</t>
  </si>
  <si>
    <t xml:space="preserve"> Moving Buffer Front  S/R-Dimm zone Existence Check   센서가 감지되었습니다.</t>
  </si>
  <si>
    <t xml:space="preserve"> Moving Buffer Front S-Dimm/LP-CAMM Rear Check    센서가 감지되었습니다.</t>
  </si>
  <si>
    <t xml:space="preserve"> Moving Buffer Front R-Dimm Rear Check    센서가 감지되었습니다.</t>
  </si>
  <si>
    <t xml:space="preserve"> Moving Buffer Backward Sensor   센서가 감지되었습니다.</t>
  </si>
  <si>
    <t xml:space="preserve"> Moving Buffer Forward Sensor   센서가 감지되었습니다.</t>
  </si>
  <si>
    <t xml:space="preserve"> Out Buffer Tray Flow Down Sensor  센서가 감지되었습니다.</t>
  </si>
  <si>
    <t xml:space="preserve"> Out Buffer Tray Flow Up Sensor  센서가 감지되었습니다.</t>
  </si>
  <si>
    <t xml:space="preserve"> Out Buffer Tray Flow Backward Sensor  센서가 감지되었습니다.</t>
  </si>
  <si>
    <t xml:space="preserve"> Out Buffer Tray Flow Forward Sensor  센서가 감지되었습니다.</t>
  </si>
  <si>
    <t xml:space="preserve"> In Buffer Tray Flow Backward Sensor  센서가 감지되었습니다.</t>
  </si>
  <si>
    <t xml:space="preserve"> In Buffer Tray Flow Forward Sensor  센서가 감지되었습니다.</t>
  </si>
  <si>
    <t xml:space="preserve"> Buffer Tray Flow Rear Stopper Off Sensor  센서가 감지되었습니다.</t>
  </si>
  <si>
    <t xml:space="preserve"> Buffer Tray Flow Rear Stopper On Sensor  센서가 감지되었습니다.</t>
  </si>
  <si>
    <t xml:space="preserve"> Buffer Tray Flow Front Stopper Off Sensor  센서가 감지되었습니다.</t>
  </si>
  <si>
    <t xml:space="preserve"> Buffer Tray Flow Front Stopper On Sensor  센서가 감지되었습니다.</t>
  </si>
  <si>
    <t xml:space="preserve"> Buffer Tray Flow T-Tray Check   센서가 감지되었습니다.</t>
  </si>
  <si>
    <t xml:space="preserve"> LD Load cell Cover Check   센서가 감지되었습니다.</t>
  </si>
  <si>
    <t xml:space="preserve"> Unload Barcode Position Setting 실패. </t>
  </si>
  <si>
    <t>[UNLOAD_HAND]</t>
  </si>
  <si>
    <t xml:space="preserve"> Vision 통신이 응답을 하지 않습니다. </t>
  </si>
  <si>
    <t xml:space="preserve"> LP CAMM Mask가 감지 되지 않았습니다.</t>
  </si>
  <si>
    <t xml:space="preserve"> LP CAMM Mask가 감지 되었습니다.</t>
  </si>
  <si>
    <t xml:space="preserve"> Vision recipe를 변경하지 못했습니다.</t>
  </si>
  <si>
    <t xml:space="preserve"> Tray Direction error. </t>
  </si>
  <si>
    <t xml:space="preserve"> Cylinder is not in safe position Up.</t>
  </si>
  <si>
    <t xml:space="preserve"> A Device on the Fix-Buffer has been detected by Insertion sensor.</t>
  </si>
  <si>
    <t xml:space="preserve"> A Device on the Mov-Buffer has been detected by Insertion sensor.</t>
  </si>
  <si>
    <t xml:space="preserve"> Hand Module is exist. Check the Exist Sensor.</t>
  </si>
  <si>
    <t xml:space="preserve"> Hand Module is not Exist. Check the Exist Sensor.</t>
  </si>
  <si>
    <t xml:space="preserve"> Hand Module information is different.</t>
  </si>
  <si>
    <t xml:space="preserve"> Unload Hand 에 Module 이 감지되었습니다.</t>
  </si>
  <si>
    <t xml:space="preserve"> 모듈 BCR 연결이 실패 하였습니다. </t>
  </si>
  <si>
    <t xml:space="preserve"> 모듈 BCR Trigger Mode 설정이 되지 않았습니다. </t>
  </si>
  <si>
    <t xml:space="preserve"> 모듈 바코드 사용 모드를 확인 해 주십시오.</t>
  </si>
  <si>
    <t xml:space="preserve"> 모듈 바코드 중복 발생했습니다. </t>
  </si>
  <si>
    <t xml:space="preserve"> 모듈 바코드 번호가 잘못되었습니다 (1 ~ C). </t>
  </si>
  <si>
    <t xml:space="preserve"> 모듈 바코드 번호가 설정 범위를 넘었습니다. </t>
  </si>
  <si>
    <t xml:space="preserve"> 모듈 바코드를 정상적으로 읽지 못하였습니다. </t>
  </si>
  <si>
    <t xml:space="preserve"> 모듈 바코드가 동작하지 않았습니다.</t>
  </si>
  <si>
    <t xml:space="preserve"> 모듈 바코드 통신이 응답을 하지 않습니다. </t>
  </si>
  <si>
    <t xml:space="preserve"> 바코드 길이가 규격에 맞지 않습니다. </t>
  </si>
  <si>
    <t xml:space="preserve"> Unloader Picker #8 Module R-Dimm Conversion  동작이 실패 하였습니다.</t>
  </si>
  <si>
    <t xml:space="preserve"> Unloader Picker #7 Module R-Dimm Conversion  동작이 실패 하였습니다.</t>
  </si>
  <si>
    <t xml:space="preserve"> Unloader Picker #6 Module R-Dimm Conversion  동작이 실패 하였습니다.</t>
  </si>
  <si>
    <t xml:space="preserve"> Unloader Picker #5 Module R-Dimm Conversion  동작이 실패 하였습니다.</t>
  </si>
  <si>
    <t xml:space="preserve"> Unloader Picker #4 Module R-Dimm Conversion  동작이 실패 하였습니다.</t>
  </si>
  <si>
    <t xml:space="preserve"> Unloader Picker #3 Module R-Dimm Conversion  동작이 실패 하였습니다.</t>
  </si>
  <si>
    <t xml:space="preserve"> Unloader Picker #2 Module R-Dimm Conversion  동작이 실패 하였습니다.</t>
  </si>
  <si>
    <t xml:space="preserve"> Unloader Picker #1 Module R-Dimm Conversion  동작이 실패 하였습니다.</t>
  </si>
  <si>
    <t xml:space="preserve"> Unloader Picker Module Unclamp Cylinder #8 Sol  동작이 실패 하였습니다.</t>
  </si>
  <si>
    <t xml:space="preserve"> Unloader Picker Module Unclamp Cylinder #7 Sol  동작이 실패 하였습니다.</t>
  </si>
  <si>
    <t xml:space="preserve"> Unloader Picker Module Unclamp Cylinder #6 Sol  동작이 실패 하였습니다.</t>
  </si>
  <si>
    <t xml:space="preserve"> Unloader Picker Module Unclamp Cylinder #5 Sol  동작이 실패 하였습니다.</t>
  </si>
  <si>
    <t xml:space="preserve"> Unloader Picker Module Unclamp Cylinder #4 Sol  동작이 실패 하였습니다.</t>
  </si>
  <si>
    <t xml:space="preserve"> Unloader Picker Module Unclamp Cylinder #3 Sol  동작이 실패 하였습니다.</t>
  </si>
  <si>
    <t xml:space="preserve"> Unloader Picker Module Unclamp Cylinder #2 Sol  동작이 실패 하였습니다.</t>
  </si>
  <si>
    <t xml:space="preserve"> Unloader Picker Module Unclamp Cylinder #1 Sol  동작이 실패 하였습니다.</t>
  </si>
  <si>
    <t xml:space="preserve"> Unload Picker Module Cylinder #8 Down Sol  동작이 실패 하였습니다.</t>
  </si>
  <si>
    <t xml:space="preserve"> Unload Picker Module Cylinder #7 Down Sol  동작이 실패 하였습니다.</t>
  </si>
  <si>
    <t xml:space="preserve"> Unload Picker Module Cylinder #6 Down Sol  동작이 실패 하였습니다.</t>
  </si>
  <si>
    <t xml:space="preserve"> Unload Picker Module Cylinder #5 Down Sol  동작이 실패 하였습니다.</t>
  </si>
  <si>
    <t xml:space="preserve"> Unload Picker Module Cylinder #4 Down Sol  동작이 실패 하였습니다.</t>
  </si>
  <si>
    <t xml:space="preserve"> Unload Picker Module Cylinder #3 Down Sol  동작이 실패 하였습니다.</t>
  </si>
  <si>
    <t xml:space="preserve"> Unload Picker Module Cylinder #2 Down Sol  동작이 실패 하였습니다.</t>
  </si>
  <si>
    <t xml:space="preserve"> Unload Picker Module Cylinder #1 Down Sol  동작이 실패 하였습니다.</t>
  </si>
  <si>
    <t xml:space="preserve"> Unloader Picker #8 Module S-Dimm Conversion  동작이 실패 하였습니다.</t>
  </si>
  <si>
    <t xml:space="preserve"> Unloader Picker #7 Module S-Dimm Conversion  동작이 실패 하였습니다.</t>
  </si>
  <si>
    <t xml:space="preserve"> Unloader Picker #6 Module S-Dimm Conversion  동작이 실패 하였습니다.</t>
  </si>
  <si>
    <t xml:space="preserve"> Unloader Picker #5 Module S-Dimm Conversion  동작이 실패 하였습니다.</t>
  </si>
  <si>
    <t xml:space="preserve"> Unloader Picker #4 Module S-Dimm Conversion  동작이 실패 하였습니다.</t>
  </si>
  <si>
    <t xml:space="preserve"> Unloader Picker #3 Module S-Dimm Conversion  동작이 실패 하였습니다.</t>
  </si>
  <si>
    <t xml:space="preserve"> Unloader Picker #2 Module S-Dimm Conversion  동작이 실패 하였습니다.</t>
  </si>
  <si>
    <t xml:space="preserve"> Unloader Picker #1 Module S-Dimm Conversion  동작이 실패 하였습니다.</t>
  </si>
  <si>
    <t xml:space="preserve"> Unloader Picker Module Clamp Cylinder #8 Sol  동작이 실패 하였습니다.</t>
  </si>
  <si>
    <t xml:space="preserve"> Unloader Picker Module Clamp Cylinder #7 Sol  동작이 실패 하였습니다.</t>
  </si>
  <si>
    <t xml:space="preserve"> Unloader Picker Module Clamp Cylinder #6 Sol  동작이 실패 하였습니다.</t>
  </si>
  <si>
    <t xml:space="preserve"> Unloader Picker Module Clamp Cylinder #5 Sol  동작이 실패 하였습니다.</t>
  </si>
  <si>
    <t xml:space="preserve"> Unloader Picker Module Clamp Cylinder #4 Sol  동작이 실패 하였습니다.</t>
  </si>
  <si>
    <t xml:space="preserve"> Unloader Picker Module Clamp Cylinder #3 Sol  동작이 실패 하였습니다.</t>
  </si>
  <si>
    <t xml:space="preserve"> Unloader Picker Module Clamp Cylinder #2 Sol  동작이 실패 하였습니다.</t>
  </si>
  <si>
    <t xml:space="preserve"> Unloader Picker Module Clamp Cylinder #1 Sol  동작이 실패 하였습니다.</t>
  </si>
  <si>
    <t xml:space="preserve"> Unload Picker Module Cylinder #8 Up Sol  동작이 실패 하였습니다.</t>
  </si>
  <si>
    <t xml:space="preserve"> Unload Picker Module Cylinder #7 Up Sol  동작이 실패 하였습니다.</t>
  </si>
  <si>
    <t xml:space="preserve"> Unload Picker Module Cylinder #6 Up Sol  동작이 실패 하였습니다.</t>
  </si>
  <si>
    <t xml:space="preserve"> Unload Picker Module Cylinder #5 Up Sol  동작이 실패 하였습니다.</t>
  </si>
  <si>
    <t xml:space="preserve"> Unload Picker Module Cylinder #4 Up Sol  동작이 실패 하였습니다.</t>
  </si>
  <si>
    <t xml:space="preserve"> Unload Picker Module Cylinder #3 Up Sol  동작이 실패 하였습니다.</t>
  </si>
  <si>
    <t xml:space="preserve"> Unload Picker Module Cylinder #2 Up Sol  동작이 실패 하였습니다.</t>
  </si>
  <si>
    <t xml:space="preserve"> Unload Picker Module Cylinder #1 Up Sol  동작이 실패 하였습니다.</t>
  </si>
  <si>
    <t xml:space="preserve"> ULD Picker Module #8 Down Sensor   센서가 감지되지 않았습니다.</t>
  </si>
  <si>
    <t xml:space="preserve"> ULD Picker Module #8 Up Sensor   센서가 감지되지 않았습니다.</t>
  </si>
  <si>
    <t xml:space="preserve"> ULD Picker Module #7 Down Sensor   센서가 감지되지 않았습니다.</t>
  </si>
  <si>
    <t xml:space="preserve"> ULD Picker Module #7 Up Sensor   센서가 감지되지 않았습니다.</t>
  </si>
  <si>
    <t xml:space="preserve"> ULD Picker Module #6 Down Sensor   센서가 감지되지 않았습니다.</t>
  </si>
  <si>
    <t xml:space="preserve"> ULD Picker Module #6 Up Sensor   센서가 감지되지 않았습니다.</t>
  </si>
  <si>
    <t xml:space="preserve"> ULD Picker Module #5 Down Sensor   센서가 감지되지 않았습니다.</t>
  </si>
  <si>
    <t xml:space="preserve"> ULD Picker Module #5 Up Sensor   센서가 감지되지 않았습니다.</t>
  </si>
  <si>
    <t xml:space="preserve"> ULD Picker Module #4 Down Sensor   센서가 감지되지 않았습니다.</t>
  </si>
  <si>
    <t xml:space="preserve"> ULD Picker Module #4 Up Sensor   센서가 감지되지 않았습니다.</t>
  </si>
  <si>
    <t xml:space="preserve"> ULD Picker Module #3 Down Sensor   센서가 감지되지 않았습니다.</t>
  </si>
  <si>
    <t xml:space="preserve"> ULD Picker Module #3 Up Sensor   센서가 감지되지 않았습니다.</t>
  </si>
  <si>
    <t xml:space="preserve"> ULD Picker Module #2 Down Sensor   센서가 감지되지 않았습니다.</t>
  </si>
  <si>
    <t xml:space="preserve"> ULD Picker Module #2 Up Sensor   센서가 감지되지 않았습니다.</t>
  </si>
  <si>
    <t xml:space="preserve"> ULD Picker Module #1 Down Sensor   센서가 감지되지 않았습니다.</t>
  </si>
  <si>
    <t xml:space="preserve"> ULD Picker Module #1 Up Sensor   센서가 감지되지 않았습니다.</t>
  </si>
  <si>
    <t xml:space="preserve"> ULD Picker Module Existence #8 Check  센서가 감지되지 않았습니다.</t>
  </si>
  <si>
    <t xml:space="preserve"> ULD Picker Module Existence #7 Check  센서가 감지되지 않았습니다.</t>
  </si>
  <si>
    <t xml:space="preserve"> ULD Picker Module Existence #6 Check  센서가 감지되지 않았습니다.</t>
  </si>
  <si>
    <t xml:space="preserve"> ULD Picker Module Existence #5 Check  센서가 감지되지 않았습니다.</t>
  </si>
  <si>
    <t xml:space="preserve"> ULD Picker Module Existence #4 Check   센서가 감지되지 않았습니다.</t>
  </si>
  <si>
    <t xml:space="preserve"> ULD Picker Module Existence #3 Check   센서가 감지되지 않았습니다.</t>
  </si>
  <si>
    <t xml:space="preserve"> ULD Picker Module Existence #2 Check   센서가 감지되지 않았습니다.</t>
  </si>
  <si>
    <t xml:space="preserve"> ULD Picker Module Existence #1 Check   센서가 감지되지 않았습니다.</t>
  </si>
  <si>
    <t xml:space="preserve"> ULD Picker Gripper#8 Unclamp Front Sensor  센서가 감지되지 않았습니다.</t>
  </si>
  <si>
    <t xml:space="preserve"> ULD Picker Gripper#7 Unclamp Front Sensor  센서가 감지되지 않았습니다.</t>
  </si>
  <si>
    <t xml:space="preserve"> ULD Picker Gripper#6 Unclamp Front Sensor  센서가 감지되지 않았습니다.</t>
  </si>
  <si>
    <t xml:space="preserve"> ULD Picker Gripper#5 Unclamp Front Sensor  센서가 감지되지 않았습니다.</t>
  </si>
  <si>
    <t xml:space="preserve"> ULD Picker Gripper#4 Unclamp Front Sensor  센서가 감지되지 않았습니다.</t>
  </si>
  <si>
    <t xml:space="preserve"> ULD Picker Gripper#3 Unclamp Front Sensor  센서가 감지되지 않았습니다.</t>
  </si>
  <si>
    <t xml:space="preserve"> ULD Picker Gripper#2 Unclamp Front Sensor   센서가 감지되지 않았습니다.</t>
  </si>
  <si>
    <t xml:space="preserve"> ULD Picker Gripper#1 Unclamp Front Sensor   센서가 감지되지 않았습니다.</t>
  </si>
  <si>
    <t xml:space="preserve"> ULD Picker Gripper#8 Unclamp Rear Sensor  센서가 감지되지 않았습니다.</t>
  </si>
  <si>
    <t xml:space="preserve"> ULD Picker Gripper#7 Unclamp Rear Sensor  센서가 감지되지 않았습니다.</t>
  </si>
  <si>
    <t xml:space="preserve"> ULD Picker Gripper#6 Unclamp Rear Sensor  센서가 감지되지 않았습니다.</t>
  </si>
  <si>
    <t xml:space="preserve"> ULD Picker Gripper#5 Unclamp Rear Sensor  센서가 감지되지 않았습니다.</t>
  </si>
  <si>
    <t xml:space="preserve"> ULD Picker Gripper#4 Unclamp Rear Sensor  센서가 감지되지 않았습니다.</t>
  </si>
  <si>
    <t xml:space="preserve"> ULD Picker Gripper#3 Unclamp Rear Sensor  센서가 감지되지 않았습니다.</t>
  </si>
  <si>
    <t xml:space="preserve"> ULD Picker Gripper#2 Unclamp Rear Sensor   센서가 감지되지 않았습니다.</t>
  </si>
  <si>
    <t xml:space="preserve"> ULD Picker Gripper#1 Unclamp Rear Sensor   센서가 감지되지 않았습니다.</t>
  </si>
  <si>
    <t xml:space="preserve"> ULD Picker Module #8 Down Sensor   센서가 감지되었습니다.</t>
  </si>
  <si>
    <t xml:space="preserve"> ULD Picker Module #8 Up Sensor   센서가 감지되었습니다.</t>
  </si>
  <si>
    <t xml:space="preserve"> ULD Picker Module #7 Down Sensor   센서가 감지되었습니다.</t>
  </si>
  <si>
    <t xml:space="preserve"> ULD Picker Module #7 Up Sensor   센서가 감지되었습니다.</t>
  </si>
  <si>
    <t xml:space="preserve"> ULD Picker Module #6 Down Sensor   센서가 감지되었습니다.</t>
  </si>
  <si>
    <t xml:space="preserve"> ULD Picker Module #6 Up Sensor   센서가 감지되었습니다.</t>
  </si>
  <si>
    <t xml:space="preserve"> ULD Picker Module #5 Down Sensor   센서가 감지되었습니다.</t>
  </si>
  <si>
    <t xml:space="preserve"> ULD Picker Module #5 Up Sensor   센서가 감지되었습니다.</t>
  </si>
  <si>
    <t xml:space="preserve"> ULD Picker Module #4 Down Sensor   센서가 감지되었습니다.</t>
  </si>
  <si>
    <t xml:space="preserve"> ULD Picker Module #4 Up Sensor   센서가 감지되었습니다.</t>
  </si>
  <si>
    <t xml:space="preserve"> ULD Picker Module #3 Down Sensor   센서가 감지되었습니다.</t>
  </si>
  <si>
    <t xml:space="preserve"> ULD Picker Module #3 Up Sensor   센서가 감지되었습니다.</t>
  </si>
  <si>
    <t xml:space="preserve"> ULD Picker Module #2 Down Sensor   센서가 감지되었습니다.</t>
  </si>
  <si>
    <t xml:space="preserve"> ULD Picker Module #2 Up Sensor   센서가 감지되었습니다.</t>
  </si>
  <si>
    <t xml:space="preserve"> ULD Picker Module #1 Down Sensor   센서가 감지되었습니다.</t>
  </si>
  <si>
    <t xml:space="preserve"> ULD Picker Module #1 Up Sensor   센서가 감지되었습니다.</t>
  </si>
  <si>
    <t xml:space="preserve"> ULD Picker Module Existence #8 Check  센서가 감지되었습니다.</t>
  </si>
  <si>
    <t xml:space="preserve"> ULD Picker Module Existence #7 Check  센서가 감지되었습니다.</t>
  </si>
  <si>
    <t xml:space="preserve"> ULD Picker Module Existence #6 Check  센서가 감지되었습니다.</t>
  </si>
  <si>
    <t xml:space="preserve"> ULD Picker Module Existence #5 Check  센서가 감지되었습니다.</t>
  </si>
  <si>
    <t xml:space="preserve"> ULD Picker Module Existence #4 Check   센서가 감지되었습니다.</t>
  </si>
  <si>
    <t xml:space="preserve"> ULD Picker Module Existence #3 Check   센서가 감지되었습니다.</t>
  </si>
  <si>
    <t xml:space="preserve"> ULD Picker Module Existence #2 Check   센서가 감지되었습니다.</t>
  </si>
  <si>
    <t xml:space="preserve"> ULD Picker Module Existence #1 Check   센서가 감지되었습니다.</t>
  </si>
  <si>
    <t xml:space="preserve"> ULD Picker Gripper#8 Unclamp Front Sensor  센서가 감지되었습니다.</t>
  </si>
  <si>
    <t xml:space="preserve"> ULD Picker Gripper#7 Unclamp Front Sensor  센서가 감지되었습니다.</t>
  </si>
  <si>
    <t xml:space="preserve"> ULD Picker Gripper#6 Unclamp Front Sensor  센서가 감지되었습니다.</t>
  </si>
  <si>
    <t xml:space="preserve"> ULD Picker Gripper#5 Unclamp Front Sensor  센서가 감지되었습니다.</t>
  </si>
  <si>
    <t xml:space="preserve"> ULD Picker Gripper#4 Unclamp Front Sensor  센서가 감지되었습니다.</t>
  </si>
  <si>
    <t xml:space="preserve"> ULD Picker Gripper#3 Unclamp Front Sensor  센서가 감지되었습니다.</t>
  </si>
  <si>
    <t xml:space="preserve"> ULD Picker Gripper#2 Unclamp Front Sensor   센서가 감지되었습니다.</t>
  </si>
  <si>
    <t xml:space="preserve"> ULD Picker Gripper#1 Unclamp Front Sensor   센서가 감지되었습니다.</t>
  </si>
  <si>
    <t xml:space="preserve"> ULD Picker Gripper#8 Unclamp Rear Sensor  센서가 감지되었습니다.</t>
  </si>
  <si>
    <t xml:space="preserve"> ULD Picker Gripper#7 Unclamp Rear Sensor  센서가 감지되었습니다.</t>
  </si>
  <si>
    <t xml:space="preserve"> ULD Picker Gripper#6 Unclamp Rear Sensor  센서가 감지되었습니다.</t>
  </si>
  <si>
    <t xml:space="preserve"> ULD Picker Gripper#5 Unclamp Rear Sensor  센서가 감지되었습니다.</t>
  </si>
  <si>
    <t xml:space="preserve"> ULD Picker Gripper#4 Unclamp Rear Sensor  센서가 감지되었습니다.</t>
  </si>
  <si>
    <t xml:space="preserve"> ULD Picker Gripper#3 Unclamp Rear Sensor  센서가 감지되었습니다.</t>
  </si>
  <si>
    <t xml:space="preserve"> ULD Picker Gripper#2 Unclamp Rear Sensor   센서가 감지되었습니다.</t>
  </si>
  <si>
    <t xml:space="preserve"> ULD Picker Gripper#1 Unclamp Rear Sensor   센서가 감지되었습니다.</t>
  </si>
  <si>
    <t xml:space="preserve"> Load Barcode Position Setting 실패. </t>
  </si>
  <si>
    <t>[LOAD_HAND]</t>
  </si>
  <si>
    <t xml:space="preserve"> 모듈 바코드 유효성 확인 바랍니다. </t>
  </si>
  <si>
    <t xml:space="preserve"> A Device on the T-Tray has been detected by Reverse sensor.</t>
  </si>
  <si>
    <t xml:space="preserve"> Load Hand 에 Module 이 감지되었습니다.</t>
  </si>
  <si>
    <t xml:space="preserve"> 모듈 바코드 리딩률이 기준 이하로 떨어졌습니다. </t>
  </si>
  <si>
    <t xml:space="preserve"> Loader Picker #8 Module R-Dimm Conversion  동작이 실패 하였습니다.</t>
  </si>
  <si>
    <t xml:space="preserve"> Loader Picker #7 Module R-Dimm Conversion  동작이 실패 하였습니다.</t>
  </si>
  <si>
    <t xml:space="preserve"> Loader Picker #6 Module R-Dimm Conversion  동작이 실패 하였습니다.</t>
  </si>
  <si>
    <t xml:space="preserve"> Loader Picker #5 Module R-Dimm Conversion  동작이 실패 하였습니다.</t>
  </si>
  <si>
    <t xml:space="preserve"> Loader Picker #4 Module R-Dimm Conversion  동작이 실패 하였습니다.</t>
  </si>
  <si>
    <t xml:space="preserve"> Loader Picker #3 Module R-Dimm Conversion  동작이 실패 하였습니다.</t>
  </si>
  <si>
    <t xml:space="preserve"> Loader Picker #2 Module R-Dimm Conversion  동작이 실패 하였습니다.</t>
  </si>
  <si>
    <t xml:space="preserve"> Loader Picker #1 Module R-Dimm Conversion  동작이 실패 하였습니다.</t>
  </si>
  <si>
    <t xml:space="preserve"> Load Picker Module Unclamp Cylinder #8 Sol  동작이 실패 하였습니다.</t>
  </si>
  <si>
    <t xml:space="preserve"> Load Picker Module Unclamp Cylinder #7 Sol  동작이 실패 하였습니다.</t>
  </si>
  <si>
    <t xml:space="preserve"> Load Picker Module Unclamp Cylinder #6 Sol  동작이 실패 하였습니다.</t>
  </si>
  <si>
    <t xml:space="preserve"> Load Picker Module Unclamp Cylinder #5 Sol  동작이 실패 하였습니다.</t>
  </si>
  <si>
    <t xml:space="preserve"> Load Picker Module Unclamp Cylinder #4 Sol  동작이 실패 하였습니다.</t>
  </si>
  <si>
    <t xml:space="preserve"> Load Picker Module Unclamp Cylinder #3 Sol  동작이 실패 하였습니다.</t>
  </si>
  <si>
    <t xml:space="preserve"> Load Picker Module Unclamp Cylinder #2 Sol  동작이 실패 하였습니다.</t>
  </si>
  <si>
    <t xml:space="preserve"> Load Picker Module Unclamp Cylinder #1 Sol  동작이 실패 하였습니다.</t>
  </si>
  <si>
    <t xml:space="preserve"> Load Picker Module Cylinder #8 Down Sol  동작이 실패 하였습니다.</t>
  </si>
  <si>
    <t xml:space="preserve"> Load Picker Module Cylinder #7 Down Sol  동작이 실패 하였습니다.</t>
  </si>
  <si>
    <t xml:space="preserve"> Load Picker Module Cylinder #6 Down Sol  동작이 실패 하였습니다.</t>
  </si>
  <si>
    <t xml:space="preserve"> Load Picker Module Cylinder #5 Down Sol  동작이 실패 하였습니다.</t>
  </si>
  <si>
    <t xml:space="preserve"> Load Picker Module Cylinder #4 Down Sol  동작이 실패 하였습니다.</t>
  </si>
  <si>
    <t xml:space="preserve"> Load Picker Module Cylinder #3 Down Sol  동작이 실패 하였습니다.</t>
  </si>
  <si>
    <t xml:space="preserve"> Load Picker Module Cylinder #2 Down Sol  동작이 실패 하였습니다.</t>
  </si>
  <si>
    <t xml:space="preserve"> Load Picker Module Cylinder #1 Down Sol  동작이 실패 하였습니다.</t>
  </si>
  <si>
    <t xml:space="preserve"> Loader Picker #8 Module S-Dimm Conversion  동작이 실패 하였습니다.</t>
  </si>
  <si>
    <t xml:space="preserve"> Loader Picker #7 Module S-Dimm Conversion  동작이 실패 하였습니다.</t>
  </si>
  <si>
    <t xml:space="preserve"> Loader Picker #6 Module S-Dimm Conversion  동작이 실패 하였습니다.</t>
  </si>
  <si>
    <t xml:space="preserve"> Loader Picker #5 Module S-Dimm Conversion  동작이 실패 하였습니다.</t>
  </si>
  <si>
    <t xml:space="preserve"> Loader Picker #4 Module S-Dimm Conversion  동작이 실패 하였습니다.</t>
  </si>
  <si>
    <t xml:space="preserve"> Loader Picker #3 Module S-Dimm Conversion  동작이 실패 하였습니다.</t>
  </si>
  <si>
    <t xml:space="preserve"> Loader Picker #2 Module S-Dimm Conversion  동작이 실패 하였습니다.</t>
  </si>
  <si>
    <t xml:space="preserve"> Loader Picker #1 Module S-Dimm Conversion  동작이 실패 하였습니다.</t>
  </si>
  <si>
    <t xml:space="preserve"> Load Picker Module Clamp Cylinder #8 Sol  동작이 실패 하였습니다.</t>
  </si>
  <si>
    <t xml:space="preserve"> Load Picker Module Clamp Cylinder #7 Sol  동작이 실패 하였습니다.</t>
  </si>
  <si>
    <t xml:space="preserve"> Load Picker Module Clamp Cylinder #6 Sol  동작이 실패 하였습니다.</t>
  </si>
  <si>
    <t xml:space="preserve"> Load Picker Module Clamp Cylinder #5 Sol  동작이 실패 하였습니다.</t>
  </si>
  <si>
    <t xml:space="preserve"> Load Picker Module Clamp Cylinder #4 Sol  동작이 실패 하였습니다.</t>
  </si>
  <si>
    <t xml:space="preserve"> Load Picker Module Clamp Cylinder #3 Sol  동작이 실패 하였습니다.</t>
  </si>
  <si>
    <t xml:space="preserve"> Load Picker Module Clamp Cylinder #2 Sol  동작이 실패 하였습니다.</t>
  </si>
  <si>
    <t xml:space="preserve"> Load Picker Module Clamp Cylinder #1 Sol  동작이 실패 하였습니다.</t>
  </si>
  <si>
    <t xml:space="preserve"> Load Picker Module Cylinder #8 Up Sol  동작이 실패 하였습니다.</t>
  </si>
  <si>
    <t xml:space="preserve"> Load Picker Module Cylinder #7 Up Sol  동작이 실패 하였습니다.</t>
  </si>
  <si>
    <t xml:space="preserve"> Load Picker Module Cylinder #6 Up Sol  동작이 실패 하였습니다.</t>
  </si>
  <si>
    <t xml:space="preserve"> Load Picker Module Cylinder #5 Up Sol  동작이 실패 하였습니다.</t>
  </si>
  <si>
    <t xml:space="preserve"> Load Picker Module Cylinder #4 Up Sol  동작이 실패 하였습니다.</t>
  </si>
  <si>
    <t xml:space="preserve"> Load Picker Module Cylinder #3 Up Sol  동작이 실패 하였습니다.</t>
  </si>
  <si>
    <t xml:space="preserve"> Load Picker Module Cylinder #2 Up Sol  동작이 실패 하였습니다.</t>
  </si>
  <si>
    <t xml:space="preserve"> Load Picker Module Cylinder #1 Up Sol  동작이 실패 하였습니다.</t>
  </si>
  <si>
    <t xml:space="preserve"> LD Picker Module #8 Down Sensor   센서가 감지되지 않았습니다.</t>
  </si>
  <si>
    <t xml:space="preserve"> LD Picker Module #8 Up Sensor   센서가 감지되지 않았습니다.</t>
  </si>
  <si>
    <t xml:space="preserve"> LD Picker Module #7 Down Sensor   센서가 감지되지 않았습니다.</t>
  </si>
  <si>
    <t xml:space="preserve"> LD Picker Module #7 Up Sensor   센서가 감지되지 않았습니다.</t>
  </si>
  <si>
    <t xml:space="preserve"> LD Picker Module #6 Down Sensor   센서가 감지되지 않았습니다.</t>
  </si>
  <si>
    <t xml:space="preserve"> LD Picker Module #6 Up Sensor   센서가 감지되지 않았습니다.</t>
  </si>
  <si>
    <t xml:space="preserve"> LD Picker Module #5 Down Sensor   센서가 감지되지 않았습니다.</t>
  </si>
  <si>
    <t xml:space="preserve"> LD Picker Module #5 Up Sensor   센서가 감지되지 않았습니다.</t>
  </si>
  <si>
    <t xml:space="preserve"> LD Picker Module #4 Down Sensor   센서가 감지되지 않았습니다.</t>
  </si>
  <si>
    <t xml:space="preserve"> LD Picker Module #4 Up Sensor   센서가 감지되지 않았습니다.</t>
  </si>
  <si>
    <t xml:space="preserve"> LD Picker Module #3 Down Sensor   센서가 감지되지 않았습니다.</t>
  </si>
  <si>
    <t xml:space="preserve"> LD Picker Module #3 Up Sensor   센서가 감지되지 않았습니다.</t>
  </si>
  <si>
    <t xml:space="preserve"> LD Picker Module #2 Down Sensor   센서가 감지되지 않았습니다.</t>
  </si>
  <si>
    <t xml:space="preserve"> LD Picker Module #2 Up Sensor   센서가 감지되지 않았습니다.</t>
  </si>
  <si>
    <t xml:space="preserve"> LD Picker Module #1 Down Sensor   센서가 감지되지 않았습니다.</t>
  </si>
  <si>
    <t xml:space="preserve"> LD Picker Module #1 Up Sensor   센서가 감지되지 않았습니다.</t>
  </si>
  <si>
    <t xml:space="preserve"> LD Picker Module Existence #8 Check  센서가 감지되지 않았습니다.</t>
  </si>
  <si>
    <t xml:space="preserve"> LD Picker Module Existence #7 Check  센서가 감지되지 않았습니다.</t>
  </si>
  <si>
    <t xml:space="preserve"> LD Picker Module Existence #6 Check  센서가 감지되지 않았습니다.</t>
  </si>
  <si>
    <t xml:space="preserve"> LD Picker Module Existence #5 Check  센서가 감지되지 않았습니다.</t>
  </si>
  <si>
    <t xml:space="preserve"> LD Picker Module Existence #4 Check   센서가 감지되지 않았습니다.</t>
  </si>
  <si>
    <t xml:space="preserve"> LD Picker Module Existence #3 Check   센서가 감지되지 않았습니다.</t>
  </si>
  <si>
    <t xml:space="preserve"> LD Picker Module Existence #2 Check   센서가 감지되지 않았습니다.</t>
  </si>
  <si>
    <t xml:space="preserve"> LD Picker Module Existence #1 Check   센서가 감지되지 않았습니다.</t>
  </si>
  <si>
    <t xml:space="preserve"> LD Picker Gripper#8 Unclamp Front Sensor  센서가 감지되지 않았습니다.</t>
  </si>
  <si>
    <t xml:space="preserve"> LD Picker Gripper#7 Unclamp Front Sensor  센서가 감지되지 않았습니다.</t>
  </si>
  <si>
    <t xml:space="preserve"> LD Picker Gripper#6 Unclamp Front Sensor  센서가 감지되지 않았습니다.</t>
  </si>
  <si>
    <t xml:space="preserve"> LD Picker Gripper#5 Unclamp Front Sensor  센서가 감지되지 않았습니다.</t>
  </si>
  <si>
    <t xml:space="preserve"> LD Picker Gripper#4 Unclamp Front Sensor  센서가 감지되지 않았습니다.</t>
  </si>
  <si>
    <t xml:space="preserve"> LD Picker Gripper#3 Unclamp Front Sensor  센서가 감지되지 않았습니다.</t>
  </si>
  <si>
    <t xml:space="preserve"> LD Picker Gripper#2 Unclamp Front Sensor   센서가 감지되지 않았습니다.</t>
  </si>
  <si>
    <t xml:space="preserve"> LD Picker Gripper#1 Unclamp Front Sensor   센서가 감지되지 않았습니다.</t>
  </si>
  <si>
    <t xml:space="preserve"> LD Picker Gripper#8 Unclamp Rear Sensor  센서가 감지되지 않았습니다.</t>
  </si>
  <si>
    <t xml:space="preserve"> LD Picker Gripper#7 Unclamp Rear Sensor  센서가 감지되지 않았습니다.</t>
  </si>
  <si>
    <t xml:space="preserve"> LD Picker Gripper#6 Unclamp Rear Sensor  센서가 감지되지 않았습니다.</t>
  </si>
  <si>
    <t xml:space="preserve"> LD Picker Gripper#5 Unclamp Rear Sensor  센서가 감지되지 않았습니다.</t>
  </si>
  <si>
    <t xml:space="preserve"> LD Picker Gripper#4 Unclamp Rear Sensor  센서가 감지되지 않았습니다.</t>
  </si>
  <si>
    <t xml:space="preserve"> LD Picker Gripper#3 Unclamp Rear Sensor  센서가 감지되지 않았습니다.</t>
  </si>
  <si>
    <t xml:space="preserve"> LD Picker Gripper#2 Unclamp Rear Sensor   센서가 감지되지 않았습니다.</t>
  </si>
  <si>
    <t xml:space="preserve"> LD Picker Gripper#1 Unclamp Rear Sensor   센서가 감지되지 않았습니다.</t>
  </si>
  <si>
    <t xml:space="preserve"> LD Picker Module #8 Down Sensor   센서가 감지되었습니다.</t>
  </si>
  <si>
    <t xml:space="preserve"> LD Picker Module #8 Up Sensor   센서가 감지되었습니다.</t>
  </si>
  <si>
    <t xml:space="preserve"> LD Picker Module #7 Down Sensor   센서가 감지되었습니다.</t>
  </si>
  <si>
    <t xml:space="preserve"> LD Picker Module #7 Up Sensor   센서가 감지되었습니다.</t>
  </si>
  <si>
    <t xml:space="preserve"> LD Picker Module #6 Down Sensor   센서가 감지되었습니다.</t>
  </si>
  <si>
    <t xml:space="preserve"> LD Picker Module #6 Up Sensor   센서가 감지되었습니다.</t>
  </si>
  <si>
    <t xml:space="preserve"> LD Picker Module #5 Down Sensor   센서가 감지되었습니다.</t>
  </si>
  <si>
    <t xml:space="preserve"> LD Picker Module #5 Up Sensor   센서가 감지되었습니다.</t>
  </si>
  <si>
    <t xml:space="preserve"> LD Picker Module #4 Down Sensor   센서가 감지되었습니다.</t>
  </si>
  <si>
    <t xml:space="preserve"> LD Picker Module #4 Up Sensor   센서가 감지되었습니다.</t>
  </si>
  <si>
    <t xml:space="preserve"> LD Picker Module #3 Down Sensor   센서가 감지되었습니다.</t>
  </si>
  <si>
    <t xml:space="preserve"> LD Picker Module #3 Up Sensor   센서가 감지되었습니다.</t>
  </si>
  <si>
    <t xml:space="preserve"> LD Picker Module #2 Down Sensor   센서가 감지되었습니다.</t>
  </si>
  <si>
    <t xml:space="preserve"> LD Picker Module #2 Up Sensor   센서가 감지되었습니다.</t>
  </si>
  <si>
    <t xml:space="preserve"> LD Picker Module #1 Down Sensor   센서가 감지되었습니다.</t>
  </si>
  <si>
    <t xml:space="preserve"> LD Picker Module #1 Up Sensor   센서가 감지되었습니다.</t>
  </si>
  <si>
    <t xml:space="preserve"> LD Picker Module Existence #8 Check  센서가 감지되었습니다.</t>
  </si>
  <si>
    <t xml:space="preserve"> LD Picker Module Existence #7 Check  센서가 감지되었습니다.</t>
  </si>
  <si>
    <t xml:space="preserve"> LD Picker Module Existence #6 Check  센서가 감지되었습니다.</t>
  </si>
  <si>
    <t xml:space="preserve"> LD Picker Module Existence #5 Check  센서가 감지되었습니다.</t>
  </si>
  <si>
    <t xml:space="preserve"> LD Picker Module Existence #4 Check   센서가 감지되었습니다.</t>
  </si>
  <si>
    <t xml:space="preserve"> LD Picker Module Existence #3 Check   센서가 감지되었습니다.</t>
  </si>
  <si>
    <t xml:space="preserve"> LD Picker Module Existence #2 Check   센서가 감지되었습니다.</t>
  </si>
  <si>
    <t xml:space="preserve"> LD Picker Module Existence #1 Check   센서가 감지되었습니다.</t>
  </si>
  <si>
    <t xml:space="preserve"> LD Picker Gripper#8 Unclamp Front Sensor  센서가 감지되었습니다.</t>
  </si>
  <si>
    <t xml:space="preserve"> LD Picker Gripper#7 Unclamp Front Sensor  센서가 감지되었습니다.</t>
  </si>
  <si>
    <t xml:space="preserve"> LD Picker Gripper#6 Unclamp Front Sensor  센서가 감지되었습니다.</t>
  </si>
  <si>
    <t xml:space="preserve"> LD Picker Gripper#5 Unclamp Front Sensor  센서가 감지되었습니다.</t>
  </si>
  <si>
    <t xml:space="preserve"> LD Picker Gripper#4 Unclamp Front Sensor  센서가 감지되었습니다.</t>
  </si>
  <si>
    <t xml:space="preserve"> LD Picker Gripper#3 Unclamp Front Sensor  센서가 감지되었습니다.</t>
  </si>
  <si>
    <t xml:space="preserve"> LD Picker Gripper#2 Unclamp Front Sensor   센서가 감지되었습니다.</t>
  </si>
  <si>
    <t xml:space="preserve"> LD Picker Gripper#1 Unclamp Front Sensor   센서가 감지되었습니다.</t>
  </si>
  <si>
    <t xml:space="preserve"> LD Picker Gripper#8 Unclamp Rear Sensor  센서가 감지되었습니다.</t>
  </si>
  <si>
    <t xml:space="preserve"> LD Picker Gripper#7 Unclamp Rear Sensor  센서가 감지되었습니다.</t>
  </si>
  <si>
    <t xml:space="preserve"> LD Picker Gripper#6 Unclamp Rear Sensor  센서가 감지되었습니다.</t>
  </si>
  <si>
    <t xml:space="preserve"> LD Picker Gripper#5 Unclamp Rear Sensor  센서가 감지되었습니다.</t>
  </si>
  <si>
    <t xml:space="preserve"> LD Picker Gripper#4 Unclamp Rear Sensor  센서가 감지되었습니다.</t>
  </si>
  <si>
    <t xml:space="preserve"> LD Picker Gripper#3 Unclamp Rear Sensor  센서가 감지되었습니다.</t>
  </si>
  <si>
    <t xml:space="preserve"> LD Picker Gripper#2 Unclamp Rear Sensor   센서가 감지되었습니다.</t>
  </si>
  <si>
    <t xml:space="preserve"> LD Picker Gripper#1 Unclamp Rear Sensor   센서가 감지되었습니다.</t>
  </si>
  <si>
    <t xml:space="preserve"> Unload Transfer가 Ungrip Pos 입니다.</t>
  </si>
  <si>
    <t>[TRANSFER]</t>
  </si>
  <si>
    <t xml:space="preserve"> Unload Transfer가 Grip Pos 입니다.</t>
  </si>
  <si>
    <t xml:space="preserve"> load Transfer가 Ungrip Pos 입니다.</t>
  </si>
  <si>
    <t xml:space="preserve"> Load Transfer가 Grip Pos 입니다.</t>
  </si>
  <si>
    <t xml:space="preserve"> Unload Transfer C-Tray 스텝 체크에 실패 하였습니다.</t>
  </si>
  <si>
    <t xml:space="preserve"> Load Transfer C-Tray 스텝 체크에 실패 하였습니다.</t>
  </si>
  <si>
    <t xml:space="preserve"> Unoad Transfer C-Tray 방향 체크에 실패 하였습니다.</t>
  </si>
  <si>
    <t xml:space="preserve"> Load Transfer C-Tray 방향 체크에 실패 하였습니다.</t>
  </si>
  <si>
    <t xml:space="preserve"> Reject Rear Base Cylinder 가 Down 위치에 있지 않습니다.</t>
  </si>
  <si>
    <t xml:space="preserve"> Unloader Transfer Head Tray LP-CAMM Direction Check   센서가 감지되지 않았습니다.</t>
  </si>
  <si>
    <t xml:space="preserve"> Unloader Transfer Head Tray Direction Check   센서가 감지되지 않았습니다.</t>
  </si>
  <si>
    <t xml:space="preserve"> Unloader Transfer Head Tray Check   센서가 감지되지 않았습니다.</t>
  </si>
  <si>
    <t xml:space="preserve"> Loader Transfer Head Tray LP-CAMM Direction Check   센서가 감지되지 않았습니다.</t>
  </si>
  <si>
    <t xml:space="preserve"> Loader Transfer Head Tray Direction Check   센서가 감지되지 않았습니다.</t>
  </si>
  <si>
    <t xml:space="preserve"> Loader Transfer Head Tray Check   센서가 감지되지 않았습니다.</t>
  </si>
  <si>
    <t xml:space="preserve"> Unloader Transfer Head Tray LP-CAMM Direction Check   센서가 감지되었습니다.</t>
  </si>
  <si>
    <t xml:space="preserve"> Unloader Transfer Head Tray Direction Check   센서가 감지되었습니다.</t>
  </si>
  <si>
    <t xml:space="preserve"> Unloader Transfer Head Tray Check   센서가 감지되었습니다.</t>
  </si>
  <si>
    <t xml:space="preserve"> Loader Transfer Head Tray LP-CAMM Direction Check   센서가 감지되었습니다.</t>
  </si>
  <si>
    <t xml:space="preserve"> Loader Transfer Head Tray Direction Check   센서가 감지되었습니다.</t>
  </si>
  <si>
    <t xml:space="preserve"> Loader Transfer Head Tray Check   센서가 감지되었습니다.</t>
  </si>
  <si>
    <t xml:space="preserve"> 입력할 RFID가 유효하지 않습니다. ()</t>
  </si>
  <si>
    <t>[STACKER]</t>
  </si>
  <si>
    <t xml:space="preserve"> 읽어온 RFID가 유효하지 않습니다. ()</t>
  </si>
  <si>
    <t xml:space="preserve"> RFID 쓰기 실패하였습니다. ()</t>
  </si>
  <si>
    <t xml:space="preserve"> RFID 읽기 실패하였습니다. ()</t>
  </si>
  <si>
    <t xml:space="preserve"> Cylinder is not in safe position Grip.</t>
  </si>
  <si>
    <t xml:space="preserve"> ULD#2 Stacker C-Tray Rear Base Guide End Plate Down Sol  동작이 실패 하였습니다.</t>
  </si>
  <si>
    <t xml:space="preserve"> ULD#2 Stacker C-Tray Rear Base Guide Down Sol  동작이 실패 하였습니다.</t>
  </si>
  <si>
    <t xml:space="preserve"> ULD#2 Stacker C-Tray Rear Base Guide Align Guide Off Sol   동작이 실패 하였습니다.</t>
  </si>
  <si>
    <t xml:space="preserve"> ULD#2 Stacker C-Tray Middle Base Guide Down Sol   동작이 실패 하였습니다.</t>
  </si>
  <si>
    <t xml:space="preserve"> ULD#2 Stacker C-Tray Middle Base Guide Stopper Off Sol    동작이 실패 하였습니다.</t>
  </si>
  <si>
    <t xml:space="preserve"> ULD#2 Stacker C-Tray Front Base Guide Down Sol   동작이 실패 하였습니다.</t>
  </si>
  <si>
    <t xml:space="preserve"> ULD#2 Stacker C-Tray Front Base Guide Stopper Off Sol    동작이 실패 하였습니다.</t>
  </si>
  <si>
    <t xml:space="preserve"> ULD#2 Stacker C-Tray Front Base Guide Align Off Sol   동작이 실패 하였습니다.</t>
  </si>
  <si>
    <t xml:space="preserve"> ULD#1 Stacker C-Tray Rear Base Guide End Plate Down Sol  동작이 실패 하였습니다.</t>
  </si>
  <si>
    <t xml:space="preserve"> ULD#1 Stacker C-Tray Rear Base Guide Down Sol  동작이 실패 하였습니다.</t>
  </si>
  <si>
    <t xml:space="preserve"> ULD#1 Stacker C-Tray Rear Base Guide Align Guide Off Sol   동작이 실패 하였습니다.</t>
  </si>
  <si>
    <t xml:space="preserve"> ULD#1 Stacker C-Tray Middle Base Guide Down Sol   동작이 실패 하였습니다.</t>
  </si>
  <si>
    <t xml:space="preserve"> ULD#1 Stacker C-Tray Middle Base Guide Stopper Off Sol    동작이 실패 하였습니다.</t>
  </si>
  <si>
    <t xml:space="preserve"> ULD#1 Stacker C-Tray Front Base Guide Down Sol   동작이 실패 하였습니다.</t>
  </si>
  <si>
    <t xml:space="preserve"> ULD#1 Stacker C-Tray Front Base Guide Stopper Off Sol    동작이 실패 하였습니다.</t>
  </si>
  <si>
    <t xml:space="preserve"> ULD#1 Stacker C-Tray Front Base Guide Align Off Sol   동작이 실패 하였습니다.</t>
  </si>
  <si>
    <t xml:space="preserve"> Reject Stacker C-Tray Rear Base Guide End Stopper Off Sol   동작이 실패 하였습니다.</t>
  </si>
  <si>
    <t xml:space="preserve"> Reject Stacker C-Tray Rear Base Guide Stopper Off Sol   동작이 실패 하였습니다.</t>
  </si>
  <si>
    <t xml:space="preserve"> ReJect Stacker  Rear Base Guide Down Sol  동작이 실패 하였습니다.</t>
  </si>
  <si>
    <t xml:space="preserve"> ReJect Stacker  Rear Bas Down Sol   동작이 실패 하였습니다.</t>
  </si>
  <si>
    <t xml:space="preserve"> Reject Stacker C-Tray Rear Base Guide Align Off Sol   동작이 실패 하였습니다.</t>
  </si>
  <si>
    <t xml:space="preserve"> ReJect Stacker C-Tray Bottom Base Stopper Off Sol    동작이 실패 하였습니다.</t>
  </si>
  <si>
    <t xml:space="preserve"> ReJect Stacker C-Tray Top Base Stopper Off Sol    동작이 실패 하였습니다.</t>
  </si>
  <si>
    <t xml:space="preserve"> Empty Stacker C-Tray Rear Base Guide End Stopper Off Sol   동작이 실패 하였습니다.</t>
  </si>
  <si>
    <t xml:space="preserve"> Empty Stacker C-Tray Rear Base Guide Stopper Off Sol   동작이 실패 하였습니다.</t>
  </si>
  <si>
    <t xml:space="preserve"> Empty Stacker C-Tray Rear Base Guide Down Sol  동작이 실패 하였습니다.</t>
  </si>
  <si>
    <t xml:space="preserve"> Empty Stacker C-Tray Rear Base Guide Align Off Sol   동작이 실패 하였습니다.</t>
  </si>
  <si>
    <t xml:space="preserve"> Empty Stacker C-Tray Front Base Guide Down Sol   동작이 실패 하였습니다.</t>
  </si>
  <si>
    <t xml:space="preserve"> Empty Stacker C-Tray Front Base Guide Stopper Off Sol    동작이 실패 하였습니다.</t>
  </si>
  <si>
    <t xml:space="preserve"> LD#2 Stacker C-Tray Base Guide End Stopper Backward Sol  동작이 실패 하였습니다.</t>
  </si>
  <si>
    <t xml:space="preserve"> LD#2 Stacker C-Tray Base Guide Stopper Backward Sol  동작이 실패 하였습니다.</t>
  </si>
  <si>
    <t xml:space="preserve"> LD#2 Stacker C-Tray Rear Base Guide End Plate Down Sol  동작이 실패 하였습니다.</t>
  </si>
  <si>
    <t xml:space="preserve"> LD#2 Stacker C-Tray Rear Base Guide Down Sol  동작이 실패 하였습니다.</t>
  </si>
  <si>
    <t xml:space="preserve"> LD#2 Stacker C-Tray Rear Base Guide Align Off Sol  동작이 실패 하였습니다.</t>
  </si>
  <si>
    <t xml:space="preserve"> LD#2 Stacker C-Tray Middle Base Guide Down Sol  동작이 실패 하였습니다.</t>
  </si>
  <si>
    <t xml:space="preserve"> LD#2 Stacker C-Tray Middle Base Stopper Off Sol   동작이 실패 하였습니다.</t>
  </si>
  <si>
    <t xml:space="preserve"> LD#2 Stacker C-Tray Front Base Guide Down Sol  동작이 실패 하였습니다.</t>
  </si>
  <si>
    <t xml:space="preserve"> LD#2 Stacker C-Tray Front Base Guide Align Off Sol  동작이 실패 하였습니다.</t>
  </si>
  <si>
    <t xml:space="preserve"> LD#1 Stacker C-Tray Base Guide End Stopper Backward Sol  동작이 실패 하였습니다.</t>
  </si>
  <si>
    <t xml:space="preserve"> LD#1 Stacker C-Tray Base Guide Stopper Backward Sol  동작이 실패 하였습니다.</t>
  </si>
  <si>
    <t xml:space="preserve"> LD#1 Stacker C-Tray Rear Base Guide End Plate Down Sol  동작이 실패 하였습니다.</t>
  </si>
  <si>
    <t xml:space="preserve"> LD#1 Stacker C-Tray Rear Base Guide Down Sol  동작이 실패 하였습니다.</t>
  </si>
  <si>
    <t xml:space="preserve"> LD#1 Stacker C-Tray Rear Base Guide Align Off Sol  동작이 실패 하였습니다.</t>
  </si>
  <si>
    <t xml:space="preserve"> LD#1 Stacker C-Tray Middle Base Guide Down Sol  동작이 실패 하였습니다.</t>
  </si>
  <si>
    <t xml:space="preserve"> LD#1 Stacker C-Tray Middle Base Stopper Off Sol   동작이 실패 하였습니다.</t>
  </si>
  <si>
    <t xml:space="preserve"> LD#1 Stacker C-Tray Front Base Guide Down Sol  동작이 실패 하였습니다.</t>
  </si>
  <si>
    <t xml:space="preserve"> LD#1 Stacker C-Tray Front Base Guide Align Off Sol  동작이 실패 하였습니다.</t>
  </si>
  <si>
    <t xml:space="preserve"> ULD#2 Stacker C-Tray Rear Base Guide End Plate Up Sol  동작이 실패 하였습니다.</t>
  </si>
  <si>
    <t xml:space="preserve"> ULD#2 Stacker C-Tray Rear Base Guide Up Sol  동작이 실패 하였습니다.</t>
  </si>
  <si>
    <t xml:space="preserve"> ULD#2 Stacker C-Tray Rear Base Guide Align Guide On Sol   동작이 실패 하였습니다.</t>
  </si>
  <si>
    <t xml:space="preserve"> ULD#2 Stacker C-Tray Middle Base Guide Up Sol   동작이 실패 하였습니다.</t>
  </si>
  <si>
    <t xml:space="preserve"> ULD#2 Stacker C-Tray Middle Base Guide Stopper On Sol    동작이 실패 하였습니다.</t>
  </si>
  <si>
    <t xml:space="preserve"> ULD#2 Stacker C-Tray Front Base Guide Up Sol   동작이 실패 하였습니다.</t>
  </si>
  <si>
    <t xml:space="preserve"> ULD#2 Stacker C-Tray Front Base Guide Stopper On Sol    동작이 실패 하였습니다.</t>
  </si>
  <si>
    <t xml:space="preserve"> ULD#2 Stacker C-Tray Front Base Guide Align On Sol   동작이 실패 하였습니다.</t>
  </si>
  <si>
    <t xml:space="preserve"> ULD#1 Stacker C-Tray Rear Base Guide End Plate Up Sol  동작이 실패 하였습니다.</t>
  </si>
  <si>
    <t xml:space="preserve"> ULD#1 Stacker C-Tray Rear Base Guide Up Sol  동작이 실패 하였습니다.</t>
  </si>
  <si>
    <t xml:space="preserve"> ULD#1 Stacker C-Tray Rear Base Guide Align Guide On Sol   동작이 실패 하였습니다.</t>
  </si>
  <si>
    <t xml:space="preserve"> ULD#1 Stacker C-Tray Middle Base Guide Up Sol   동작이 실패 하였습니다.</t>
  </si>
  <si>
    <t xml:space="preserve"> ULD#1 Stacker C-Tray Middle Base Guide Stopper On Sol    동작이 실패 하였습니다.</t>
  </si>
  <si>
    <t xml:space="preserve"> ULD#1 Stacker C-Tray Front Base Guide Up Sol   동작이 실패 하였습니다.</t>
  </si>
  <si>
    <t xml:space="preserve"> ULD#1 Stacker C-Tray Front Base Guide Stopper On Sol    동작이 실패 하였습니다.</t>
  </si>
  <si>
    <t xml:space="preserve"> ULD#1 Stacker C-Tray Front Base Guide Align On Sol   동작이 실패 하였습니다.</t>
  </si>
  <si>
    <t xml:space="preserve"> Reject Stacker C-Tray Rear Base Guide End Stopper On Sol   동작이 실패 하였습니다.</t>
  </si>
  <si>
    <t xml:space="preserve"> Reject Stacker C-Tray Rear Base Guide Stopper On Sol   동작이 실패 하였습니다.</t>
  </si>
  <si>
    <t xml:space="preserve"> ReJect Stacker  Rear Base Guide UP Sol   동작이 실패 하였습니다.</t>
  </si>
  <si>
    <t xml:space="preserve"> ReJect Stacker  Rear Base UP Sol   동작이 실패 하였습니다.</t>
  </si>
  <si>
    <t xml:space="preserve"> Reject Stacker C-Tray Rear Base Guide Align On Sol   동작이 실패 하였습니다.</t>
  </si>
  <si>
    <t xml:space="preserve"> ReJect Stacker C-Tray Bottom Base Stopper On Sol    동작이 실패 하였습니다.</t>
  </si>
  <si>
    <t xml:space="preserve"> ReJect Stacker C-Tray Top Base Stopper On Sol    동작이 실패 하였습니다.</t>
  </si>
  <si>
    <t xml:space="preserve"> Empty Stacker C-Tray Rear Base Guide End Stopper On Sol   동작이 실패 하였습니다.</t>
  </si>
  <si>
    <t xml:space="preserve"> Empty Stacker C-Tray Rear Base Guide Stopper On Sol   동작이 실패 하였습니다.</t>
  </si>
  <si>
    <t xml:space="preserve"> Empty Stacker C-Tray Rear Base Guide Up Sol  동작이 실패 하였습니다.</t>
  </si>
  <si>
    <t xml:space="preserve"> Empty Stacker C-Tray Rear Base Guide Align On Sol   동작이 실패 하였습니다.</t>
  </si>
  <si>
    <t xml:space="preserve"> Empty Stacker C-Tray Front Base Guide Up Sol   동작이 실패 하였습니다.</t>
  </si>
  <si>
    <t xml:space="preserve"> Empty Stacker C-Tray Front Base Guide Stopper On Sol    동작이 실패 하였습니다.</t>
  </si>
  <si>
    <t xml:space="preserve"> LD#2 Stacker C-Tray Base Guide End Stopper Forward Sol  동작이 실패 하였습니다.</t>
  </si>
  <si>
    <t xml:space="preserve"> LD#2 Stacker C-Tray Base Guide Stopper Forward Sol  동작이 실패 하였습니다.</t>
  </si>
  <si>
    <t xml:space="preserve"> LD#2 Stacker C-Tray Rear Base Guide End Plate Up Sol  동작이 실패 하였습니다.</t>
  </si>
  <si>
    <t xml:space="preserve"> LD#2 Stacker C-Tray Rear Base Guide Up Sol  동작이 실패 하였습니다.</t>
  </si>
  <si>
    <t xml:space="preserve"> LD#2 Stacker C-Tray Rear Base Guide Align On Sol  동작이 실패 하였습니다.</t>
  </si>
  <si>
    <t xml:space="preserve"> LD#2 Stacker C-Tray Middle Base Guide Up Sol  동작이 실패 하였습니다.</t>
  </si>
  <si>
    <t xml:space="preserve"> LD#2 Stacker C-Tray Middle Base Stopper On Sol   동작이 실패 하였습니다.</t>
  </si>
  <si>
    <t xml:space="preserve"> LD#2 Stacker C-Tray Front Base Guide Up Sol  동작이 실패 하였습니다.</t>
  </si>
  <si>
    <t xml:space="preserve"> LD#2 Stacker C-Tray Front Base Guide Align On Sol  동작이 실패 하였습니다.</t>
  </si>
  <si>
    <t xml:space="preserve"> LD#1 Stacker C-Tray Base Guide End Stopper Forward Sol  동작이 실패 하였습니다.</t>
  </si>
  <si>
    <t xml:space="preserve"> LD#1 Stacker C-Tray Base Guide Stopper Forward Sol  동작이 실패 하였습니다.</t>
  </si>
  <si>
    <t xml:space="preserve"> LD#1 Stacker C-Tray Rear Base Guide End Plate Up Sol  동작이 실패 하였습니다.</t>
  </si>
  <si>
    <t xml:space="preserve"> LD#1 Stacker C-Tray Rear Base Guide Up Sol  동작이 실패 하였습니다.</t>
  </si>
  <si>
    <t xml:space="preserve"> LD#1 Stacker C-Tray Rear Base Guide Align On Sol  동작이 실패 하였습니다.</t>
  </si>
  <si>
    <t xml:space="preserve"> LD#1 Stacker C-Tray Middle Base Guide Up Sol  동작이 실패 하였습니다.</t>
  </si>
  <si>
    <t xml:space="preserve"> LD#1 Stacker C-Tray Middle Base Stopper On Sol   동작이 실패 하였습니다.</t>
  </si>
  <si>
    <t xml:space="preserve"> LD#1 Stacker C-Tray Front Base Guide Up Sol  동작이 실패 하였습니다.</t>
  </si>
  <si>
    <t xml:space="preserve"> LD#1 Stacker C-Tray Front Base Guide Align On Sol  동작이 실패 하였습니다.</t>
  </si>
  <si>
    <t xml:space="preserve"> ULD#2 Stacker C-Tray PickUp Check   센서가 감지되지 않았습니다.</t>
  </si>
  <si>
    <t xml:space="preserve"> ULD#2 Stacker Manual C-Tray Middle Stopper Check   센서가 감지되지 않았습니다.</t>
  </si>
  <si>
    <t xml:space="preserve"> ULD#2 Stacker Manual C-Tray Output Check   센서가 감지되지 않았습니다.</t>
  </si>
  <si>
    <t xml:space="preserve"> ULD#2 Stacker C-Tray Rear Base Guide Right Align Guide Off Sensor   센서가 감지되지 않았습니다.</t>
  </si>
  <si>
    <t xml:space="preserve"> ULD#2 Stacker C-Tray Rear Base Guide Right Align Guide On Sensor   센서가 감지되지 않았습니다.</t>
  </si>
  <si>
    <t xml:space="preserve"> ULD#2 Stacker C-Tray Middle Base Guide Right Stopper Off Sensor    센서가 감지되지 않았습니다.</t>
  </si>
  <si>
    <t xml:space="preserve"> ULD#2 Stacker C-Tray Middle Base Guide Right Stopper On Sensor    센서가 감지되지 않았습니다.</t>
  </si>
  <si>
    <t xml:space="preserve"> ULD#2 Stacker C-Tray Front Base Guide Right Align Off Sensor   센서가 감지되지 않았습니다.</t>
  </si>
  <si>
    <t xml:space="preserve"> ULD#2 Stacker C-Tray Front Base Guide Right Align On Sensor   센서가 감지되지 않았습니다.</t>
  </si>
  <si>
    <t xml:space="preserve"> ULD#2 Stacker C-Tray Front Base Guide Right Stopper Off Sensor    센서가 감지되지 않았습니다.</t>
  </si>
  <si>
    <t xml:space="preserve"> ULD#2 Stacker C-Tray Front Base Guide Right Stopper On Sensor    센서가 감지되지 않았습니다.</t>
  </si>
  <si>
    <t xml:space="preserve"> ULD#2 Stacker OHT C-Tray Middle Stopper Check   센서가 감지되지 않았습니다.</t>
  </si>
  <si>
    <t xml:space="preserve"> ULD#2 Stacker OHT C-Tray Front Stopper Check   센서가 감지되지 않았습니다.</t>
  </si>
  <si>
    <t xml:space="preserve"> ULD#2 Stacker C-Tray Rear Base Guide Left Align Guide Off Sensor   센서가 감지되지 않았습니다.</t>
  </si>
  <si>
    <t xml:space="preserve"> ULD#2 Stacker C-Tray Rear Base Guide Left Align Guide On Sensor   센서가 감지되지 않았습니다.</t>
  </si>
  <si>
    <t xml:space="preserve"> ULD#2 Stacker C-Tray Middle Base Guide Left Stopper Off Sensor    센서가 감지되지 않았습니다.</t>
  </si>
  <si>
    <t xml:space="preserve"> ULD#2 Stacker C-Tray Middle Base Guide Left Stopper On Sensor    센서가 감지되지 않았습니다.</t>
  </si>
  <si>
    <t xml:space="preserve"> ULD#2 Stacker C-Tray Front Base Guide Left Align Off Sensor   센서가 감지되지 않았습니다.</t>
  </si>
  <si>
    <t xml:space="preserve"> ULD#2 Stacker C-Tray Front Base Guide Left Align On Sensor   센서가 감지되지 않았습니다.</t>
  </si>
  <si>
    <t xml:space="preserve"> ULD#2 Stacker C-Tray Front Base Guide Left Stopper Off Sensor    센서가 감지되지 않았습니다.</t>
  </si>
  <si>
    <t xml:space="preserve"> ULD#2 Stacker C-Tray Front Base Guide Left Stopper On Sensor    센서가 감지되지 않았습니다.</t>
  </si>
  <si>
    <t xml:space="preserve"> ULD#2 Stacker C-Tray Rear Base Guide Tray Check   센서가 감지되지 않았습니다.</t>
  </si>
  <si>
    <t xml:space="preserve"> ULD#2 Stacker C-Tray Rear Base Guide End Plate Down Sensor  센서가 감지되지 않았습니다.</t>
  </si>
  <si>
    <t xml:space="preserve"> ULD#2 Stacker C-Tray Rear Base Guide End Plate Up Sensor  센서가 감지되지 않았습니다.</t>
  </si>
  <si>
    <t xml:space="preserve"> ULD#2 Stacker C-Tray Rear Base Guide Down Sensor  센서가 감지되지 않았습니다.</t>
  </si>
  <si>
    <t xml:space="preserve"> ULD#2 Stacker C-Tray Rear Base Guide Up Sensor  센서가 감지되지 않았습니다.</t>
  </si>
  <si>
    <t xml:space="preserve"> ULD#2 Stacker C-Tray Middle Base Guide Tray Check   센서가 감지되지 않았습니다.</t>
  </si>
  <si>
    <t xml:space="preserve"> ULD#2 Stacker C-Tray Middle Base Guide Down Sensor   센서가 감지되지 않았습니다.</t>
  </si>
  <si>
    <t xml:space="preserve"> ULD#2 Stacker C-Tray Middle Base Guide Up Sensor   센서가 감지되지 않았습니다.</t>
  </si>
  <si>
    <t xml:space="preserve"> ULD#2 Stacker C-Tray Front Base Guide Tray Check   센서가 감지되지 않았습니다.</t>
  </si>
  <si>
    <t xml:space="preserve"> ULD#2 Stacker C-Tray Front Base Guide Down Sensor   센서가 감지되지 않았습니다.</t>
  </si>
  <si>
    <t xml:space="preserve"> ULD#2 Stacker C-Tray Front Base Guide Up Sensor   센서가 감지되지 않았습니다.</t>
  </si>
  <si>
    <t xml:space="preserve"> ULD#2 Stacker Manual C-Tray Front Stopper Check   센서가 감지되지 않았습니다.</t>
  </si>
  <si>
    <t xml:space="preserve"> ULD#1 Stacker C-Tray PickUp Check   센서가 감지되지 않았습니다.</t>
  </si>
  <si>
    <t xml:space="preserve"> ULD#1 Stacker Manual C-Tray Middle Stopper Check   센서가 감지되지 않았습니다.</t>
  </si>
  <si>
    <t xml:space="preserve"> ULD#1 Stacker Manual C-Tray Output Check   센서가 감지되지 않았습니다.</t>
  </si>
  <si>
    <t xml:space="preserve"> ULD#1 Stacker C-Tray Rear Base Guide Right Align Guide Off Sensor   센서가 감지되지 않았습니다.</t>
  </si>
  <si>
    <t xml:space="preserve"> ULD#1 Stacker C-Tray Rear Base Guide Right Align Guide On Sensor   센서가 감지되지 않았습니다.</t>
  </si>
  <si>
    <t xml:space="preserve"> ULD#1 Stacker C-Tray Middle Base Guide Right Stopper Off Sensor    센서가 감지되지 않았습니다.</t>
  </si>
  <si>
    <t xml:space="preserve"> ULD#1 Stacker C-Tray Middle Base Guide Right Stopper On Sensor    센서가 감지되지 않았습니다.</t>
  </si>
  <si>
    <t xml:space="preserve"> ULD#1 Stacker C-Tray Front Base Guide Right Align Off Sensor   센서가 감지되지 않았습니다.</t>
  </si>
  <si>
    <t xml:space="preserve"> ULD#1 Stacker C-Tray Front Base Guide Right Align On Sensor   센서가 감지되지 않았습니다.</t>
  </si>
  <si>
    <t xml:space="preserve"> ULD#1 Stacker C-Tray Front Base Guide Right Stopper Off Sensor    센서가 감지되지 않았습니다.</t>
  </si>
  <si>
    <t xml:space="preserve"> ULD#1 Stacker C-Tray Front Base Guide Right Stopper On Sensor    센서가 감지되지 않았습니다.</t>
  </si>
  <si>
    <t xml:space="preserve"> ULD#1 Stacker OHT C-Tray Middle Stopper Check   센서가 감지되지 않았습니다.</t>
  </si>
  <si>
    <t xml:space="preserve"> ULD#1 Stacker OHT C-Tray Front Stopper Check   센서가 감지되지 않았습니다.</t>
  </si>
  <si>
    <t xml:space="preserve"> ULD#1 Stacker C-Tray Rear Base Guide Left Align Guide Off Sensor   센서가 감지되지 않았습니다.</t>
  </si>
  <si>
    <t xml:space="preserve"> ULD#1 Stacker C-Tray Rear Base Guide Left Align Guide On Sensor   센서가 감지되지 않았습니다.</t>
  </si>
  <si>
    <t xml:space="preserve"> ULD#1 Stacker C-Tray Middle Base Guide Left Stopper Off Sensor    센서가 감지되지 않았습니다.</t>
  </si>
  <si>
    <t xml:space="preserve"> ULD#1 Stacker C-Tray Middle Base Guide Left Stopper On Sensor    센서가 감지되지 않았습니다.</t>
  </si>
  <si>
    <t xml:space="preserve"> ULD#1 Stacker C-Tray Front Base Guide Left Align Off Sensor   센서가 감지되지 않았습니다.</t>
  </si>
  <si>
    <t xml:space="preserve"> ULD#1 Stacker C-Tray Front Base Guide Left Align On Sensor   센서가 감지되지 않았습니다.</t>
  </si>
  <si>
    <t xml:space="preserve"> ULD#1 Stacker C-Tray Front Base Guide Left Stopper Off Sensor    센서가 감지되지 않았습니다.</t>
  </si>
  <si>
    <t xml:space="preserve"> ULD#1 Stacker C-Tray Front Base Guide Left Stopper On Sensor    센서가 감지되지 않았습니다.</t>
  </si>
  <si>
    <t xml:space="preserve"> ULD#1 Stacker C-Tray Rear Base Guide Tray Check   센서가 감지되지 않았습니다.</t>
  </si>
  <si>
    <t xml:space="preserve"> ULD#1 Stacker C-Tray Rear Base Guide End Plate Down Sensor  센서가 감지되지 않았습니다.</t>
  </si>
  <si>
    <t xml:space="preserve"> ULD#1 Stacker C-Tray Rear Base Guide End Plate Up Sensor  센서가 감지되지 않았습니다.</t>
  </si>
  <si>
    <t xml:space="preserve"> ULD#1 Stacker C-Tray Rear Base Guide Down Sensor  센서가 감지되지 않았습니다.</t>
  </si>
  <si>
    <t xml:space="preserve"> ULD#1 Stacker C-Tray Rear Base Guide Up Sensor  센서가 감지되지 않았습니다.</t>
  </si>
  <si>
    <t xml:space="preserve"> ULD#1 Stacker C-Tray Middle Base Guide Tray Check   센서가 감지되지 않았습니다.</t>
  </si>
  <si>
    <t xml:space="preserve"> ULD#1 Stacker C-Tray Middle Base Guide Down Sensor   센서가 감지되지 않았습니다.</t>
  </si>
  <si>
    <t xml:space="preserve"> ULD#1 Stacker C-Tray Middle Base Guide Up Sensor   센서가 감지되지 않았습니다.</t>
  </si>
  <si>
    <t xml:space="preserve"> ULD#1 Stacker C-Tray Front Base Guide Tray Check   센서가 감지되지 않았습니다.</t>
  </si>
  <si>
    <t xml:space="preserve"> ULD#1 Stacker C-Tray Front Base Guide Down Sensor   센서가 감지되지 않았습니다.</t>
  </si>
  <si>
    <t xml:space="preserve"> ULD#1 Stacker C-Tray Front Base Guide Up Sensor   센서가 감지되지 않았습니다.</t>
  </si>
  <si>
    <t xml:space="preserve"> ULD#1 Stacker Manual C-Tray Front Stopper Check   센서가 감지되지 않았습니다.</t>
  </si>
  <si>
    <t xml:space="preserve"> Reject Stacker C-Tray Rear Base Guide Right Stopper Off Sensor   센서가 감지되지 않았습니다.</t>
  </si>
  <si>
    <t xml:space="preserve"> Reject Stacker C-Tray Rear Base Guide Right Stopper Middle Sensor   센서가 감지되지 않았습니다.</t>
  </si>
  <si>
    <t xml:space="preserve"> Reject Stacker C-Tray Rear Base Guide Right Stopper On Sensor   센서가 감지되지 않았습니다.</t>
  </si>
  <si>
    <t xml:space="preserve"> Reject Stacker C-Tray Rear Base Guide Right Align Off Sensor  센서가 감지되지 않았습니다.</t>
  </si>
  <si>
    <t xml:space="preserve"> Reject Stacker C-Tray Rear Base Guide Right Align On Sensor  센서가 감지되지 않았습니다.</t>
  </si>
  <si>
    <t xml:space="preserve"> ReJect Stacker  Rear Base Guide Rear Down Sensor   센서가 감지되지 않았습니다.</t>
  </si>
  <si>
    <t xml:space="preserve"> ReJect Stacker  Rear Base Guide Rear UP Sensor   센서가 감지되지 않았습니다.</t>
  </si>
  <si>
    <t xml:space="preserve"> Reject Stacker C-Tray Rear Base Guide Left Stopper Off Sensor   센서가 감지되지 않았습니다.</t>
  </si>
  <si>
    <t xml:space="preserve"> Reject Stacker C-Tray Rear Base Guide Left Stopper Middle Sensor   센서가 감지되지 않았습니다.</t>
  </si>
  <si>
    <t xml:space="preserve"> Reject Stacker C-Tray Rear Base Guide Left Stopper On Sensor   센서가 감지되지 않았습니다.</t>
  </si>
  <si>
    <t xml:space="preserve"> Reject Stacker C-Tray Rear Base Guide Left Align Off Sensor  센서가 감지되지 않았습니다.</t>
  </si>
  <si>
    <t xml:space="preserve"> Reject Stacker C-Tray Rear Base Guide Left Align On Sensor  센서가 감지되지 않았습니다.</t>
  </si>
  <si>
    <t xml:space="preserve"> ReJect Stacker  S-DIMM Stopper Check   센서가 감지되지 않았습니다.</t>
  </si>
  <si>
    <t xml:space="preserve"> ReJect Stacker  R-DIMM Stopper Check   센서가 감지되지 않았습니다.</t>
  </si>
  <si>
    <t xml:space="preserve"> ReJect Stacker  Rear Base Down Sensor   센서가 감지되지 않았습니다.</t>
  </si>
  <si>
    <t xml:space="preserve"> ReJect Stacker  Rear Base UP Sensor   센서가 감지되지 않았습니다.</t>
  </si>
  <si>
    <t xml:space="preserve"> ReJect Stacker C-Tray Bottom Base Stopper Check    센서가 감지되지 않았습니다.</t>
  </si>
  <si>
    <t xml:space="preserve"> ReJect Stacker C-Tray Bottom Base Input Check    센서가 감지되지 않았습니다.</t>
  </si>
  <si>
    <t xml:space="preserve"> ReJect Stacker C-Tray Bottom Base Stopper Off Sensor    센서가 감지되지 않았습니다.</t>
  </si>
  <si>
    <t xml:space="preserve"> ReJect Stacker C-Tray Bottom Base Stopper On Sensor    센서가 감지되지 않았습니다.</t>
  </si>
  <si>
    <t xml:space="preserve"> ReJect Stacker  Rear Base Guide Front Down Sensor   센서가 감지되지 않았습니다.</t>
  </si>
  <si>
    <t xml:space="preserve"> ReJect Stacker  Rear Base Guide Front UP Sensor   센서가 감지되지 않았습니다.</t>
  </si>
  <si>
    <t xml:space="preserve"> ReJect Stacker C-Tray Top Base Moving Check    센서가 감지되지 않았습니다.</t>
  </si>
  <si>
    <t xml:space="preserve"> ReJect Stacker C-Tray Top Base Output Check    센서가 감지되지 않았습니다.</t>
  </si>
  <si>
    <t xml:space="preserve"> ReJect Stacker C-Tray Top Base Stopper Off Sensor    센서가 감지되지 않았습니다.</t>
  </si>
  <si>
    <t xml:space="preserve"> ReJect Stacker C-Tray Top Base Stopper On Sensor    센서가 감지되지 않았습니다.</t>
  </si>
  <si>
    <t xml:space="preserve"> Empty Stacker C-Tray Rear Base Guide Right Stopper Off Sensor   센서가 감지되지 않았습니다.</t>
  </si>
  <si>
    <t xml:space="preserve"> Empty Stacker C-Tray Rear Base Guide Right Stopper Middle Sensor   센서가 감지되지 않았습니다.</t>
  </si>
  <si>
    <t xml:space="preserve"> Empty Stacker C-Tray Rear Base Guide Right Stopper On Sensor   센서가 감지되지 않았습니다.</t>
  </si>
  <si>
    <t xml:space="preserve"> Empty Stacker C-Tray Rear Base Guide Right Align Off Sensor   센서가 감지되지 않았습니다.</t>
  </si>
  <si>
    <t xml:space="preserve"> Empty Stacker C-Tray Rear Base Guide Right Align On Sensor   센서가 감지되지 않았습니다.</t>
  </si>
  <si>
    <t xml:space="preserve"> Empty Stacker C-Tray Front Base Guide Right Stopper Off Sensor    센서가 감지되지 않았습니다.</t>
  </si>
  <si>
    <t xml:space="preserve"> Empty Stacker C-Tray Front Base Guide Right Stopper On Sensor    센서가 감지되지 않았습니다.</t>
  </si>
  <si>
    <t xml:space="preserve"> Empty Stacker Manual C-Tray S-DIMM Check   센서가 감지되지 않았습니다.</t>
  </si>
  <si>
    <t xml:space="preserve"> Empty Stacker Manual C-Tray R-DIMM Check   센서가 감지되지 않았습니다.</t>
  </si>
  <si>
    <t xml:space="preserve"> Empty Stacker Manual C-Tray Stopper Check   센서가 감지되지 않았습니다.</t>
  </si>
  <si>
    <t xml:space="preserve"> Empty Stacker Manual C-Tray Input Check   센서가 감지되지 않았습니다.</t>
  </si>
  <si>
    <t xml:space="preserve"> Empty Stacker C-Tray Rear Base Guide Left Stopper Off Sensor   센서가 감지되지 않았습니다.</t>
  </si>
  <si>
    <t xml:space="preserve"> Empty Stacker C-Tray Rear Base Guide Left Stopper Middle Sensor   센서가 감지되지 않았습니다.</t>
  </si>
  <si>
    <t xml:space="preserve"> Empty Stacker C-Tray Rear Base Guide Left Stopper On Sensor   센서가 감지되지 않았습니다.</t>
  </si>
  <si>
    <t xml:space="preserve"> Empty Stacker C-Tray Rear Base Guide Left Align Off Sensor   센서가 감지되지 않았습니다.</t>
  </si>
  <si>
    <t xml:space="preserve"> Empty Stacker C-Tray Rear Base Guide Left Align On Sensor   센서가 감지되지 않았습니다.</t>
  </si>
  <si>
    <t xml:space="preserve"> Empty Stacker C-Tray Front Base Guide Left Stopper Off Sensor    센서가 감지되지 않았습니다.</t>
  </si>
  <si>
    <t xml:space="preserve"> Empty Stacker C-Tray Front Base Guide Left Stopper On Sensor    센서가 감지되지 않았습니다.</t>
  </si>
  <si>
    <t xml:space="preserve"> Empty Stacker C-Tray Rear Base Guide Tray Check   센서가 감지되지 않았습니다.</t>
  </si>
  <si>
    <t xml:space="preserve"> Empty Stacker C-Tray Rear Base Guide Down Sensor  센서가 감지되지 않았습니다.</t>
  </si>
  <si>
    <t xml:space="preserve"> Empty Stacker C-Tray Rear Base Guide Up Sensor  센서가 감지되지 않았습니다.</t>
  </si>
  <si>
    <t xml:space="preserve"> Empty Stacker C-Tray Front Base Guide Tray Check   센서가 감지되지 않았습니다.</t>
  </si>
  <si>
    <t xml:space="preserve"> Empty Stacker C-Tray Front Base Guide Down Sensor   센서가 감지되지 않았습니다.</t>
  </si>
  <si>
    <t xml:space="preserve"> Empty Stacker C-Tray Front Base Guide Up Sensor   센서가 감지되지 않았습니다.</t>
  </si>
  <si>
    <t xml:space="preserve"> LD#2 Stacker Manual C-Tray S-DIMM Check   센서가 감지되지 않았습니다.</t>
  </si>
  <si>
    <t xml:space="preserve"> LD#2 Stacker Manual C-Tray R-DIMM Check   센서가 감지되지 않았습니다.</t>
  </si>
  <si>
    <t xml:space="preserve"> LD#2 Stacker Manual C-Tray Middle Stopper Check   센서가 감지되지 않았습니다.</t>
  </si>
  <si>
    <t xml:space="preserve"> LD#2 Stacker Manual C-Tray Front Stopper Check   센서가 감지되지 않았습니다.</t>
  </si>
  <si>
    <t xml:space="preserve"> LD#2 Stacker Manual C-Tray Input Check   센서가 감지되지 않았습니다.</t>
  </si>
  <si>
    <t xml:space="preserve"> LD#2 Stacker C-Tray Rear Base Guide Right Stopper Off Sensor   센서가 감지되지 않았습니다.</t>
  </si>
  <si>
    <t xml:space="preserve"> LD#2 Stacker C-Tray Rear Base Guide Right Stopper Middle Sensor   센서가 감지되지 않았습니다.</t>
  </si>
  <si>
    <t xml:space="preserve"> LD#2 Stacker C-Tray Rear Base Guide Right Stopper On Sensor   센서가 감지되지 않았습니다.</t>
  </si>
  <si>
    <t xml:space="preserve"> LD#2 Stacker C-Tray Rear Base Guide Right Align Off Sensor   센서가 감지되지 않았습니다.</t>
  </si>
  <si>
    <t xml:space="preserve"> LD#2 Stacker C-Tray Rear Base Guide Right Align On Sensor   센서가 감지되지 않았습니다.</t>
  </si>
  <si>
    <t xml:space="preserve"> LD#2 Stacker OHT Carrer Stopper Check   센서가 감지되지 않았습니다.</t>
  </si>
  <si>
    <t xml:space="preserve"> LD#2 Stacker C-Tray Middle Base Right Stopper Off Sensor    센서가 감지되지 않았습니다.</t>
  </si>
  <si>
    <t xml:space="preserve"> LD#2 Stacker C-Tray Middle Base Right Stopper On Sensor    센서가 감지되지 않았습니다.</t>
  </si>
  <si>
    <t xml:space="preserve"> LD#2 Stacker C-Tray Front Base Guide Right Align Off Sensor   센서가 감지되지 않았습니다.</t>
  </si>
  <si>
    <t xml:space="preserve"> LD#2 Stacker C-Tray Front Base Guide Right Align On Sensor   센서가 감지되지 않았습니다.</t>
  </si>
  <si>
    <t xml:space="preserve"> LD#2 Stacker OHT C-Tray Rear Stopper Check   센서가 감지되지 않았습니다.</t>
  </si>
  <si>
    <t xml:space="preserve"> LD#2 Stacker OHT C-Tray Middle Stopper Check   센서가 감지되지 않았습니다.</t>
  </si>
  <si>
    <t xml:space="preserve"> LD#2 Stacker C-Tray Rear Base Guide Left Stopper Off Sensor   센서가 감지되지 않았습니다.</t>
  </si>
  <si>
    <t xml:space="preserve"> LD#2 Stacker C-Tray Rear Base Guide Left Stopper Middle Sensor   센서가 감지되지 않았습니다.</t>
  </si>
  <si>
    <t xml:space="preserve"> LD#2 Stacker C-Tray Rear Base Guide Left Stopper On Sensor   센서가 감지되지 않았습니다.</t>
  </si>
  <si>
    <t xml:space="preserve"> LD#2 Stacker C-Tray Rear Base Guide Left Align Off Sensor   센서가 감지되지 않았습니다.</t>
  </si>
  <si>
    <t xml:space="preserve"> LD#2 Stacker C-Tray Rear Base Guide Left Align On Sensor   센서가 감지되지 않았습니다.</t>
  </si>
  <si>
    <t xml:space="preserve"> LD#2 Stacker C-Tray Middle Base Left Stopper Off Sensor    센서가 감지되지 않았습니다.</t>
  </si>
  <si>
    <t xml:space="preserve"> LD#2 Stacker C-Tray Middle Base Left Stopper On Sensor    센서가 감지되지 않았습니다.</t>
  </si>
  <si>
    <t xml:space="preserve"> LD#2 Stacker C-Tray Front Base Guide Left Align Off Sensor   센서가 감지되지 않았습니다.</t>
  </si>
  <si>
    <t xml:space="preserve"> LD#2 Stacker C-Tray Front Base Guide Left Align On Sensor   센서가 감지되지 않았습니다.</t>
  </si>
  <si>
    <t xml:space="preserve"> LD#2 Stacker C-Tray Rear Base Guide Tray Check   센서가 감지되지 않았습니다.</t>
  </si>
  <si>
    <t xml:space="preserve"> LD#2 Stacker C-Tray Rear Base Guide End Plate Down Sensor  센서가 감지되지 않았습니다.</t>
  </si>
  <si>
    <t xml:space="preserve"> LD#2 Stacker C-Tray Rear Base Guide End Plate Up Sensor  센서가 감지되지 않았습니다.</t>
  </si>
  <si>
    <t xml:space="preserve"> LD#2 Stacker C-Tray Rear Base Guide Down Sensor  센서가 감지되지 않았습니다.</t>
  </si>
  <si>
    <t xml:space="preserve"> LD#2 Stacker C-Tray Rear Base Guide Up Sensor  센서가 감지되지 않았습니다.</t>
  </si>
  <si>
    <t xml:space="preserve"> LD#2 Stacker C-Tray Middle Base Guide Tray Check   센서가 감지되지 않았습니다.</t>
  </si>
  <si>
    <t xml:space="preserve"> LD#2 Stacker C-Tray Middle Base Guide Down Sensor   센서가 감지되지 않았습니다.</t>
  </si>
  <si>
    <t xml:space="preserve"> LD#2 Stacker C-Tray Middle Base Guide Up Sensor   센서가 감지되지 않았습니다.</t>
  </si>
  <si>
    <t xml:space="preserve"> LD#2 Stacker C-Tray Front Base Guide Tray Check   센서가 감지되지 않았습니다.</t>
  </si>
  <si>
    <t xml:space="preserve"> LD#2 Stacker C-Tray Front Base Guide Down Sensor   센서가 감지되지 않았습니다.</t>
  </si>
  <si>
    <t xml:space="preserve"> LD#2 Stacker C-Tray Front Base Guide Up Sensor   센서가 감지되지 않았습니다.</t>
  </si>
  <si>
    <t xml:space="preserve"> LD#1 Stacker Manual C-Tray S-DIMM Check   센서가 감지되지 않았습니다.</t>
  </si>
  <si>
    <t xml:space="preserve"> LD#1 Stacker Manual C-Tray R-DIMM Check   센서가 감지되지 않았습니다.</t>
  </si>
  <si>
    <t xml:space="preserve"> LD#1 Stacker Manual C-Tray Middle Stopper Check   센서가 감지되지 않았습니다.</t>
  </si>
  <si>
    <t xml:space="preserve"> LD#1 Stacker Manual C-Tray Front Stopper Check   센서가 감지되지 않았습니다.</t>
  </si>
  <si>
    <t xml:space="preserve"> LD#1 Stacker Manual C-Tray Input Check   센서가 감지되지 않았습니다.</t>
  </si>
  <si>
    <t xml:space="preserve"> LD#1 Stacker C-Tray Rear Base Guide Right Stopper Off Sensor   센서가 감지되지 않았습니다.</t>
  </si>
  <si>
    <t xml:space="preserve"> LD#1 Stacker C-Tray Rear Base Guide Right Stopper Middle Sensor   센서가 감지되지 않았습니다.</t>
  </si>
  <si>
    <t xml:space="preserve"> LD#1 Stacker C-Tray Rear Base Guide Right Stopper On Sensor   센서가 감지되지 않았습니다.</t>
  </si>
  <si>
    <t xml:space="preserve"> LD#1 Stacker C-Tray Rear Base Guide Right Align Off Sensor   센서가 감지되지 않았습니다.</t>
  </si>
  <si>
    <t xml:space="preserve"> LD#1 Stacker C-Tray Rear Base Guide Right Align On Sensor   센서가 감지되지 않았습니다.</t>
  </si>
  <si>
    <t xml:space="preserve"> LD#1 Stacker C-Tray Middle Base Right Stopper Off Sensor    센서가 감지되지 않았습니다.</t>
  </si>
  <si>
    <t xml:space="preserve"> LD#1 Stacker C-Tray Middle Base Right Stopper On Sensor    센서가 감지되지 않았습니다.</t>
  </si>
  <si>
    <t xml:space="preserve"> LD#1 Stacker C-Tray Front Base Guide Right Align Off Sensor   센서가 감지되지 않았습니다.</t>
  </si>
  <si>
    <t xml:space="preserve"> LD#1 Stacker C-Tray Front Base Guide Right Align On Sensor   센서가 감지되지 않았습니다.</t>
  </si>
  <si>
    <t xml:space="preserve"> LD#1 Stacker OHT C-Tray Rear Stopper Check   센서가 감지되지 않았습니다.</t>
  </si>
  <si>
    <t xml:space="preserve"> LD#1 Stacker OHT C-Tray Middle Stopper Check   센서가 감지되지 않았습니다.</t>
  </si>
  <si>
    <t xml:space="preserve"> LD#1 Stacker C-Tray Rear Base Guide Left Stopper Off Sensor   센서가 감지되지 않았습니다.</t>
  </si>
  <si>
    <t xml:space="preserve"> LD#1 Stacker C-Tray Rear Base Guide Left Stopper Middle Sensor   센서가 감지되지 않았습니다.</t>
  </si>
  <si>
    <t xml:space="preserve"> LD#1 Stacker C-Tray Rear Base Guide Left Stopper On Sensor   센서가 감지되지 않았습니다.</t>
  </si>
  <si>
    <t xml:space="preserve"> LD#1 Stacker C-Tray Rear Base Guide Left Align Off Sensor   센서가 감지되지 않았습니다.</t>
  </si>
  <si>
    <t xml:space="preserve"> LD#1 Stacker C-Tray Rear Base Guide Left Align On Sensor   센서가 감지되지 않았습니다.</t>
  </si>
  <si>
    <t xml:space="preserve"> LD#1 Stacker C-Tray Middle Base Left Stopper Off Sensor    센서가 감지되지 않았습니다.</t>
  </si>
  <si>
    <t xml:space="preserve"> LD#1 Stacker C-Tray Middle Base Left Stopper On Sensor    센서가 감지되지 않았습니다.</t>
  </si>
  <si>
    <t xml:space="preserve"> LD#1 Stacker C-Tray Front Base Guide Left Align Off Sensor   센서가 감지되지 않았습니다.</t>
  </si>
  <si>
    <t xml:space="preserve"> LD#1 Stacker C-Tray Front Base Guide Left Align On Sensor   센서가 감지되지 않았습니다.</t>
  </si>
  <si>
    <t xml:space="preserve"> LD#1 Stacker C-Tray Rear Base Guide Tray Check   센서가 감지되지 않았습니다.</t>
  </si>
  <si>
    <t xml:space="preserve"> LD#1 Stacker C-Tray Rear Base Guide End Plate Down Sensor  센서가 감지되지 않았습니다.</t>
  </si>
  <si>
    <t xml:space="preserve"> LD#1 Stacker C-Tray Rear Base Guide End Plate Up Sensor  센서가 감지되지 않았습니다.</t>
  </si>
  <si>
    <t xml:space="preserve"> LD#1 Stacker C-Tray Rear Base Guide Down Sensor  센서가 감지되지 않았습니다.</t>
  </si>
  <si>
    <t xml:space="preserve"> LD#1 Stacker C-Tray Rear Base Guide Up Sensor  센서가 감지되지 않았습니다.</t>
  </si>
  <si>
    <t xml:space="preserve"> LD#1 Stacker C-Tray Middle Base Guide Tray Check   센서가 감지되지 않았습니다.</t>
  </si>
  <si>
    <t xml:space="preserve"> LD#1 Stacker C-Tray Middle Base Guide Down Sensor   센서가 감지되지 않았습니다.</t>
  </si>
  <si>
    <t xml:space="preserve"> LD#1 Stacker C-Tray Middle Base Guide Up Sensor   센서가 감지되지 않았습니다.</t>
  </si>
  <si>
    <t xml:space="preserve"> LD#1 Stacker C-Tray Front Base Guide Tray Check   센서가 감지되지 않았습니다.</t>
  </si>
  <si>
    <t xml:space="preserve"> LD#1 Stacker C-Tray Front Base Guide Down Sensor   센서가 감지되지 않았습니다.</t>
  </si>
  <si>
    <t xml:space="preserve"> LD#1 Stacker C-Tray Front Base Guide Up Sensor   센서가 감지되지 않았습니다.</t>
  </si>
  <si>
    <t xml:space="preserve"> Reject Docking Position Check   센서가 감지되지 않았습니다.</t>
  </si>
  <si>
    <t xml:space="preserve"> Empty Docking Position Check   센서가 감지되지 않았습니다.</t>
  </si>
  <si>
    <t xml:space="preserve"> Unoader #2 Conveyer Alram Check   센서가 감지되지 않았습니다.</t>
  </si>
  <si>
    <t xml:space="preserve"> Unoader #1 Conveyer Alram Check   센서가 감지되지 않았습니다.</t>
  </si>
  <si>
    <t xml:space="preserve"> Reject TOP Conveyer Alram Check   센서가 감지되지 않았습니다.</t>
  </si>
  <si>
    <t xml:space="preserve"> Reject Bottom #2 Conveyer Alram Check   센서가 감지되지 않았습니다.</t>
  </si>
  <si>
    <t xml:space="preserve"> Reject Bottom #1 Conveyer Alram Check   센서가 감지되지 않았습니다.</t>
  </si>
  <si>
    <t xml:space="preserve"> Empty Conveyer Alram Check   센서가 감지되지 않았습니다.</t>
  </si>
  <si>
    <t xml:space="preserve"> Loader #2 Conveyer Alram Check   센서가 감지되지 않았습니다.</t>
  </si>
  <si>
    <t xml:space="preserve"> Loader #1 Conveyer Alram Check   센서가 감지되지 않았습니다.</t>
  </si>
  <si>
    <t xml:space="preserve"> Unloader#2 PIO COMPLETE   센서가 감지되지 않았습니다.</t>
  </si>
  <si>
    <t xml:space="preserve"> Unloader#2 PIO BUSY   센서가 감지되지 않았습니다.</t>
  </si>
  <si>
    <t xml:space="preserve"> Unloader#2 PIO TR_REQ   센서가 감지되지 않았습니다.</t>
  </si>
  <si>
    <t xml:space="preserve"> Unloader#2 PIO CS_3   센서가 감지되지 않았습니다.</t>
  </si>
  <si>
    <t xml:space="preserve"> Unloader#2 PIO CS_2   센서가 감지되지 않았습니다.</t>
  </si>
  <si>
    <t xml:space="preserve"> Unloader#2 PIO CS_1   센서가 감지되지 않았습니다.</t>
  </si>
  <si>
    <t xml:space="preserve"> Unloader#2 PIO CS_0   센서가 감지되지 않았습니다.</t>
  </si>
  <si>
    <t xml:space="preserve"> Unloader#2 VALID   센서가 감지되지 않았습니다.</t>
  </si>
  <si>
    <t xml:space="preserve"> Unloader#1 PIO COMPLETE   센서가 감지되지 않았습니다.</t>
  </si>
  <si>
    <t xml:space="preserve"> Unloader#1 PIO BUSY   센서가 감지되지 않았습니다.</t>
  </si>
  <si>
    <t xml:space="preserve"> Unloader#1 PIO TR_REQ   센서가 감지되지 않았습니다.</t>
  </si>
  <si>
    <t xml:space="preserve"> Unloader#1 PIO CS_3   센서가 감지되지 않았습니다.</t>
  </si>
  <si>
    <t xml:space="preserve"> Unloader#1 PIO CS_2   센서가 감지되지 않았습니다.</t>
  </si>
  <si>
    <t xml:space="preserve"> Unloader#1 PIO CS_1   센서가 감지되지 않았습니다.</t>
  </si>
  <si>
    <t xml:space="preserve"> Unloader#1 PIO CS_0   센서가 감지되지 않았습니다.</t>
  </si>
  <si>
    <t xml:space="preserve"> Unloader#1 VALID   센서가 감지되지 않았습니다.</t>
  </si>
  <si>
    <t xml:space="preserve"> Loader#2 PIO COMPLETE   센서가 감지되지 않았습니다.</t>
  </si>
  <si>
    <t xml:space="preserve"> Loader#2 PIO BUSY   센서가 감지되지 않았습니다.</t>
  </si>
  <si>
    <t xml:space="preserve"> Loader#2 PIO TR_REQ   센서가 감지되지 않았습니다.</t>
  </si>
  <si>
    <t xml:space="preserve"> Loader#2 PIO CS_3   센서가 감지되지 않았습니다.</t>
  </si>
  <si>
    <t xml:space="preserve"> Loader#2 PIO CS_2   센서가 감지되지 않았습니다.</t>
  </si>
  <si>
    <t xml:space="preserve"> Loader#2 PIO CS_1   센서가 감지되지 않았습니다.</t>
  </si>
  <si>
    <t xml:space="preserve"> Loader#2 PIO CS_0   센서가 감지되지 않았습니다.</t>
  </si>
  <si>
    <t xml:space="preserve"> Loader#2 VALID   센서가 감지되지 않았습니다.</t>
  </si>
  <si>
    <t xml:space="preserve"> Loader#1 PIO COMPLETE   센서가 감지되지 않았습니다.</t>
  </si>
  <si>
    <t xml:space="preserve"> Loader#1 PIO BUSY   센서가 감지되지 않았습니다.</t>
  </si>
  <si>
    <t xml:space="preserve"> Loader#1 PIO TR_REQ   센서가 감지되지 않았습니다.</t>
  </si>
  <si>
    <t xml:space="preserve"> Loader#1 PIO CS_3   센서가 감지되지 않았습니다.</t>
  </si>
  <si>
    <t xml:space="preserve"> Loader#1 PIO CS_2   센서가 감지되지 않았습니다.</t>
  </si>
  <si>
    <t xml:space="preserve"> Loader#1 PIO CS_1   센서가 감지되지 않았습니다.</t>
  </si>
  <si>
    <t xml:space="preserve"> Loader#1 PIO CS_0   센서가 감지되지 않았습니다.</t>
  </si>
  <si>
    <t xml:space="preserve"> Loader#1 VALID   센서가 감지되지 않았습니다.</t>
  </si>
  <si>
    <t xml:space="preserve"> ULD#2 Stacker C-Tray PickUp Check   센서가 감지되었습니다.</t>
  </si>
  <si>
    <t xml:space="preserve"> ULD#2 Stacker Manual C-Tray Middle Stopper Check   센서가 감지되었습니다.</t>
  </si>
  <si>
    <t xml:space="preserve"> ULD#2 Stacker Manual C-Tray Output Check   센서가 감지되었습니다.</t>
  </si>
  <si>
    <t xml:space="preserve"> ULD#2 Stacker C-Tray Rear Base Guide Right Align Guide Off Sensor   센서가 감지되었습니다.</t>
  </si>
  <si>
    <t xml:space="preserve"> ULD#2 Stacker C-Tray Rear Base Guide Right Align Guide On Sensor   센서가 감지되었습니다.</t>
  </si>
  <si>
    <t xml:space="preserve"> ULD#2 Stacker C-Tray Middle Base Guide Right Stopper Off Sensor    센서가 감지되었습니다.</t>
  </si>
  <si>
    <t xml:space="preserve"> ULD#2 Stacker C-Tray Middle Base Guide Right Stopper On Sensor    센서가 감지되었습니다.</t>
  </si>
  <si>
    <t xml:space="preserve"> ULD#2 Stacker C-Tray Front Base Guide Right Align Off Sensor   센서가 감지되었습니다.</t>
  </si>
  <si>
    <t xml:space="preserve"> ULD#2 Stacker C-Tray Front Base Guide Right Align On Sensor   센서가 감지되었습니다.</t>
  </si>
  <si>
    <t xml:space="preserve"> ULD#2 Stacker C-Tray Front Base Guide Right Stopper Off Sensor    센서가 감지되었습니다.</t>
  </si>
  <si>
    <t xml:space="preserve"> ULD#2 Stacker C-Tray Front Base Guide Right Stopper On Sensor    센서가 감지되었습니다.</t>
  </si>
  <si>
    <t xml:space="preserve"> ULD#2 Stacker OHT C-Tray Middle Stopper Check   센서가 감지되었습니다.</t>
  </si>
  <si>
    <t xml:space="preserve"> ULD#2 Stacker OHT C-Tray Front Stopper Check   센서가 감지되었습니다.</t>
  </si>
  <si>
    <t xml:space="preserve"> ULD#2 Stacker C-Tray Rear Base Guide Left Align Guide Off Sensor   센서가 감지되었습니다.</t>
  </si>
  <si>
    <t xml:space="preserve"> ULD#2 Stacker C-Tray Rear Base Guide Left Align Guide On Sensor   센서가 감지되었습니다.</t>
  </si>
  <si>
    <t xml:space="preserve"> ULD#2 Stacker C-Tray Middle Base Guide Left Stopper Off Sensor    센서가 감지되었습니다.</t>
  </si>
  <si>
    <t xml:space="preserve"> ULD#2 Stacker C-Tray Middle Base Guide Left Stopper On Sensor    센서가 감지되었습니다.</t>
  </si>
  <si>
    <t xml:space="preserve"> ULD#2 Stacker C-Tray Front Base Guide Left Align Off Sensor   센서가 감지되었습니다.</t>
  </si>
  <si>
    <t xml:space="preserve"> ULD#2 Stacker C-Tray Front Base Guide Left Align On Sensor   센서가 감지되었습니다.</t>
  </si>
  <si>
    <t xml:space="preserve"> ULD#2 Stacker C-Tray Front Base Guide Left Stopper Off Sensor    센서가 감지되었습니다.</t>
  </si>
  <si>
    <t xml:space="preserve"> ULD#2 Stacker C-Tray Front Base Guide Left Stopper On Sensor    센서가 감지되었습니다.</t>
  </si>
  <si>
    <t xml:space="preserve"> ULD#2 Stacker C-Tray Rear Base Guide Tray Check   센서가 감지되었습니다.</t>
  </si>
  <si>
    <t xml:space="preserve"> ULD#2 Stacker C-Tray Rear Base Guide End Plate Down Sensor  센서가 감지되었습니다.</t>
  </si>
  <si>
    <t xml:space="preserve"> ULD#2 Stacker C-Tray Rear Base Guide End Plate Up Sensor  센서가 감지되었습니다.</t>
  </si>
  <si>
    <t xml:space="preserve"> ULD#2 Stacker C-Tray Rear Base Guide Down Sensor  센서가 감지되었습니다.</t>
  </si>
  <si>
    <t xml:space="preserve"> ULD#2 Stacker C-Tray Rear Base Guide Up Sensor  센서가 감지되었습니다.</t>
  </si>
  <si>
    <t xml:space="preserve"> ULD#2 Stacker C-Tray Middle Base Guide Tray Check   센서가 감지되었습니다.</t>
  </si>
  <si>
    <t xml:space="preserve"> ULD#2 Stacker C-Tray Middle Base Guide Down Sensor   센서가 감지되었습니다.</t>
  </si>
  <si>
    <t xml:space="preserve"> ULD#2 Stacker C-Tray Middle Base Guide Up Sensor   센서가 감지되었습니다.</t>
  </si>
  <si>
    <t xml:space="preserve"> ULD#2 Stacker C-Tray Front Base Guide Tray Check   센서가 감지되었습니다.</t>
  </si>
  <si>
    <t xml:space="preserve"> ULD#2 Stacker C-Tray Front Base Guide Down Sensor   센서가 감지되었습니다.</t>
  </si>
  <si>
    <t xml:space="preserve"> ULD#2 Stacker C-Tray Front Base Guide Up Sensor   센서가 감지되었습니다.</t>
  </si>
  <si>
    <t xml:space="preserve"> ULD#2 Stacker Manual C-Tray Front Stopper Check   센서가 감지되었습니다.</t>
  </si>
  <si>
    <t xml:space="preserve"> ULD#1 Stacker C-Tray PickUp Check   센서가 감지되었습니다.</t>
  </si>
  <si>
    <t xml:space="preserve"> ULD#1 Stacker Manual C-Tray Middle Stopper Check   센서가 감지되었습니다.</t>
  </si>
  <si>
    <t xml:space="preserve"> ULD#1 Stacker Manual C-Tray Output Check   센서가 감지되었습니다.</t>
  </si>
  <si>
    <t xml:space="preserve"> ULD#1 Stacker C-Tray Rear Base Guide Right Align Guide Off Sensor   센서가 감지되었습니다.</t>
  </si>
  <si>
    <t xml:space="preserve"> ULD#1 Stacker C-Tray Rear Base Guide Right Align Guide On Sensor   센서가 감지되었습니다.</t>
  </si>
  <si>
    <t xml:space="preserve"> ULD#1 Stacker C-Tray Middle Base Guide Right Stopper Off Sensor    센서가 감지되었습니다.</t>
  </si>
  <si>
    <t xml:space="preserve"> ULD#1 Stacker C-Tray Middle Base Guide Right Stopper On Sensor    센서가 감지되었습니다.</t>
  </si>
  <si>
    <t xml:space="preserve"> ULD#1 Stacker C-Tray Front Base Guide Right Align Off Sensor   센서가 감지되었습니다.</t>
  </si>
  <si>
    <t xml:space="preserve"> ULD#1 Stacker C-Tray Front Base Guide Right Align On Sensor   센서가 감지되었습니다.</t>
  </si>
  <si>
    <t xml:space="preserve"> ULD#1 Stacker C-Tray Front Base Guide Right Stopper Off Sensor    센서가 감지되었습니다.</t>
  </si>
  <si>
    <t xml:space="preserve"> ULD#1 Stacker C-Tray Front Base Guide Right Stopper On Sensor    센서가 감지되었습니다.</t>
  </si>
  <si>
    <t xml:space="preserve"> ULD#1 Stacker OHT C-Tray Middle Stopper Check   센서가 감지되었습니다.</t>
  </si>
  <si>
    <t xml:space="preserve"> ULD#1 Stacker OHT C-Tray Front Stopper Check   센서가 감지되었습니다.</t>
  </si>
  <si>
    <t xml:space="preserve"> ULD#1 Stacker C-Tray Rear Base Guide Left Align Guide Off Sensor   센서가 감지되었습니다.</t>
  </si>
  <si>
    <t xml:space="preserve"> ULD#1 Stacker C-Tray Rear Base Guide Left Align Guide On Sensor   센서가 감지되었습니다.</t>
  </si>
  <si>
    <t xml:space="preserve"> ULD#1 Stacker C-Tray Middle Base Guide Left Stopper Off Sensor    센서가 감지되었습니다.</t>
  </si>
  <si>
    <t xml:space="preserve"> ULD#1 Stacker C-Tray Middle Base Guide Left Stopper On Sensor    센서가 감지되었습니다.</t>
  </si>
  <si>
    <t xml:space="preserve"> ULD#1 Stacker C-Tray Front Base Guide Left Align Off Sensor   센서가 감지되었습니다.</t>
  </si>
  <si>
    <t xml:space="preserve"> ULD#1 Stacker C-Tray Front Base Guide Left Align On Sensor   센서가 감지되었습니다.</t>
  </si>
  <si>
    <t xml:space="preserve"> ULD#1 Stacker C-Tray Front Base Guide Left Stopper Off Sensor    센서가 감지되었습니다.</t>
  </si>
  <si>
    <t xml:space="preserve"> ULD#1 Stacker C-Tray Front Base Guide Left Stopper On Sensor    센서가 감지되었습니다.</t>
  </si>
  <si>
    <t xml:space="preserve"> ULD#1 Stacker C-Tray Rear Base Guide Tray Check   센서가 감지되었습니다.</t>
  </si>
  <si>
    <t xml:space="preserve"> ULD#1 Stacker C-Tray Rear Base Guide End Plate Down Sensor  센서가 감지되었습니다.</t>
  </si>
  <si>
    <t xml:space="preserve"> ULD#1 Stacker C-Tray Rear Base Guide End Plate Up Sensor  센서가 감지되었습니다.</t>
  </si>
  <si>
    <t xml:space="preserve"> ULD#1 Stacker C-Tray Rear Base Guide Down Sensor  센서가 감지되었습니다.</t>
  </si>
  <si>
    <t xml:space="preserve"> ULD#1 Stacker C-Tray Rear Base Guide Up Sensor  센서가 감지되었습니다.</t>
  </si>
  <si>
    <t xml:space="preserve"> ULD#1 Stacker C-Tray Middle Base Guide Tray Check   센서가 감지되었습니다.</t>
  </si>
  <si>
    <t xml:space="preserve"> ULD#1 Stacker C-Tray Middle Base Guide Down Sensor   센서가 감지되었습니다.</t>
  </si>
  <si>
    <t xml:space="preserve"> ULD#1 Stacker C-Tray Middle Base Guide Up Sensor   센서가 감지되었습니다.</t>
  </si>
  <si>
    <t xml:space="preserve"> ULD#1 Stacker C-Tray Front Base Guide Tray Check   센서가 감지되었습니다.</t>
  </si>
  <si>
    <t xml:space="preserve"> ULD#1 Stacker C-Tray Front Base Guide Down Sensor   센서가 감지되었습니다.</t>
  </si>
  <si>
    <t xml:space="preserve"> ULD#1 Stacker C-Tray Front Base Guide Up Sensor   센서가 감지되었습니다.</t>
  </si>
  <si>
    <t xml:space="preserve"> ULD#1 Stacker Manual C-Tray Front Stopper Check   센서가 감지되었습니다.</t>
  </si>
  <si>
    <t xml:space="preserve"> Reject Stacker C-Tray Rear Base Guide Right Stopper Off Sensor   센서가 감지되었습니다.</t>
  </si>
  <si>
    <t xml:space="preserve"> Reject Stacker C-Tray Rear Base Guide Right Stopper Middle Sensor   센서가 감지되었습니다.</t>
  </si>
  <si>
    <t xml:space="preserve"> Reject Stacker C-Tray Rear Base Guide Right Stopper On Sensor   센서가 감지되었습니다.</t>
  </si>
  <si>
    <t xml:space="preserve"> Reject Stacker C-Tray Rear Base Guide Right Align Off Sensor  센서가 감지되었습니다.</t>
  </si>
  <si>
    <t xml:space="preserve"> Reject Stacker C-Tray Rear Base Guide Right Align On Sensor  센서가 감지되었습니다.</t>
  </si>
  <si>
    <t xml:space="preserve"> ReJect Stacker  Rear Base Guide Rear Down Sensor   센서가 감지되었습니다.</t>
  </si>
  <si>
    <t xml:space="preserve"> ReJect Stacker  Rear Base Guide Rear UP Sensor   센서가 감지되었습니다.</t>
  </si>
  <si>
    <t xml:space="preserve"> Reject Stacker C-Tray Rear Base Guide Left Stopper Off Sensor   센서가 감지되었습니다.</t>
  </si>
  <si>
    <t xml:space="preserve"> Reject Stacker C-Tray Rear Base Guide Left Stopper Middle Sensor   센서가 감지되었습니다.</t>
  </si>
  <si>
    <t xml:space="preserve"> Reject Stacker C-Tray Rear Base Guide Left Stopper On Sensor   센서가 감지되었습니다.</t>
  </si>
  <si>
    <t xml:space="preserve"> Reject Stacker C-Tray Rear Base Guide Left Align Off Sensor  센서가 감지되었습니다.</t>
  </si>
  <si>
    <t xml:space="preserve"> Reject Stacker C-Tray Rear Base Guide Left Align On Sensor  센서가 감지되었습니다.</t>
  </si>
  <si>
    <t xml:space="preserve"> ReJect Stacker  S-DIMM Stopper Check   센서가 감지되었습니다.</t>
  </si>
  <si>
    <t xml:space="preserve"> ReJect Stacker  R-DIMM Stopper Check   센서가 감지되었습니다.</t>
  </si>
  <si>
    <t xml:space="preserve"> ReJect Stacker  Rear Base Down Sensor   센서가 감지되었습니다.</t>
  </si>
  <si>
    <t xml:space="preserve"> ReJect Stacker  Rear Base UP Sensor   센서가 감지되었습니다.</t>
  </si>
  <si>
    <t xml:space="preserve"> ReJect Stacker C-Tray Bottom Base Stopper Check    센서가 감지되었습니다.</t>
  </si>
  <si>
    <t xml:space="preserve"> ReJect Stacker C-Tray Bottom Base Input Check    센서가 감지되었습니다.</t>
  </si>
  <si>
    <t xml:space="preserve"> ReJect Stacker C-Tray Bottom Base Stopper Off Sensor    센서가 감지되었습니다.</t>
  </si>
  <si>
    <t xml:space="preserve"> ReJect Stacker C-Tray Bottom Base Stopper On Sensor    센서가 감지되었습니다.</t>
  </si>
  <si>
    <t xml:space="preserve"> ReJect Stacker  Rear Base Guide Front Down Sensor   센서가 감지되었습니다.</t>
  </si>
  <si>
    <t xml:space="preserve"> ReJect Stacker  Rear Base Guide Front UP Sensor   센서가 감지되었습니다.</t>
  </si>
  <si>
    <t xml:space="preserve"> ReJect Stacker C-Tray Top Base Moving Check    센서가 감지되었습니다.</t>
  </si>
  <si>
    <t xml:space="preserve"> ReJect Stacker C-Tray Top Base Output Check    센서가 감지되었습니다.</t>
  </si>
  <si>
    <t xml:space="preserve"> ReJect Stacker C-Tray Top Base Stopper Off Sensor    센서가 감지되었습니다.</t>
  </si>
  <si>
    <t xml:space="preserve"> ReJect Stacker C-Tray Top Base Stopper On Sensor    센서가 감지되었습니다.</t>
  </si>
  <si>
    <t xml:space="preserve"> Empty Stacker C-Tray Rear Base Guide Right Stopper Off Sensor   센서가 감지되었습니다.</t>
  </si>
  <si>
    <t xml:space="preserve"> Empty Stacker C-Tray Rear Base Guide Right Stopper Middle Sensor   센서가 감지되었습니다.</t>
  </si>
  <si>
    <t xml:space="preserve"> Empty Stacker C-Tray Rear Base Guide Right Stopper On Sensor   센서가 감지되었습니다.</t>
  </si>
  <si>
    <t xml:space="preserve"> Empty Stacker C-Tray Rear Base Guide Right Align Off Sensor   센서가 감지되었습니다.</t>
  </si>
  <si>
    <t xml:space="preserve"> Empty Stacker C-Tray Rear Base Guide Right Align On Sensor   센서가 감지되었습니다.</t>
  </si>
  <si>
    <t xml:space="preserve"> Empty Stacker C-Tray Front Base Guide Right Stopper Off Sensor    센서가 감지되었습니다.</t>
  </si>
  <si>
    <t xml:space="preserve"> Empty Stacker C-Tray Front Base Guide Right Stopper On Sensor    센서가 감지되었습니다.</t>
  </si>
  <si>
    <t xml:space="preserve"> Empty Stacker Manual C-Tray S-DIMM Check   센서가 감지되었습니다.</t>
  </si>
  <si>
    <t xml:space="preserve"> Empty Stacker Manual C-Tray R-DIMM Check   센서가 감지되었습니다.</t>
  </si>
  <si>
    <t xml:space="preserve"> Empty Stacker Manual C-Tray Stopper Check   센서가 감지되었습니다.</t>
  </si>
  <si>
    <t xml:space="preserve"> Empty Stacker Manual C-Tray Input Check   센서가 감지되었습니다.</t>
  </si>
  <si>
    <t xml:space="preserve"> Empty Stacker C-Tray Rear Base Guide Left Stopper Off Sensor   센서가 감지되었습니다.</t>
  </si>
  <si>
    <t xml:space="preserve"> Empty Stacker C-Tray Rear Base Guide Left Stopper Middle Sensor   센서가 감지되었습니다.</t>
  </si>
  <si>
    <t xml:space="preserve"> Empty Stacker C-Tray Rear Base Guide Left Stopper On Sensor   센서가 감지되었습니다.</t>
  </si>
  <si>
    <t xml:space="preserve"> Empty Stacker C-Tray Rear Base Guide Left Align Off Sensor   센서가 감지되었습니다.</t>
  </si>
  <si>
    <t xml:space="preserve"> Empty Stacker C-Tray Rear Base Guide Left Align On Sensor   센서가 감지되었습니다.</t>
  </si>
  <si>
    <t xml:space="preserve"> Empty Stacker C-Tray Front Base Guide Left Stopper Off Sensor    센서가 감지되었습니다.</t>
  </si>
  <si>
    <t xml:space="preserve"> Empty Stacker C-Tray Front Base Guide Left Stopper On Sensor    센서가 감지되었습니다.</t>
  </si>
  <si>
    <t xml:space="preserve"> Empty Stacker C-Tray Rear Base Guide Tray Check   센서가 감지되었습니다.</t>
  </si>
  <si>
    <t xml:space="preserve"> Empty Stacker C-Tray Rear Base Guide Down Sensor  센서가 감지되었습니다.</t>
  </si>
  <si>
    <t xml:space="preserve"> Empty Stacker C-Tray Rear Base Guide Up Sensor  센서가 감지되었습니다.</t>
  </si>
  <si>
    <t xml:space="preserve"> Empty Stacker C-Tray Front Base Guide Tray Check   센서가 감지되었습니다.</t>
  </si>
  <si>
    <t xml:space="preserve"> Empty Stacker C-Tray Front Base Guide Down Sensor   센서가 감지되었습니다.</t>
  </si>
  <si>
    <t xml:space="preserve"> Empty Stacker C-Tray Front Base Guide Up Sensor   센서가 감지되었습니다.</t>
  </si>
  <si>
    <t xml:space="preserve"> LD#2 Stacker Manual C-Tray S-DIMM Check   센서가 감지되었습니다.</t>
  </si>
  <si>
    <t xml:space="preserve"> LD#2 Stacker Manual C-Tray R-DIMM Check   센서가 감지되었습니다.</t>
  </si>
  <si>
    <t xml:space="preserve"> LD#2 Stacker Manual C-Tray Middle Stopper Check   센서가 감지되었습니다.</t>
  </si>
  <si>
    <t xml:space="preserve"> LD#2 Stacker Manual C-Tray Front Stopper Check   센서가 감지되었습니다.</t>
  </si>
  <si>
    <t xml:space="preserve"> LD#2 Stacker Manual C-Tray Input Check   센서가 감지되었습니다.</t>
  </si>
  <si>
    <t xml:space="preserve"> LD#2 Stacker C-Tray Rear Base Guide Right Stopper Off Sensor   센서가 감지되었습니다.</t>
  </si>
  <si>
    <t xml:space="preserve"> LD#2 Stacker C-Tray Rear Base Guide Right Stopper Middle Sensor   센서가 감지되었습니다.</t>
  </si>
  <si>
    <t xml:space="preserve"> LD#2 Stacker C-Tray Rear Base Guide Right Stopper On Sensor   센서가 감지되었습니다.</t>
  </si>
  <si>
    <t xml:space="preserve"> LD#2 Stacker C-Tray Rear Base Guide Right Align Off Sensor   센서가 감지되었습니다.</t>
  </si>
  <si>
    <t xml:space="preserve"> LD#2 Stacker C-Tray Rear Base Guide Right Align On Sensor   센서가 감지되었습니다.</t>
  </si>
  <si>
    <t xml:space="preserve"> LD#2 Stacker OHT Carrer Stopper Check   센서가 감지되었습니다.</t>
  </si>
  <si>
    <t xml:space="preserve"> LD#2 Stacker C-Tray Middle Base Right Stopper Off Sensor    센서가 감지되었습니다.</t>
  </si>
  <si>
    <t xml:space="preserve"> LD#2 Stacker C-Tray Middle Base Right Stopper On Sensor    센서가 감지되었습니다.</t>
  </si>
  <si>
    <t xml:space="preserve"> LD#2 Stacker C-Tray Front Base Guide Right Align Off Sensor   센서가 감지되었습니다.</t>
  </si>
  <si>
    <t xml:space="preserve"> LD#2 Stacker C-Tray Front Base Guide Right Align On Sensor   센서가 감지되었습니다.</t>
  </si>
  <si>
    <t xml:space="preserve"> LD#2 Stacker OHT C-Tray Rear Stopper Check   센서가 감지되었습니다.</t>
  </si>
  <si>
    <t xml:space="preserve"> LD#2 Stacker OHT C-Tray Middle Stopper Check   센서가 감지되었습니다.</t>
  </si>
  <si>
    <t xml:space="preserve"> LD#2 Stacker C-Tray Rear Base Guide Left Stopper Off Sensor   센서가 감지되었습니다.</t>
  </si>
  <si>
    <t xml:space="preserve"> LD#2 Stacker C-Tray Rear Base Guide Left Stopper Middle Sensor   센서가 감지되었습니다.</t>
  </si>
  <si>
    <t xml:space="preserve"> LD#2 Stacker C-Tray Rear Base Guide Left Stopper On Sensor   센서가 감지되었습니다.</t>
  </si>
  <si>
    <t xml:space="preserve"> LD#2 Stacker C-Tray Rear Base Guide Left Align Off Sensor   센서가 감지되었습니다.</t>
  </si>
  <si>
    <t xml:space="preserve"> LD#2 Stacker C-Tray Rear Base Guide Left Align On Sensor   센서가 감지되었습니다.</t>
  </si>
  <si>
    <t xml:space="preserve"> LD#2 Stacker C-Tray Middle Base Left Stopper Off Sensor    센서가 감지되었습니다.</t>
  </si>
  <si>
    <t xml:space="preserve"> LD#2 Stacker C-Tray Middle Base Left Stopper On Sensor    센서가 감지되었습니다.</t>
  </si>
  <si>
    <t xml:space="preserve"> LD#2 Stacker C-Tray Front Base Guide Left Align Off Sensor   센서가 감지되었습니다.</t>
  </si>
  <si>
    <t xml:space="preserve"> LD#2 Stacker C-Tray Front Base Guide Left Align On Sensor   센서가 감지되었습니다.</t>
  </si>
  <si>
    <t xml:space="preserve"> LD#2 Stacker C-Tray Rear Base Guide Tray Check   센서가 감지되었습니다.</t>
  </si>
  <si>
    <t xml:space="preserve"> LD#2 Stacker C-Tray Rear Base Guide End Plate Down Sensor  센서가 감지되었습니다.</t>
  </si>
  <si>
    <t xml:space="preserve"> LD#2 Stacker C-Tray Rear Base Guide End Plate Up Sensor  센서가 감지되었습니다.</t>
  </si>
  <si>
    <t xml:space="preserve"> LD#2 Stacker C-Tray Rear Base Guide Down Sensor  센서가 감지되었습니다.</t>
  </si>
  <si>
    <t xml:space="preserve"> LD#2 Stacker C-Tray Rear Base Guide Up Sensor  센서가 감지되었습니다.</t>
  </si>
  <si>
    <t xml:space="preserve"> LD#2 Stacker C-Tray Middle Base Guide Tray Check   센서가 감지되었습니다.</t>
  </si>
  <si>
    <t xml:space="preserve"> LD#2 Stacker C-Tray Middle Base Guide Down Sensor   센서가 감지되었습니다.</t>
  </si>
  <si>
    <t xml:space="preserve"> LD#2 Stacker C-Tray Middle Base Guide Up Sensor   센서가 감지되었습니다.</t>
  </si>
  <si>
    <t xml:space="preserve"> LD#2 Stacker C-Tray Front Base Guide Tray Check   센서가 감지되었습니다.</t>
  </si>
  <si>
    <t xml:space="preserve"> LD#2 Stacker C-Tray Front Base Guide Down Sensor   센서가 감지되었습니다.</t>
  </si>
  <si>
    <t xml:space="preserve"> LD#2 Stacker C-Tray Front Base Guide Up Sensor   센서가 감지되었습니다.</t>
  </si>
  <si>
    <t xml:space="preserve"> LD#1 Stacker Manual C-Tray S-DIMM Check   센서가 감지되었습니다.</t>
  </si>
  <si>
    <t xml:space="preserve"> LD#1 Stacker Manual C-Tray R-DIMM Check   센서가 감지되었습니다.</t>
  </si>
  <si>
    <t xml:space="preserve"> LD#1 Stacker Manual C-Tray Middle Stopper Check   센서가 감지되었습니다.</t>
  </si>
  <si>
    <t xml:space="preserve"> LD#1 Stacker Manual C-Tray Front Stopper Check   센서가 감지되었습니다.</t>
  </si>
  <si>
    <t xml:space="preserve"> LD#1 Stacker Manual C-Tray Input Check   센서가 감지되었습니다.</t>
  </si>
  <si>
    <t xml:space="preserve"> LD#1 Stacker C-Tray Rear Base Guide Right Stopper Off Sensor   센서가 감지되었습니다.</t>
  </si>
  <si>
    <t xml:space="preserve"> LD#1 Stacker C-Tray Rear Base Guide Right Stopper Middle Sensor   센서가 감지되었습니다.</t>
  </si>
  <si>
    <t xml:space="preserve"> LD#1 Stacker C-Tray Rear Base Guide Right Stopper On Sensor   센서가 감지되었습니다.</t>
  </si>
  <si>
    <t xml:space="preserve"> LD#1 Stacker C-Tray Rear Base Guide Right Align Off Sensor   센서가 감지되었습니다.</t>
  </si>
  <si>
    <t xml:space="preserve"> LD#1 Stacker C-Tray Rear Base Guide Right Align On Sensor   센서가 감지되었습니다.</t>
  </si>
  <si>
    <t xml:space="preserve"> LD#1 Stacker C-Tray Middle Base Right Stopper Off Sensor    센서가 감지되었습니다.</t>
  </si>
  <si>
    <t xml:space="preserve"> LD#1 Stacker C-Tray Middle Base Right Stopper On Sensor    센서가 감지되었습니다.</t>
  </si>
  <si>
    <t xml:space="preserve"> LD#1 Stacker C-Tray Front Base Guide Right Align Off Sensor   센서가 감지되었습니다.</t>
  </si>
  <si>
    <t xml:space="preserve"> LD#1 Stacker C-Tray Front Base Guide Right Align On Sensor   센서가 감지되었습니다.</t>
  </si>
  <si>
    <t xml:space="preserve"> LD#1 Stacker OHT C-Tray Rear Stopper Check   센서가 감지되었습니다.</t>
  </si>
  <si>
    <t xml:space="preserve"> LD#1 Stacker OHT C-Tray Middle Stopper Check   센서가 감지되었습니다.</t>
  </si>
  <si>
    <t xml:space="preserve"> LD#1 Stacker C-Tray Rear Base Guide Left Stopper Off Sensor   센서가 감지되었습니다.</t>
  </si>
  <si>
    <t xml:space="preserve"> LD#1 Stacker C-Tray Rear Base Guide Left Stopper Middle Sensor   센서가 감지되었습니다.</t>
  </si>
  <si>
    <t xml:space="preserve"> LD#1 Stacker C-Tray Rear Base Guide Left Stopper On Sensor   센서가 감지되었습니다.</t>
  </si>
  <si>
    <t xml:space="preserve"> LD#1 Stacker C-Tray Rear Base Guide Left Align Off Sensor   센서가 감지되었습니다.</t>
  </si>
  <si>
    <t xml:space="preserve"> LD#1 Stacker C-Tray Rear Base Guide Left Align On Sensor   센서가 감지되었습니다.</t>
  </si>
  <si>
    <t xml:space="preserve"> LD#1 Stacker C-Tray Middle Base Left Stopper Off Sensor    센서가 감지되었습니다.</t>
  </si>
  <si>
    <t xml:space="preserve"> LD#1 Stacker C-Tray Middle Base Left Stopper On Sensor    센서가 감지되었습니다.</t>
  </si>
  <si>
    <t xml:space="preserve"> LD#1 Stacker C-Tray Front Base Guide Left Align Off Sensor   센서가 감지되었습니다.</t>
  </si>
  <si>
    <t xml:space="preserve"> LD#1 Stacker C-Tray Front Base Guide Left Align On Sensor   센서가 감지되었습니다.</t>
  </si>
  <si>
    <t xml:space="preserve"> LD#1 Stacker C-Tray Rear Base Guide Tray Check   센서가 감지되었습니다.</t>
  </si>
  <si>
    <t xml:space="preserve"> LD#1 Stacker C-Tray Rear Base Guide End Plate Down Sensor  센서가 감지되었습니다.</t>
  </si>
  <si>
    <t xml:space="preserve"> LD#1 Stacker C-Tray Rear Base Guide End Plate Up Sensor  센서가 감지되었습니다.</t>
  </si>
  <si>
    <t xml:space="preserve"> LD#1 Stacker C-Tray Rear Base Guide Down Sensor  센서가 감지되었습니다.</t>
  </si>
  <si>
    <t xml:space="preserve"> LD#1 Stacker C-Tray Rear Base Guide Up Sensor  센서가 감지되었습니다.</t>
  </si>
  <si>
    <t xml:space="preserve"> LD#1 Stacker C-Tray Middle Base Guide Tray Check   센서가 감지되었습니다.</t>
  </si>
  <si>
    <t xml:space="preserve"> LD#1 Stacker C-Tray Middle Base Guide Down Sensor   센서가 감지되었습니다.</t>
  </si>
  <si>
    <t xml:space="preserve"> LD#1 Stacker C-Tray Middle Base Guide Up Sensor   센서가 감지되었습니다.</t>
  </si>
  <si>
    <t xml:space="preserve"> LD#1 Stacker C-Tray Front Base Guide Tray Check   센서가 감지되었습니다.</t>
  </si>
  <si>
    <t xml:space="preserve"> LD#1 Stacker C-Tray Front Base Guide Down Sensor   센서가 감지되었습니다.</t>
  </si>
  <si>
    <t xml:space="preserve"> LD#1 Stacker C-Tray Front Base Guide Up Sensor   센서가 감지되었습니다.</t>
  </si>
  <si>
    <t xml:space="preserve"> Reject Docking Position Check   센서가 감지되었습니다.</t>
  </si>
  <si>
    <t xml:space="preserve"> Empty Docking Position Check   센서가 감지되었습니다.</t>
  </si>
  <si>
    <t xml:space="preserve"> Unoader #2 Conveyer Alram Check   센서가 감지되었습니다.</t>
  </si>
  <si>
    <t xml:space="preserve"> Unoader #1 Conveyer Alram Check   센서가 감지되었습니다.</t>
  </si>
  <si>
    <t xml:space="preserve"> Reject TOP Conveyer Alram Check   센서가 감지되었습니다.</t>
  </si>
  <si>
    <t xml:space="preserve"> Reject Bottom #2 Conveyer Alram Check   센서가 감지되었습니다.</t>
  </si>
  <si>
    <t xml:space="preserve"> Reject Bottom #1 Conveyer Alram Check   센서가 감지되었습니다.</t>
  </si>
  <si>
    <t xml:space="preserve"> Empty Conveyer Alram Check   센서가 감지되었습니다.</t>
  </si>
  <si>
    <t xml:space="preserve"> Loader #2 Conveyer Alram Check   센서가 감지되었습니다.</t>
  </si>
  <si>
    <t xml:space="preserve"> Loader #1 Conveyer Alram Check   센서가 감지되었습니다.</t>
  </si>
  <si>
    <t xml:space="preserve"> Unloader#2 PIO COMPLETE   센서가 감지되었습니다.</t>
  </si>
  <si>
    <t xml:space="preserve"> Unloader#2 PIO BUSY   센서가 감지되었습니다.</t>
  </si>
  <si>
    <t xml:space="preserve"> Unloader#2 PIO TR_REQ   센서가 감지되었습니다.</t>
  </si>
  <si>
    <t xml:space="preserve"> Unloader#2 PIO CS_3   센서가 감지되었습니다.</t>
  </si>
  <si>
    <t xml:space="preserve"> Unloader#2 PIO CS_2   센서가 감지되었습니다.</t>
  </si>
  <si>
    <t xml:space="preserve"> Unloader#2 PIO CS_1   센서가 감지되었습니다.</t>
  </si>
  <si>
    <t xml:space="preserve"> Unloader#2 PIO CS_0   센서가 감지되었습니다.</t>
  </si>
  <si>
    <t xml:space="preserve"> Unloader#2 VALID   센서가 감지되었습니다.</t>
  </si>
  <si>
    <t xml:space="preserve"> Unloader#1 PIO COMPLETE   센서가 감지되었습니다.</t>
  </si>
  <si>
    <t xml:space="preserve"> Unloader#1 PIO BUSY   센서가 감지되었습니다.</t>
  </si>
  <si>
    <t xml:space="preserve"> Unloader#1 PIO TR_REQ   센서가 감지되었습니다.</t>
  </si>
  <si>
    <t xml:space="preserve"> Unloader#1 PIO CS_3   센서가 감지되었습니다.</t>
  </si>
  <si>
    <t xml:space="preserve"> Unloader#1 PIO CS_2   센서가 감지되었습니다.</t>
  </si>
  <si>
    <t xml:space="preserve"> Unloader#1 PIO CS_1   센서가 감지되었습니다.</t>
  </si>
  <si>
    <t xml:space="preserve"> Unloader#1 PIO CS_0   센서가 감지되었습니다.</t>
  </si>
  <si>
    <t xml:space="preserve"> Unloader#1 VALID   센서가 감지되었습니다.</t>
  </si>
  <si>
    <t xml:space="preserve"> Loader#2 PIO COMPLETE   센서가 감지되었습니다.</t>
  </si>
  <si>
    <t xml:space="preserve"> Loader#2 PIO BUSY   센서가 감지되었습니다.</t>
  </si>
  <si>
    <t xml:space="preserve"> Loader#2 PIO TR_REQ   센서가 감지되었습니다.</t>
  </si>
  <si>
    <t xml:space="preserve"> Loader#2 PIO CS_3   센서가 감지되었습니다.</t>
  </si>
  <si>
    <t xml:space="preserve"> Loader#2 PIO CS_2   센서가 감지되었습니다.</t>
  </si>
  <si>
    <t xml:space="preserve"> Loader#2 PIO CS_1   센서가 감지되었습니다.</t>
  </si>
  <si>
    <t xml:space="preserve"> Loader#2 PIO CS_0   센서가 감지되었습니다.</t>
  </si>
  <si>
    <t xml:space="preserve"> Loader#2 VALID   센서가 감지되었습니다.</t>
  </si>
  <si>
    <t xml:space="preserve"> Loader#1 PIO COMPLETE   센서가 감지되었습니다.</t>
  </si>
  <si>
    <t xml:space="preserve"> Loader#1 PIO BUSY   센서가 감지되었습니다.</t>
  </si>
  <si>
    <t xml:space="preserve"> Loader#1 PIO TR_REQ   센서가 감지되었습니다.</t>
  </si>
  <si>
    <t xml:space="preserve"> Loader#1 PIO CS_3   센서가 감지되었습니다.</t>
  </si>
  <si>
    <t xml:space="preserve"> Loader#1 PIO CS_2   센서가 감지되었습니다.</t>
  </si>
  <si>
    <t xml:space="preserve"> Loader#1 PIO CS_1   센서가 감지되었습니다.</t>
  </si>
  <si>
    <t xml:space="preserve"> Loader#1 PIO CS_0   센서가 감지되었습니다.</t>
  </si>
  <si>
    <t xml:space="preserve"> Loader#1 VALID   센서가 감지되었습니다.</t>
  </si>
  <si>
    <t>Err. Time</t>
    <phoneticPr fontId="1" type="noConversion"/>
  </si>
  <si>
    <t>Err. Point</t>
  </si>
  <si>
    <t xml:space="preserve">Finding/Action </t>
  </si>
  <si>
    <t>Total</t>
    <phoneticPr fontId="1" type="noConversion"/>
  </si>
  <si>
    <t>Jam count</t>
    <phoneticPr fontId="1" type="noConversion"/>
  </si>
  <si>
    <t xml:space="preserve"> Hand Module is not exist. Check the Exist Sensor.</t>
    <phoneticPr fontId="1" type="noConversion"/>
  </si>
  <si>
    <t xml:space="preserve"> Hand Modul is not exist. Check the Exist Sensor.</t>
    <phoneticPr fontId="1" type="noConversion"/>
  </si>
  <si>
    <t>Hand Module is not Exist. Check the Exist Sensor. [MB]</t>
    <phoneticPr fontId="1" type="noConversion"/>
  </si>
  <si>
    <t>Moving buffer pick up miss로 LD Hand Z-Axis Teaching</t>
    <phoneticPr fontId="1" type="noConversion"/>
  </si>
  <si>
    <t>01:40 03:11
04:18</t>
    <phoneticPr fontId="1" type="noConversion"/>
  </si>
  <si>
    <t>[LOAD_HAND]</t>
    <phoneticPr fontId="1" type="noConversion"/>
  </si>
  <si>
    <t>In Buffer Tray Flow Forward Sol  operation failed.</t>
    <phoneticPr fontId="1" type="noConversion"/>
  </si>
  <si>
    <t>ULD#1 Stacker C-Tray Middle Base BT Stopper Down Sol  operation failed.</t>
    <phoneticPr fontId="1" type="noConversion"/>
  </si>
  <si>
    <t>ULD#1 Set-Plate Tray Reverse Check   Sensor detected.</t>
    <phoneticPr fontId="1" type="noConversion"/>
  </si>
  <si>
    <t>Magnetic sensor pos 조정.</t>
    <phoneticPr fontId="1" type="noConversion"/>
  </si>
  <si>
    <t>Motor Cable 간섭 확인되어 Cable Line 정리</t>
    <phoneticPr fontId="1" type="noConversion"/>
  </si>
  <si>
    <t>02:10 02:42</t>
    <phoneticPr fontId="1" type="noConversion"/>
  </si>
  <si>
    <t>[SETPLATE_BUFFER]</t>
    <phoneticPr fontId="1" type="noConversion"/>
  </si>
  <si>
    <t>[STACKER]</t>
    <phoneticPr fontId="1" type="noConversion"/>
  </si>
  <si>
    <t>ULD Conveyor Speed가 빨라 적재된 C-Tray가 Stopper에 부하 작용하여 발생.
Conveyor Invertor Speed 조정</t>
    <phoneticPr fontId="1" type="noConversion"/>
  </si>
  <si>
    <t>Reverse Check Sensor 안쪽으로 면밀착되어 POS 조정</t>
    <phoneticPr fontId="1" type="noConversion"/>
  </si>
  <si>
    <t>생산 작업자 Reject C-Tray 투입 간 Human Err.</t>
    <phoneticPr fontId="1" type="noConversion"/>
  </si>
  <si>
    <t xml:space="preserve">Tester communication Result error. </t>
    <phoneticPr fontId="1" type="noConversion"/>
  </si>
  <si>
    <t xml:space="preserve">Tester Server communication TimeOut. </t>
    <phoneticPr fontId="1" type="noConversion"/>
  </si>
  <si>
    <t>15:13 16:57
21:29</t>
    <phoneticPr fontId="1" type="noConversion"/>
  </si>
  <si>
    <t>[TEST_SITE]</t>
    <phoneticPr fontId="1" type="noConversion"/>
  </si>
  <si>
    <t>우익 측 Tester 이상으로 발생.</t>
    <phoneticPr fontId="1" type="noConversion"/>
  </si>
  <si>
    <t>C-Tray module position Double-deviation occurred.</t>
    <phoneticPr fontId="1" type="noConversion"/>
  </si>
  <si>
    <t>C-tray Bow 관련 기존 Setting 값에서 Bow 해결되며 Range 값 이탈로 발생.
Devation Sensor Amp Range Value 변경 1.3 &gt; 2.0</t>
    <phoneticPr fontId="1" type="noConversion"/>
  </si>
  <si>
    <r>
      <rPr>
        <sz val="11"/>
        <color theme="1"/>
        <rFont val="맑은 고딕"/>
        <family val="3"/>
        <charset val="129"/>
      </rPr>
      <t>T</t>
    </r>
    <r>
      <rPr>
        <sz val="11"/>
        <color theme="1"/>
        <rFont val="Calibri"/>
        <family val="3"/>
      </rPr>
      <t>-Tray module position Double-deviation occurred.</t>
    </r>
    <phoneticPr fontId="1" type="noConversion"/>
  </si>
  <si>
    <t>Moving buffer에서 pick 했을 시 X-Axis가 차이나며 발생.
LD Hand Moving Buffer X-Axis Teaching</t>
    <phoneticPr fontId="1" type="noConversion"/>
  </si>
  <si>
    <t>00:07 05:35
16:23</t>
    <phoneticPr fontId="1" type="noConversion"/>
  </si>
  <si>
    <t>우익 생산작업자 Lot 투입 간 Human Err.</t>
    <phoneticPr fontId="1" type="noConversion"/>
  </si>
  <si>
    <t xml:space="preserve">SOCKET OFF FULL CNT has occurred. </t>
    <phoneticPr fontId="1" type="noConversion"/>
  </si>
  <si>
    <t>Socket Off 관련 S/W 기능 확인 간 발생.</t>
    <phoneticPr fontId="1" type="noConversion"/>
  </si>
  <si>
    <t>불량 C-Tray 투입으로 인해 발생.
자체 Bow 심하여 우익 정비사 측 해당 C-Tray 교체</t>
    <phoneticPr fontId="1" type="noConversion"/>
  </si>
  <si>
    <t>실제 T-Tray Rotation 확인 시 정상. Amp Value 조정.</t>
    <phoneticPr fontId="1" type="noConversion"/>
  </si>
  <si>
    <t>22:00 00:50
08:25 11:35</t>
    <phoneticPr fontId="1" type="noConversion"/>
  </si>
  <si>
    <t>23:09 02:02
03:01 03:49
04:02 08:43
09:02</t>
    <phoneticPr fontId="1" type="noConversion"/>
  </si>
  <si>
    <t>Magnetic sensor 접불 확인되어 Line 재포설.</t>
    <phoneticPr fontId="1" type="noConversion"/>
  </si>
  <si>
    <t>현재 Transfer 기울어 Lot 투입 간 C-Tray 10단으로 하고 있으나,
우익 생산 측 C-Tray 초과하여 투입하며 발생.
우익 측 케파로 인해 5,6호기 Qual 이후 Transfer 작업 일정 수립 예정.</t>
    <phoneticPr fontId="1" type="noConversion"/>
  </si>
  <si>
    <t>Empty Stacker Manual C-Tray Rear Arrival Check   recognition failed.</t>
    <phoneticPr fontId="1" type="noConversion"/>
  </si>
  <si>
    <t>Empty Align Guide 틀어짐으로 발생. 
JIG 이용하여 SETTING 진행</t>
    <phoneticPr fontId="1" type="noConversion"/>
  </si>
  <si>
    <t>생산 작업자 Reject C-Tray 투입 간 Human Err.
생산 작업자 Reject 투입 교육 진행</t>
    <phoneticPr fontId="1" type="noConversion"/>
  </si>
  <si>
    <t>C-Tray module position Double-deviation occurred</t>
    <phoneticPr fontId="1" type="noConversion"/>
  </si>
  <si>
    <t>16:55 18:47
20:32</t>
    <phoneticPr fontId="1" type="noConversion"/>
  </si>
  <si>
    <t>01:32 04:41
21:47</t>
    <phoneticPr fontId="1" type="noConversion"/>
  </si>
  <si>
    <t>Reverse Check Sensor pos 재조정</t>
    <phoneticPr fontId="1" type="noConversion"/>
  </si>
  <si>
    <t>실제로 Module Double로 투입됨. Human Err.</t>
    <phoneticPr fontId="1" type="noConversion"/>
  </si>
  <si>
    <t>LD Hand Z-Axis Devation Teaching</t>
    <phoneticPr fontId="1" type="noConversion"/>
  </si>
  <si>
    <t>CCTV 상 확인되지 않아 명일 해당 시간 정비사 Interview 예정.</t>
    <phoneticPr fontId="1" type="noConversion"/>
  </si>
  <si>
    <t>18:37 20:02</t>
    <phoneticPr fontId="1" type="noConversion"/>
  </si>
  <si>
    <t>T-Tray module position deviation occurred</t>
    <phoneticPr fontId="1" type="noConversion"/>
  </si>
  <si>
    <t>01:46 03:36
06:31 07:05</t>
    <phoneticPr fontId="1" type="noConversion"/>
  </si>
  <si>
    <t>Hand Module is not Exist. Check the Exist Sensor.</t>
    <phoneticPr fontId="1" type="noConversion"/>
  </si>
  <si>
    <t>Mov Buffer 동작 간 Stopper 닿을 시 충격으로 자재 들썩이며 튕김.
Mov Buffer 동작 Speed 조정 및 Stopper 쇼바 조정</t>
    <phoneticPr fontId="1" type="noConversion"/>
  </si>
  <si>
    <t>Magnetic Sensor 교체 및 POS 재조정</t>
    <phoneticPr fontId="1" type="noConversion"/>
  </si>
  <si>
    <t>Front Test Site Top Tray MASK Insert Front Rotation Check   Sensor detected.</t>
    <phoneticPr fontId="1" type="noConversion"/>
  </si>
  <si>
    <t>우익 정비사 측 Magnetic sensor pos 조정.</t>
    <phoneticPr fontId="1" type="noConversion"/>
  </si>
  <si>
    <t>우익 생산 작업자 Lot 투입 간 자재 역삽되어 Insert에 삽입되지 않아 발생.</t>
    <phoneticPr fontId="1" type="noConversion"/>
  </si>
  <si>
    <t>자체 Bow가 심하여 불량 C-Tray로 확인됨.</t>
    <phoneticPr fontId="1" type="noConversion"/>
  </si>
  <si>
    <t>Insert가 실제로 제대로 닫히지 않음.
해당 Insert 탈거 후 기구설계팀 반출 예정.</t>
    <phoneticPr fontId="1" type="noConversion"/>
  </si>
  <si>
    <t>Rear Test Site Top Tray MASK Insert Front Rotation Check   Sensor detected.</t>
    <phoneticPr fontId="1" type="noConversion"/>
  </si>
  <si>
    <t>Sensor Setting 변경.</t>
    <phoneticPr fontId="1" type="noConversion"/>
  </si>
  <si>
    <t>Sensor POS 조정 및 커넥터 부 재연결 진행.
C-Tray 실제 역삽시 정상감지 및 정상 삽입 시 미감지 확인.</t>
    <phoneticPr fontId="1" type="noConversion"/>
  </si>
  <si>
    <t>적재된 C-Tray가 Stopper에 부하 작용하여 발생.
Stopper Air Full Open 조정</t>
    <phoneticPr fontId="1" type="noConversion"/>
  </si>
  <si>
    <t>0:46 04:33</t>
    <phoneticPr fontId="1" type="noConversion"/>
  </si>
  <si>
    <t>ReJect Stacker C-Tray Rear Arrival Check   recognition failed.</t>
    <phoneticPr fontId="1" type="noConversion"/>
  </si>
  <si>
    <t>ULD TRANSFER가 REJECT REAR BASE에 C-TRAY 내려 놓을때 발생.
STOPPER 정공으로 추가 조정 불가한 부분으로 시퀀스 개선 예정.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</si>
</sst>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h:mm;@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Calibri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1"/>
      <color theme="1"/>
      <name val="Calibri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137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6" fillId="0" borderId="0" xfId="1" applyFont="1"/>
    <xf numFmtId="0" fontId="8" fillId="0" borderId="0" xfId="1" applyAlignment="1">
      <alignment horizontal="center"/>
    </xf>
    <xf numFmtId="0" fontId="8" fillId="0" borderId="0" xfId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top"/>
    </xf>
    <xf numFmtId="0" fontId="8" fillId="0" borderId="3" xfId="1" applyBorder="1" applyAlignment="1">
      <alignment horizontal="center"/>
    </xf>
    <xf numFmtId="0" fontId="2" fillId="0" borderId="0" xfId="1" applyFont="1"/>
    <xf numFmtId="0" fontId="8" fillId="2" borderId="3" xfId="1" applyFill="1" applyBorder="1" applyAlignment="1">
      <alignment horizontal="center"/>
    </xf>
    <xf numFmtId="1" fontId="8" fillId="4" borderId="3" xfId="1" applyNumberFormat="1" applyFill="1" applyBorder="1" applyAlignment="1">
      <alignment horizontal="center"/>
    </xf>
    <xf numFmtId="176" fontId="8" fillId="6" borderId="3" xfId="1" applyNumberFormat="1" applyFill="1" applyBorder="1" applyAlignment="1">
      <alignment horizontal="center"/>
    </xf>
    <xf numFmtId="0" fontId="8" fillId="8" borderId="3" xfId="1" applyFill="1" applyBorder="1" applyAlignment="1">
      <alignment horizontal="center"/>
    </xf>
    <xf numFmtId="0" fontId="8" fillId="7" borderId="0" xfId="1" applyFill="1"/>
    <xf numFmtId="0" fontId="4" fillId="2" borderId="3" xfId="1" applyFont="1" applyFill="1" applyBorder="1" applyAlignment="1">
      <alignment horizontal="center" vertical="center"/>
    </xf>
    <xf numFmtId="0" fontId="8" fillId="2" borderId="4" xfId="1" applyFill="1" applyBorder="1" applyAlignment="1">
      <alignment horizontal="center" vertical="center"/>
    </xf>
    <xf numFmtId="0" fontId="8" fillId="8" borderId="3" xfId="1" applyFill="1" applyBorder="1" applyAlignment="1">
      <alignment horizontal="center" vertical="center"/>
    </xf>
    <xf numFmtId="0" fontId="8" fillId="4" borderId="3" xfId="1" applyFill="1" applyBorder="1" applyAlignment="1">
      <alignment horizontal="center" vertical="center"/>
    </xf>
    <xf numFmtId="1" fontId="8" fillId="4" borderId="3" xfId="1" applyNumberFormat="1" applyFill="1" applyBorder="1" applyAlignment="1">
      <alignment horizontal="center" vertical="center"/>
    </xf>
    <xf numFmtId="0" fontId="8" fillId="5" borderId="3" xfId="1" applyFill="1" applyBorder="1" applyAlignment="1">
      <alignment horizontal="center" vertical="center"/>
    </xf>
    <xf numFmtId="0" fontId="8" fillId="7" borderId="0" xfId="1" applyFill="1" applyAlignment="1">
      <alignment horizontal="center"/>
    </xf>
    <xf numFmtId="0" fontId="8" fillId="0" borderId="0" xfId="1" applyAlignment="1">
      <alignment horizontal="center" vertical="center"/>
    </xf>
    <xf numFmtId="0" fontId="4" fillId="0" borderId="0" xfId="1" applyFont="1"/>
    <xf numFmtId="0" fontId="8" fillId="0" borderId="0" xfId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8" fillId="7" borderId="3" xfId="1" applyFill="1" applyBorder="1"/>
    <xf numFmtId="0" fontId="7" fillId="0" borderId="3" xfId="1" applyFont="1" applyBorder="1" applyAlignment="1">
      <alignment vertical="center"/>
    </xf>
    <xf numFmtId="0" fontId="11" fillId="0" borderId="3" xfId="1" applyFont="1" applyBorder="1" applyAlignment="1">
      <alignment horizontal="left" vertical="center"/>
    </xf>
    <xf numFmtId="20" fontId="11" fillId="0" borderId="3" xfId="1" applyNumberFormat="1" applyFont="1" applyBorder="1" applyAlignment="1">
      <alignment horizontal="left" vertical="center"/>
    </xf>
    <xf numFmtId="0" fontId="8" fillId="0" borderId="6" xfId="1" applyBorder="1" applyAlignment="1">
      <alignment vertical="center" wrapText="1"/>
    </xf>
    <xf numFmtId="0" fontId="8" fillId="7" borderId="3" xfId="1" applyFill="1" applyBorder="1" applyAlignment="1">
      <alignment horizontal="center"/>
    </xf>
    <xf numFmtId="0" fontId="8" fillId="4" borderId="6" xfId="1" applyFill="1" applyBorder="1" applyAlignment="1">
      <alignment vertical="center" wrapText="1"/>
    </xf>
    <xf numFmtId="0" fontId="6" fillId="0" borderId="0" xfId="1" applyFont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8" fillId="7" borderId="0" xfId="1" applyFill="1" applyAlignment="1">
      <alignment horizontal="center" vertical="center"/>
    </xf>
    <xf numFmtId="0" fontId="0" fillId="7" borderId="3" xfId="0" applyFill="1" applyBorder="1" applyAlignment="1">
      <alignment horizontal="center"/>
    </xf>
    <xf numFmtId="176" fontId="8" fillId="9" borderId="3" xfId="1" applyNumberFormat="1" applyFill="1" applyBorder="1" applyAlignment="1">
      <alignment horizontal="center"/>
    </xf>
    <xf numFmtId="0" fontId="8" fillId="0" borderId="0" xfId="1" applyAlignment="1">
      <alignment wrapText="1"/>
    </xf>
    <xf numFmtId="20" fontId="8" fillId="7" borderId="3" xfId="1" applyNumberFormat="1" applyFill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14" fontId="8" fillId="0" borderId="3" xfId="1" applyNumberFormat="1" applyBorder="1" applyAlignment="1">
      <alignment horizontal="center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14" fontId="8" fillId="0" borderId="4" xfId="1" applyNumberFormat="1" applyBorder="1" applyAlignment="1">
      <alignment vertical="center"/>
    </xf>
    <xf numFmtId="177" fontId="11" fillId="0" borderId="3" xfId="1" applyNumberFormat="1" applyFont="1" applyBorder="1" applyAlignment="1">
      <alignment horizontal="left" vertical="center"/>
    </xf>
    <xf numFmtId="177" fontId="17" fillId="0" borderId="3" xfId="1" applyNumberFormat="1" applyFont="1" applyBorder="1" applyAlignment="1">
      <alignment horizontal="left" vertical="center" wrapText="1"/>
    </xf>
    <xf numFmtId="0" fontId="8" fillId="7" borderId="3" xfId="1" applyFill="1" applyBorder="1" applyAlignment="1">
      <alignment horizontal="center" vertical="center"/>
    </xf>
    <xf numFmtId="20" fontId="17" fillId="0" borderId="3" xfId="1" applyNumberFormat="1" applyFont="1" applyBorder="1" applyAlignment="1">
      <alignment horizontal="left" vertical="center" wrapText="1"/>
    </xf>
    <xf numFmtId="14" fontId="8" fillId="0" borderId="4" xfId="1" applyNumberFormat="1" applyBorder="1" applyAlignment="1">
      <alignment horizontal="center" vertical="center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left" vertical="center"/>
    </xf>
    <xf numFmtId="0" fontId="9" fillId="8" borderId="17" xfId="1" applyFont="1" applyFill="1" applyBorder="1" applyAlignment="1">
      <alignment horizontal="left" vertical="center"/>
    </xf>
    <xf numFmtId="0" fontId="9" fillId="8" borderId="2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left" vertical="center" wrapText="1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left" vertical="center"/>
    </xf>
    <xf numFmtId="0" fontId="9" fillId="8" borderId="17" xfId="1" applyFont="1" applyFill="1" applyBorder="1" applyAlignment="1">
      <alignment horizontal="left" vertical="center"/>
    </xf>
    <xf numFmtId="0" fontId="9" fillId="8" borderId="2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left" vertical="center" wrapText="1"/>
    </xf>
    <xf numFmtId="0" fontId="12" fillId="7" borderId="17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left" vertical="center" wrapText="1"/>
    </xf>
    <xf numFmtId="0" fontId="7" fillId="0" borderId="5" xfId="1" applyFont="1" applyBorder="1" applyAlignment="1">
      <alignment horizontal="center" vertical="center" wrapText="1"/>
    </xf>
    <xf numFmtId="14" fontId="8" fillId="0" borderId="4" xfId="1" applyNumberFormat="1" applyBorder="1" applyAlignment="1">
      <alignment horizontal="center" vertical="center"/>
    </xf>
    <xf numFmtId="14" fontId="8" fillId="0" borderId="5" xfId="1" applyNumberFormat="1" applyBorder="1" applyAlignment="1">
      <alignment horizontal="center" vertical="center"/>
    </xf>
    <xf numFmtId="14" fontId="8" fillId="0" borderId="6" xfId="1" applyNumberFormat="1" applyBorder="1" applyAlignment="1">
      <alignment horizontal="center" vertical="center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0" fontId="12" fillId="7" borderId="1" xfId="1" applyFont="1" applyFill="1" applyBorder="1" applyAlignment="1">
      <alignment horizontal="left" vertical="center"/>
    </xf>
    <xf numFmtId="0" fontId="8" fillId="0" borderId="4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4" fontId="8" fillId="2" borderId="1" xfId="1" applyNumberFormat="1" applyFill="1" applyBorder="1" applyAlignment="1">
      <alignment horizontal="center"/>
    </xf>
    <xf numFmtId="14" fontId="8" fillId="2" borderId="2" xfId="1" applyNumberFormat="1" applyFill="1" applyBorder="1" applyAlignment="1">
      <alignment horizontal="center"/>
    </xf>
    <xf numFmtId="14" fontId="8" fillId="4" borderId="1" xfId="1" applyNumberFormat="1" applyFill="1" applyBorder="1" applyAlignment="1">
      <alignment horizontal="center"/>
    </xf>
    <xf numFmtId="14" fontId="8" fillId="4" borderId="2" xfId="1" applyNumberFormat="1" applyFill="1" applyBorder="1" applyAlignment="1">
      <alignment horizontal="center"/>
    </xf>
    <xf numFmtId="0" fontId="8" fillId="8" borderId="1" xfId="1" applyFill="1" applyBorder="1" applyAlignment="1">
      <alignment horizontal="center"/>
    </xf>
    <xf numFmtId="0" fontId="8" fillId="8" borderId="2" xfId="1" applyFill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7" borderId="9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16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8" fillId="0" borderId="2" xfId="1" applyBorder="1" applyAlignment="1">
      <alignment horizontal="center"/>
    </xf>
    <xf numFmtId="14" fontId="8" fillId="7" borderId="1" xfId="1" applyNumberFormat="1" applyFill="1" applyBorder="1" applyAlignment="1">
      <alignment horizontal="center"/>
    </xf>
    <xf numFmtId="14" fontId="8" fillId="7" borderId="2" xfId="1" applyNumberFormat="1" applyFill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20" fontId="5" fillId="0" borderId="18" xfId="1" applyNumberFormat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8" fillId="8" borderId="3" xfId="1" applyFill="1" applyBorder="1" applyAlignment="1">
      <alignment horizontal="center"/>
    </xf>
    <xf numFmtId="0" fontId="15" fillId="7" borderId="1" xfId="1" applyFont="1" applyFill="1" applyBorder="1" applyAlignment="1">
      <alignment horizontal="left" vertical="center" wrapText="1"/>
    </xf>
    <xf numFmtId="0" fontId="15" fillId="7" borderId="17" xfId="1" applyFont="1" applyFill="1" applyBorder="1" applyAlignment="1">
      <alignment horizontal="left" vertical="center" wrapText="1"/>
    </xf>
    <xf numFmtId="0" fontId="15" fillId="7" borderId="2" xfId="1" applyFont="1" applyFill="1" applyBorder="1" applyAlignment="1">
      <alignment horizontal="left" vertical="center" wrapText="1"/>
    </xf>
    <xf numFmtId="0" fontId="18" fillId="8" borderId="1" xfId="1" applyFont="1" applyFill="1" applyBorder="1" applyAlignment="1">
      <alignment horizontal="left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'#SLH1'!$A$26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7-4E01-B3C2-243B9FE74D82}"/>
            </c:ext>
          </c:extLst>
        </c:ser>
        <c:ser>
          <c:idx val="4"/>
          <c:order val="4"/>
          <c:tx>
            <c:strRef>
              <c:f>'#SLH1'!$A$27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7-4E01-B3C2-243B9FE74D82}"/>
            </c:ext>
          </c:extLst>
        </c:ser>
        <c:ser>
          <c:idx val="5"/>
          <c:order val="5"/>
          <c:tx>
            <c:strRef>
              <c:f>'#SLH1'!$A$28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7-4E01-B3C2-243B9FE74D82}"/>
            </c:ext>
          </c:extLst>
        </c:ser>
        <c:ser>
          <c:idx val="6"/>
          <c:order val="6"/>
          <c:tx>
            <c:strRef>
              <c:f>'#SLH1'!$A$29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F7-4E01-B3C2-243B9FE74D82}"/>
            </c:ext>
          </c:extLst>
        </c:ser>
        <c:ser>
          <c:idx val="7"/>
          <c:order val="7"/>
          <c:tx>
            <c:strRef>
              <c:f>'#SLH1'!$A$33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EBF7-4E01-B3C2-243B9FE74D82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'#SLH1'!$C$33:$AG$33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F7-4E01-B3C2-243B9FE74D82}"/>
            </c:ext>
          </c:extLst>
        </c:ser>
        <c:ser>
          <c:idx val="8"/>
          <c:order val="8"/>
          <c:tx>
            <c:strRef>
              <c:f>'#SLH1'!$A$34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7-4E01-B3C2-243B9FE74D82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F7-4E01-B3C2-243B9FE74D82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F7-4E01-B3C2-243B9FE74D82}"/>
            </c:ext>
          </c:extLst>
        </c:ser>
        <c:ser>
          <c:idx val="10"/>
          <c:order val="10"/>
          <c:tx>
            <c:strRef>
              <c:f>'#SLH1'!$A$35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EBF7-4E01-B3C2-243B9FE74D82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'#SLH1'!$C$35:$AG$35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F7-4E01-B3C2-243B9FE74D82}"/>
            </c:ext>
          </c:extLst>
        </c:ser>
        <c:ser>
          <c:idx val="11"/>
          <c:order val="11"/>
          <c:tx>
            <c:strRef>
              <c:f>'#SLH1'!$A$30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220864"/>
        <c:axId val="51218688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F-EBF7-4E01-B3C2-243B9FE74D82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7-4E01-B3C2-243B9FE74D82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7-4E01-B3C2-243B9FE74D82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7-4E01-B3C2-243B9FE74D82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7-4E01-B3C2-243B9FE74D82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7-4E01-B3C2-243B9FE74D82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7-4E01-B3C2-243B9FE74D82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7-4E01-B3C2-243B9FE74D82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7-4E01-B3C2-243B9FE74D82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7-4E01-B3C2-243B9FE74D82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7-4E01-B3C2-243B9FE74D82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7-4E01-B3C2-243B9FE74D82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7-4E01-B3C2-243B9FE74D82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7-4E01-B3C2-243B9FE74D82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7-4E01-B3C2-243B9FE74D82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7-4E01-B3C2-243B9FE74D82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7-4E01-B3C2-243B9FE74D82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7-4E01-B3C2-243B9FE74D82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7-4E01-B3C2-243B9FE74D82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7-4E01-B3C2-243B9FE74D82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BF7-4E01-B3C2-243B9FE74D82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7-4E01-B3C2-243B9FE74D82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BF7-4E01-B3C2-243B9FE74D82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7-4E01-B3C2-243B9FE74D82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BF7-4E01-B3C2-243B9FE74D82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7-4E01-B3C2-243B9FE74D82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BF7-4E01-B3C2-243B9FE74D82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7-4E01-B3C2-243B9FE74D82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BF7-4E01-B3C2-243B9FE74D82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7-4E01-B3C2-243B9FE74D82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BF7-4E01-B3C2-243B9FE74D82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7-4E01-B3C2-243B9FE74D82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9736</c:v>
                </c:pt>
                <c:pt idx="3">
                  <c:v>9369</c:v>
                </c:pt>
                <c:pt idx="4">
                  <c:v>9958</c:v>
                </c:pt>
                <c:pt idx="5">
                  <c:v>10612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327</c:v>
                </c:pt>
                <c:pt idx="10">
                  <c:v>8178</c:v>
                </c:pt>
                <c:pt idx="11">
                  <c:v>11028</c:v>
                </c:pt>
                <c:pt idx="12">
                  <c:v>11235</c:v>
                </c:pt>
                <c:pt idx="13">
                  <c:v>7125</c:v>
                </c:pt>
                <c:pt idx="14">
                  <c:v>7227</c:v>
                </c:pt>
                <c:pt idx="15">
                  <c:v>10924</c:v>
                </c:pt>
                <c:pt idx="16">
                  <c:v>6160</c:v>
                </c:pt>
                <c:pt idx="17">
                  <c:v>5233</c:v>
                </c:pt>
                <c:pt idx="18">
                  <c:v>12128</c:v>
                </c:pt>
                <c:pt idx="19">
                  <c:v>8312</c:v>
                </c:pt>
                <c:pt idx="20">
                  <c:v>14201</c:v>
                </c:pt>
                <c:pt idx="21">
                  <c:v>14291</c:v>
                </c:pt>
                <c:pt idx="22">
                  <c:v>5206</c:v>
                </c:pt>
                <c:pt idx="23">
                  <c:v>8312</c:v>
                </c:pt>
                <c:pt idx="24">
                  <c:v>6069</c:v>
                </c:pt>
                <c:pt idx="25">
                  <c:v>0</c:v>
                </c:pt>
                <c:pt idx="26">
                  <c:v>10224</c:v>
                </c:pt>
                <c:pt idx="27">
                  <c:v>12526</c:v>
                </c:pt>
                <c:pt idx="28">
                  <c:v>11900</c:v>
                </c:pt>
                <c:pt idx="29">
                  <c:v>11713</c:v>
                </c:pt>
                <c:pt idx="30">
                  <c:v>3585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BF7-4E01-B3C2-243B9FE74D82}"/>
            </c:ext>
          </c:extLst>
        </c:ser>
        <c:ser>
          <c:idx val="2"/>
          <c:order val="2"/>
          <c:tx>
            <c:strRef>
              <c:f>'#SLH1'!$A$25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BF7-4E01-B3C2-243B9FE74D82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7-4E01-B3C2-243B9FE74D82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BF7-4E01-B3C2-243B9FE74D82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7-4E01-B3C2-243B9FE74D82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BF7-4E01-B3C2-243B9FE74D82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'#SLH1'!$C$25:$AG$25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1217</c:v>
                </c:pt>
                <c:pt idx="3">
                  <c:v>1873.8</c:v>
                </c:pt>
                <c:pt idx="4">
                  <c:v>1991.6</c:v>
                </c:pt>
                <c:pt idx="5">
                  <c:v>3537.3333333333335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327</c:v>
                </c:pt>
                <c:pt idx="10">
                  <c:v>8178</c:v>
                </c:pt>
                <c:pt idx="11">
                  <c:v>848.30769230769226</c:v>
                </c:pt>
                <c:pt idx="12">
                  <c:v>5617.5</c:v>
                </c:pt>
                <c:pt idx="13">
                  <c:v>3562.5</c:v>
                </c:pt>
                <c:pt idx="14">
                  <c:v>1806.75</c:v>
                </c:pt>
                <c:pt idx="15">
                  <c:v>2731</c:v>
                </c:pt>
                <c:pt idx="16">
                  <c:v>3080</c:v>
                </c:pt>
                <c:pt idx="17">
                  <c:v>1744.3333333333333</c:v>
                </c:pt>
                <c:pt idx="18">
                  <c:v>3032</c:v>
                </c:pt>
                <c:pt idx="19">
                  <c:v>1385.3333333333333</c:v>
                </c:pt>
                <c:pt idx="20">
                  <c:v>14201</c:v>
                </c:pt>
                <c:pt idx="21">
                  <c:v>14291</c:v>
                </c:pt>
                <c:pt idx="22">
                  <c:v>5206</c:v>
                </c:pt>
                <c:pt idx="23">
                  <c:v>8312</c:v>
                </c:pt>
                <c:pt idx="24">
                  <c:v>3034.5</c:v>
                </c:pt>
                <c:pt idx="25">
                  <c:v>0</c:v>
                </c:pt>
                <c:pt idx="26">
                  <c:v>10224</c:v>
                </c:pt>
                <c:pt idx="27">
                  <c:v>12526</c:v>
                </c:pt>
                <c:pt idx="28">
                  <c:v>5950</c:v>
                </c:pt>
                <c:pt idx="29">
                  <c:v>11713</c:v>
                </c:pt>
                <c:pt idx="30">
                  <c:v>3585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BF7-4E01-B3C2-243B9FE74D82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7-EBF7-4E01-B3C2-243B9FE74D82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8-EBF7-4E01-B3C2-243B9FE74D82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9-EBF7-4E01-B3C2-243B9FE74D82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EBF7-4E01-B3C2-243B9FE74D82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B-EBF7-4E01-B3C2-243B9FE74D82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C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02688"/>
        <c:axId val="51216768"/>
      </c:lineChart>
      <c:dateAx>
        <c:axId val="512026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16768"/>
        <c:crosses val="autoZero"/>
        <c:auto val="1"/>
        <c:lblOffset val="100"/>
        <c:baseTimeUnit val="days"/>
      </c:dateAx>
      <c:valAx>
        <c:axId val="51216768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02688"/>
        <c:crosses val="autoZero"/>
        <c:crossBetween val="between"/>
        <c:majorUnit val="1500"/>
      </c:valAx>
      <c:valAx>
        <c:axId val="51218688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20864"/>
        <c:crosses val="max"/>
        <c:crossBetween val="between"/>
        <c:majorUnit val="4"/>
      </c:valAx>
      <c:dateAx>
        <c:axId val="5122086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1218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7601A-31AD-4478-B891-B8002398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54"/>
  <sheetViews>
    <sheetView tabSelected="1" zoomScale="85" zoomScaleNormal="85" zoomScaleSheetLayoutView="80" workbookViewId="0">
      <selection activeCell="B1" sqref="B1"/>
    </sheetView>
  </sheetViews>
  <sheetFormatPr defaultColWidth="9" defaultRowHeight="17.399999999999999" x14ac:dyDescent="0.4"/>
  <cols>
    <col min="1" max="1" width="11.59765625" style="5" bestFit="1" customWidth="1"/>
    <col min="2" max="2" width="10.19921875" style="4" customWidth="1"/>
    <col min="3" max="4" width="7.69921875" style="4" customWidth="1"/>
    <col min="5" max="7" width="8.3984375" style="4" bestFit="1" customWidth="1"/>
    <col min="8" max="21" width="8.3984375" style="5" bestFit="1" customWidth="1"/>
    <col min="22" max="22" width="8.3984375" style="5" customWidth="1"/>
    <col min="23" max="23" width="10.59765625" style="5" customWidth="1"/>
    <col min="24" max="25" width="8.3984375" style="23" bestFit="1" customWidth="1"/>
    <col min="26" max="30" width="8.3984375" style="5" bestFit="1" customWidth="1"/>
    <col min="31" max="31" width="8.3984375" style="5" customWidth="1"/>
    <col min="32" max="33" width="8.3984375" style="5" bestFit="1" customWidth="1"/>
    <col min="34" max="34" width="6" style="5" customWidth="1"/>
    <col min="35" max="35" width="17.3984375" style="5" bestFit="1" customWidth="1"/>
    <col min="36" max="16384" width="9" style="5"/>
  </cols>
  <sheetData>
    <row r="1" spans="1:22" ht="14.4" customHeight="1" x14ac:dyDescent="0.55000000000000004">
      <c r="A1" s="3"/>
      <c r="B1" s="37"/>
      <c r="C1" s="3"/>
      <c r="D1" s="3"/>
      <c r="L1" s="3"/>
      <c r="M1" s="3"/>
      <c r="N1" s="3"/>
      <c r="S1" s="6"/>
      <c r="T1" s="6"/>
      <c r="U1" s="6"/>
      <c r="V1" s="6"/>
    </row>
    <row r="2" spans="1:22" ht="14.4" customHeight="1" x14ac:dyDescent="0.55000000000000004">
      <c r="A2" s="3"/>
      <c r="B2" s="37"/>
      <c r="C2" s="3"/>
      <c r="D2" s="3"/>
      <c r="L2" s="3"/>
      <c r="M2" s="3"/>
      <c r="N2" s="3"/>
      <c r="S2" s="6"/>
      <c r="T2" s="6"/>
      <c r="U2" s="6"/>
      <c r="V2" s="6"/>
    </row>
    <row r="3" spans="1:22" ht="14.4" customHeight="1" x14ac:dyDescent="0.55000000000000004">
      <c r="A3" s="3"/>
      <c r="B3" s="37"/>
      <c r="C3" s="3"/>
      <c r="D3" s="3"/>
      <c r="L3" s="3"/>
      <c r="M3" s="3"/>
      <c r="N3" s="3"/>
      <c r="S3" s="6"/>
      <c r="T3" s="6"/>
      <c r="U3" s="6"/>
      <c r="V3" s="6"/>
    </row>
    <row r="4" spans="1:22" ht="14.4" customHeight="1" x14ac:dyDescent="0.55000000000000004">
      <c r="A4" s="3"/>
      <c r="B4" s="37"/>
      <c r="C4" s="3"/>
      <c r="D4" s="3"/>
      <c r="L4" s="3"/>
      <c r="M4" s="3"/>
      <c r="N4" s="3"/>
      <c r="S4" s="6"/>
      <c r="T4" s="6"/>
      <c r="U4" s="6"/>
      <c r="V4" s="6"/>
    </row>
    <row r="5" spans="1:22" ht="14.4" customHeight="1" x14ac:dyDescent="0.55000000000000004">
      <c r="A5" s="3"/>
      <c r="B5" s="37"/>
      <c r="C5" s="3"/>
      <c r="D5" s="3"/>
      <c r="L5" s="3"/>
      <c r="M5" s="3"/>
      <c r="N5" s="3"/>
      <c r="S5" s="6"/>
      <c r="T5" s="6"/>
      <c r="U5" s="6"/>
      <c r="V5" s="6"/>
    </row>
    <row r="6" spans="1:22" ht="14.4" customHeight="1" x14ac:dyDescent="0.55000000000000004">
      <c r="A6" s="3"/>
      <c r="B6" s="37"/>
      <c r="C6" s="3"/>
      <c r="D6" s="3"/>
      <c r="L6" s="3"/>
      <c r="M6" s="3"/>
      <c r="N6" s="3"/>
      <c r="S6" s="6"/>
      <c r="T6" s="6"/>
      <c r="U6" s="6"/>
      <c r="V6" s="6"/>
    </row>
    <row r="7" spans="1:22" ht="14.4" customHeight="1" x14ac:dyDescent="0.55000000000000004">
      <c r="A7" s="3"/>
      <c r="B7" s="37"/>
      <c r="C7" s="3"/>
      <c r="D7" s="3"/>
      <c r="L7" s="3"/>
      <c r="M7" s="3"/>
      <c r="N7" s="3"/>
      <c r="S7" s="6"/>
      <c r="T7" s="6"/>
      <c r="U7" s="6"/>
      <c r="V7" s="6"/>
    </row>
    <row r="8" spans="1:22" ht="14.4" customHeight="1" x14ac:dyDescent="0.55000000000000004">
      <c r="A8" s="3"/>
      <c r="B8" s="37"/>
      <c r="C8" s="3"/>
      <c r="D8" s="3"/>
      <c r="L8" s="3"/>
      <c r="M8" s="3"/>
      <c r="N8" s="3"/>
      <c r="S8" s="6"/>
      <c r="T8" s="6"/>
      <c r="U8" s="6"/>
      <c r="V8" s="6"/>
    </row>
    <row r="9" spans="1:22" ht="14.4" customHeight="1" x14ac:dyDescent="0.55000000000000004">
      <c r="A9" s="3"/>
      <c r="B9" s="37"/>
      <c r="C9" s="3"/>
      <c r="D9" s="3"/>
      <c r="L9" s="3"/>
      <c r="M9" s="3"/>
      <c r="N9" s="3"/>
      <c r="S9" s="6"/>
      <c r="T9" s="6"/>
      <c r="U9" s="6"/>
      <c r="V9" s="6"/>
    </row>
    <row r="10" spans="1:22" ht="14.4" customHeight="1" x14ac:dyDescent="0.55000000000000004">
      <c r="A10" s="3"/>
      <c r="B10" s="37"/>
      <c r="C10" s="3"/>
      <c r="D10" s="3"/>
      <c r="L10" s="3"/>
      <c r="M10" s="3"/>
      <c r="N10" s="3"/>
      <c r="S10" s="6"/>
      <c r="T10" s="6"/>
      <c r="U10" s="6"/>
      <c r="V10" s="6"/>
    </row>
    <row r="11" spans="1:22" ht="14.4" customHeight="1" x14ac:dyDescent="0.55000000000000004">
      <c r="A11" s="3"/>
      <c r="B11" s="37"/>
      <c r="C11" s="3"/>
      <c r="D11" s="3"/>
      <c r="L11" s="3"/>
      <c r="M11" s="3"/>
      <c r="N11" s="3"/>
      <c r="S11" s="6"/>
      <c r="T11" s="6"/>
      <c r="U11" s="6"/>
      <c r="V11" s="6"/>
    </row>
    <row r="12" spans="1:22" ht="14.4" customHeight="1" x14ac:dyDescent="0.55000000000000004">
      <c r="A12" s="3"/>
      <c r="B12" s="37"/>
      <c r="C12" s="3"/>
      <c r="D12" s="3"/>
      <c r="L12" s="3"/>
      <c r="M12" s="3"/>
      <c r="N12" s="3"/>
      <c r="S12" s="6"/>
      <c r="T12" s="6"/>
      <c r="U12" s="6"/>
      <c r="V12" s="6"/>
    </row>
    <row r="13" spans="1:22" ht="14.4" customHeight="1" x14ac:dyDescent="0.55000000000000004">
      <c r="A13" s="3"/>
      <c r="B13" s="37"/>
      <c r="C13" s="3"/>
      <c r="D13" s="3"/>
      <c r="G13" s="7"/>
      <c r="H13" s="7"/>
      <c r="I13" s="7"/>
      <c r="K13" s="8"/>
      <c r="L13" s="8"/>
      <c r="M13" s="8"/>
    </row>
    <row r="14" spans="1:22" ht="14.4" customHeight="1" x14ac:dyDescent="0.55000000000000004">
      <c r="A14" s="3"/>
      <c r="B14" s="37"/>
      <c r="C14" s="3"/>
      <c r="D14" s="3"/>
      <c r="G14" s="7"/>
      <c r="H14" s="7"/>
      <c r="I14" s="7"/>
      <c r="K14" s="8"/>
      <c r="L14" s="8"/>
      <c r="M14" s="8"/>
    </row>
    <row r="15" spans="1:22" ht="14.4" customHeight="1" x14ac:dyDescent="0.55000000000000004">
      <c r="A15" s="3"/>
      <c r="B15" s="37"/>
      <c r="C15" s="3"/>
      <c r="D15" s="3"/>
      <c r="G15" s="7"/>
      <c r="H15" s="7"/>
      <c r="I15" s="7"/>
      <c r="K15" s="8"/>
      <c r="L15" s="8"/>
      <c r="M15" s="8"/>
    </row>
    <row r="16" spans="1:22" ht="14.4" customHeight="1" x14ac:dyDescent="0.55000000000000004">
      <c r="A16" s="3"/>
      <c r="B16" s="37"/>
      <c r="C16" s="3"/>
      <c r="D16" s="3"/>
      <c r="G16" s="7"/>
      <c r="H16" s="7"/>
      <c r="I16" s="7"/>
      <c r="K16" s="8"/>
      <c r="L16" s="8"/>
      <c r="M16" s="8"/>
    </row>
    <row r="17" spans="1:40" ht="14.4" customHeight="1" x14ac:dyDescent="0.55000000000000004">
      <c r="A17" s="3"/>
      <c r="B17" s="37"/>
      <c r="C17" s="3"/>
      <c r="D17" s="3"/>
      <c r="G17" s="7"/>
      <c r="H17" s="7"/>
      <c r="I17" s="7"/>
      <c r="K17" s="8"/>
      <c r="L17" s="8"/>
      <c r="M17" s="8"/>
    </row>
    <row r="18" spans="1:40" ht="14.4" customHeight="1" x14ac:dyDescent="0.55000000000000004">
      <c r="A18" s="3"/>
      <c r="B18" s="37"/>
      <c r="C18" s="3"/>
      <c r="D18" s="3"/>
      <c r="G18" s="7"/>
      <c r="H18" s="7"/>
      <c r="I18" s="7"/>
      <c r="K18" s="8"/>
      <c r="L18" s="8"/>
      <c r="M18" s="8"/>
    </row>
    <row r="19" spans="1:40" ht="14.4" customHeight="1" x14ac:dyDescent="0.55000000000000004">
      <c r="A19" s="3"/>
      <c r="B19" s="37"/>
      <c r="C19" s="3"/>
      <c r="D19" s="3"/>
      <c r="G19" s="7"/>
      <c r="H19" s="7"/>
      <c r="I19" s="7"/>
      <c r="K19" s="8"/>
      <c r="L19" s="8"/>
      <c r="M19" s="8"/>
    </row>
    <row r="20" spans="1:40" ht="14.4" customHeight="1" x14ac:dyDescent="0.55000000000000004">
      <c r="A20" s="3"/>
      <c r="B20" s="37"/>
      <c r="C20" s="3"/>
      <c r="D20" s="3"/>
      <c r="G20" s="7"/>
      <c r="H20" s="7"/>
      <c r="I20" s="7"/>
      <c r="K20" s="8"/>
      <c r="L20" s="8"/>
      <c r="M20" s="8"/>
    </row>
    <row r="21" spans="1:40" ht="14.4" customHeight="1" x14ac:dyDescent="0.4">
      <c r="A21" s="119" t="s">
        <v>0</v>
      </c>
      <c r="B21" s="120"/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6</v>
      </c>
      <c r="I21" s="1" t="s">
        <v>7</v>
      </c>
      <c r="J21" s="1" t="s">
        <v>1</v>
      </c>
      <c r="K21" s="1" t="s">
        <v>2</v>
      </c>
      <c r="L21" s="1" t="s">
        <v>3</v>
      </c>
      <c r="M21" s="1" t="s">
        <v>4</v>
      </c>
      <c r="N21" s="1" t="s">
        <v>5</v>
      </c>
      <c r="O21" s="1" t="s">
        <v>6</v>
      </c>
      <c r="P21" s="1" t="s">
        <v>7</v>
      </c>
      <c r="Q21" s="1" t="s">
        <v>1</v>
      </c>
      <c r="R21" s="1" t="s">
        <v>2</v>
      </c>
      <c r="S21" s="1" t="s">
        <v>3</v>
      </c>
      <c r="T21" s="1" t="s">
        <v>4</v>
      </c>
      <c r="U21" s="1" t="s">
        <v>5</v>
      </c>
      <c r="V21" s="1" t="s">
        <v>6</v>
      </c>
      <c r="W21" s="1" t="s">
        <v>7</v>
      </c>
      <c r="X21" s="1" t="s">
        <v>1</v>
      </c>
      <c r="Y21" s="1" t="s">
        <v>2</v>
      </c>
      <c r="Z21" s="1" t="s">
        <v>3</v>
      </c>
      <c r="AA21" s="1" t="s">
        <v>4</v>
      </c>
      <c r="AB21" s="1" t="s">
        <v>5</v>
      </c>
      <c r="AC21" s="1" t="s">
        <v>6</v>
      </c>
      <c r="AD21" s="1" t="s">
        <v>7</v>
      </c>
      <c r="AE21" s="1" t="s">
        <v>1</v>
      </c>
      <c r="AF21" s="1" t="s">
        <v>2</v>
      </c>
      <c r="AG21" s="1" t="s">
        <v>3</v>
      </c>
      <c r="AH21" s="129" t="s">
        <v>8</v>
      </c>
      <c r="AI21" s="83" t="s">
        <v>9</v>
      </c>
      <c r="AJ21" s="129" t="s">
        <v>10</v>
      </c>
    </row>
    <row r="22" spans="1:40" s="10" customFormat="1" ht="14.4" customHeight="1" x14ac:dyDescent="0.35">
      <c r="A22" s="85" t="s">
        <v>11</v>
      </c>
      <c r="B22" s="86"/>
      <c r="C22" s="2">
        <v>46143</v>
      </c>
      <c r="D22" s="2">
        <v>46144</v>
      </c>
      <c r="E22" s="2">
        <v>46145</v>
      </c>
      <c r="F22" s="2">
        <v>46146</v>
      </c>
      <c r="G22" s="2">
        <v>46147</v>
      </c>
      <c r="H22" s="2">
        <v>46148</v>
      </c>
      <c r="I22" s="2">
        <v>46149</v>
      </c>
      <c r="J22" s="2">
        <v>46150</v>
      </c>
      <c r="K22" s="2">
        <v>46151</v>
      </c>
      <c r="L22" s="2">
        <v>46152</v>
      </c>
      <c r="M22" s="2">
        <v>46153</v>
      </c>
      <c r="N22" s="2">
        <v>46154</v>
      </c>
      <c r="O22" s="2">
        <v>46155</v>
      </c>
      <c r="P22" s="2">
        <v>46156</v>
      </c>
      <c r="Q22" s="2">
        <v>46157</v>
      </c>
      <c r="R22" s="2">
        <v>46158</v>
      </c>
      <c r="S22" s="2">
        <v>46159</v>
      </c>
      <c r="T22" s="2">
        <v>46160</v>
      </c>
      <c r="U22" s="2">
        <v>46161</v>
      </c>
      <c r="V22" s="2">
        <v>46162</v>
      </c>
      <c r="W22" s="2">
        <v>46163</v>
      </c>
      <c r="X22" s="2">
        <v>46164</v>
      </c>
      <c r="Y22" s="2">
        <v>46165</v>
      </c>
      <c r="Z22" s="2">
        <v>46166</v>
      </c>
      <c r="AA22" s="2">
        <v>46167</v>
      </c>
      <c r="AB22" s="2">
        <v>46168</v>
      </c>
      <c r="AC22" s="2">
        <v>46169</v>
      </c>
      <c r="AD22" s="2">
        <v>46170</v>
      </c>
      <c r="AE22" s="2">
        <v>46171</v>
      </c>
      <c r="AF22" s="2">
        <v>46172</v>
      </c>
      <c r="AG22" s="2">
        <v>46173</v>
      </c>
      <c r="AH22" s="130"/>
      <c r="AI22" s="84"/>
      <c r="AJ22" s="130"/>
    </row>
    <row r="23" spans="1:40" ht="14.4" customHeight="1" x14ac:dyDescent="0.4">
      <c r="A23" s="87" t="s">
        <v>12</v>
      </c>
      <c r="B23" s="88"/>
      <c r="C23" s="27">
        <f t="shared" ref="C23:Z23" si="0">SUMIF($A40:$A378,C22,$B40:$B378)</f>
        <v>0</v>
      </c>
      <c r="D23" s="27">
        <f t="shared" si="0"/>
        <v>0</v>
      </c>
      <c r="E23" s="27">
        <f t="shared" si="0"/>
        <v>9736</v>
      </c>
      <c r="F23" s="27">
        <f t="shared" si="0"/>
        <v>9369</v>
      </c>
      <c r="G23" s="27">
        <f t="shared" si="0"/>
        <v>9958</v>
      </c>
      <c r="H23" s="27">
        <f t="shared" si="0"/>
        <v>10612</v>
      </c>
      <c r="I23" s="27">
        <f t="shared" si="0"/>
        <v>0</v>
      </c>
      <c r="J23" s="27">
        <f t="shared" si="0"/>
        <v>0</v>
      </c>
      <c r="K23" s="27">
        <f t="shared" si="0"/>
        <v>0</v>
      </c>
      <c r="L23" s="27">
        <f t="shared" si="0"/>
        <v>327</v>
      </c>
      <c r="M23" s="27">
        <f t="shared" si="0"/>
        <v>8178</v>
      </c>
      <c r="N23" s="27">
        <f t="shared" si="0"/>
        <v>11028</v>
      </c>
      <c r="O23" s="27">
        <f t="shared" si="0"/>
        <v>11235</v>
      </c>
      <c r="P23" s="27">
        <f t="shared" si="0"/>
        <v>7125</v>
      </c>
      <c r="Q23" s="27">
        <f t="shared" si="0"/>
        <v>7227</v>
      </c>
      <c r="R23" s="27">
        <f t="shared" si="0"/>
        <v>10924</v>
      </c>
      <c r="S23" s="27">
        <f t="shared" si="0"/>
        <v>6160</v>
      </c>
      <c r="T23" s="27">
        <f t="shared" si="0"/>
        <v>5233</v>
      </c>
      <c r="U23" s="27">
        <f t="shared" si="0"/>
        <v>12128</v>
      </c>
      <c r="V23" s="27">
        <f t="shared" si="0"/>
        <v>8312</v>
      </c>
      <c r="W23" s="27">
        <f t="shared" si="0"/>
        <v>14201</v>
      </c>
      <c r="X23" s="27">
        <f t="shared" si="0"/>
        <v>14291</v>
      </c>
      <c r="Y23" s="27">
        <f t="shared" si="0"/>
        <v>5206</v>
      </c>
      <c r="Z23" s="27">
        <f t="shared" si="0"/>
        <v>8312</v>
      </c>
      <c r="AA23" s="27">
        <v>6069</v>
      </c>
      <c r="AB23" s="27">
        <f t="shared" ref="AB23:AG23" si="1">SUMIF($A40:$A378,AB22,$B40:$B378)</f>
        <v>0</v>
      </c>
      <c r="AC23" s="27">
        <f t="shared" si="1"/>
        <v>10224</v>
      </c>
      <c r="AD23" s="27">
        <f t="shared" si="1"/>
        <v>12526</v>
      </c>
      <c r="AE23" s="27">
        <f t="shared" si="1"/>
        <v>11900</v>
      </c>
      <c r="AF23" s="27">
        <f t="shared" si="1"/>
        <v>11713</v>
      </c>
      <c r="AG23" s="27">
        <f t="shared" si="1"/>
        <v>3585</v>
      </c>
      <c r="AH23" s="131"/>
      <c r="AI23" s="11">
        <f>SUM(C23:AG23)</f>
        <v>225579</v>
      </c>
      <c r="AJ23" s="131"/>
    </row>
    <row r="24" spans="1:40" x14ac:dyDescent="0.4">
      <c r="A24" s="132" t="s">
        <v>2314</v>
      </c>
      <c r="B24" s="132"/>
      <c r="C24" s="29">
        <f t="shared" ref="C24:AB24" si="2">SUM(C26:C36)</f>
        <v>0</v>
      </c>
      <c r="D24" s="29">
        <f t="shared" si="2"/>
        <v>0</v>
      </c>
      <c r="E24" s="29">
        <f t="shared" si="2"/>
        <v>8</v>
      </c>
      <c r="F24" s="29">
        <f t="shared" si="2"/>
        <v>5</v>
      </c>
      <c r="G24" s="29">
        <f t="shared" si="2"/>
        <v>5</v>
      </c>
      <c r="H24" s="29">
        <f t="shared" si="2"/>
        <v>3</v>
      </c>
      <c r="I24" s="29">
        <f t="shared" si="2"/>
        <v>0</v>
      </c>
      <c r="J24" s="29">
        <f t="shared" si="2"/>
        <v>0</v>
      </c>
      <c r="K24" s="29">
        <f t="shared" si="2"/>
        <v>0</v>
      </c>
      <c r="L24" s="29">
        <f t="shared" si="2"/>
        <v>0</v>
      </c>
      <c r="M24" s="29">
        <f t="shared" si="2"/>
        <v>1</v>
      </c>
      <c r="N24" s="29">
        <f t="shared" si="2"/>
        <v>13</v>
      </c>
      <c r="O24" s="29">
        <f t="shared" si="2"/>
        <v>2</v>
      </c>
      <c r="P24" s="29">
        <f t="shared" si="2"/>
        <v>2</v>
      </c>
      <c r="Q24" s="29">
        <f t="shared" si="2"/>
        <v>4</v>
      </c>
      <c r="R24" s="29">
        <f t="shared" si="2"/>
        <v>4</v>
      </c>
      <c r="S24" s="29">
        <f t="shared" si="2"/>
        <v>2</v>
      </c>
      <c r="T24" s="29">
        <f t="shared" si="2"/>
        <v>3</v>
      </c>
      <c r="U24" s="29">
        <f t="shared" si="2"/>
        <v>4</v>
      </c>
      <c r="V24" s="29">
        <f t="shared" si="2"/>
        <v>6</v>
      </c>
      <c r="W24" s="29">
        <f t="shared" si="2"/>
        <v>0</v>
      </c>
      <c r="X24" s="29">
        <f t="shared" si="2"/>
        <v>0</v>
      </c>
      <c r="Y24" s="29">
        <f t="shared" si="2"/>
        <v>0</v>
      </c>
      <c r="Z24" s="29">
        <f t="shared" si="2"/>
        <v>0</v>
      </c>
      <c r="AA24" s="29">
        <f t="shared" si="2"/>
        <v>2</v>
      </c>
      <c r="AB24" s="29">
        <f t="shared" si="2"/>
        <v>0</v>
      </c>
      <c r="AC24" s="29">
        <v>0</v>
      </c>
      <c r="AD24" s="29">
        <v>1</v>
      </c>
      <c r="AE24" s="29">
        <v>2</v>
      </c>
      <c r="AF24" s="29">
        <v>0</v>
      </c>
      <c r="AG24" s="29">
        <v>0</v>
      </c>
      <c r="AH24" s="14">
        <f>SUBTOTAL(9,C24:AG24)</f>
        <v>67</v>
      </c>
      <c r="AI24" s="91" t="s">
        <v>25</v>
      </c>
      <c r="AJ24" s="92"/>
    </row>
    <row r="25" spans="1:40" ht="14.4" customHeight="1" x14ac:dyDescent="0.4">
      <c r="A25" s="89" t="s">
        <v>13</v>
      </c>
      <c r="B25" s="90"/>
      <c r="C25" s="28">
        <f t="shared" ref="C25:D25" si="3">IF(C24=0, C23, C23/C24)</f>
        <v>0</v>
      </c>
      <c r="D25" s="28">
        <f t="shared" si="3"/>
        <v>0</v>
      </c>
      <c r="E25" s="28">
        <f t="shared" ref="E25" si="4">IF(E24=0, E23, E23/E24)</f>
        <v>1217</v>
      </c>
      <c r="F25" s="28">
        <f t="shared" ref="F25:G25" si="5">IF(F24=0, F23, F23/F24)</f>
        <v>1873.8</v>
      </c>
      <c r="G25" s="28">
        <f t="shared" si="5"/>
        <v>1991.6</v>
      </c>
      <c r="H25" s="28">
        <f t="shared" ref="H25" si="6">IF(H24=0, H23, H23/H24)</f>
        <v>3537.3333333333335</v>
      </c>
      <c r="I25" s="28">
        <f t="shared" ref="I25:J25" si="7">IF(I24=0, I23, I23/I24)</f>
        <v>0</v>
      </c>
      <c r="J25" s="28">
        <f t="shared" si="7"/>
        <v>0</v>
      </c>
      <c r="K25" s="28">
        <f t="shared" ref="K25" si="8">IF(K24=0, K23, K23/K24)</f>
        <v>0</v>
      </c>
      <c r="L25" s="28">
        <f t="shared" ref="L25" si="9">IF(L24=0, L23, L23/L24)</f>
        <v>327</v>
      </c>
      <c r="M25" s="28">
        <f>IF(M24=0, M23, M23/M24)</f>
        <v>8178</v>
      </c>
      <c r="N25" s="28">
        <f t="shared" ref="N25:P25" si="10">IF(N24=0, N23, N23/N24)</f>
        <v>848.30769230769226</v>
      </c>
      <c r="O25" s="28">
        <f t="shared" si="10"/>
        <v>5617.5</v>
      </c>
      <c r="P25" s="28">
        <f t="shared" si="10"/>
        <v>3562.5</v>
      </c>
      <c r="Q25" s="28">
        <f t="shared" ref="Q25" si="11">IF(Q24=0, Q23, Q23/Q24)</f>
        <v>1806.75</v>
      </c>
      <c r="R25" s="28">
        <f t="shared" ref="R25:S25" si="12">IF(R24=0, R23, R23/R24)</f>
        <v>2731</v>
      </c>
      <c r="S25" s="28">
        <f t="shared" si="12"/>
        <v>3080</v>
      </c>
      <c r="T25" s="28">
        <f t="shared" ref="T25" si="13">IF(T24=0, T23, T23/T24)</f>
        <v>1744.3333333333333</v>
      </c>
      <c r="U25" s="28">
        <f t="shared" ref="U25:V25" si="14">IF(U24=0, U23, U23/U24)</f>
        <v>3032</v>
      </c>
      <c r="V25" s="28">
        <f t="shared" si="14"/>
        <v>1385.3333333333333</v>
      </c>
      <c r="W25" s="28">
        <f t="shared" ref="W25" si="15">IF(W24=0, W23, W23/W24)</f>
        <v>14201</v>
      </c>
      <c r="X25" s="28">
        <f t="shared" ref="X25:Y25" si="16">IF(X24=0, X23, X23/X24)</f>
        <v>14291</v>
      </c>
      <c r="Y25" s="28">
        <f t="shared" si="16"/>
        <v>5206</v>
      </c>
      <c r="Z25" s="28">
        <f t="shared" ref="Z25" si="17">IF(Z24=0, Z23, Z23/Z24)</f>
        <v>8312</v>
      </c>
      <c r="AA25" s="28">
        <f t="shared" ref="AA25:AB25" si="18">IF(AA24=0, AA23, AA23/AA24)</f>
        <v>3034.5</v>
      </c>
      <c r="AB25" s="28">
        <f t="shared" si="18"/>
        <v>0</v>
      </c>
      <c r="AC25" s="28">
        <f t="shared" ref="AC25" si="19">IF(AC24=0, AC23, AC23/AC24)</f>
        <v>10224</v>
      </c>
      <c r="AD25" s="28">
        <f t="shared" ref="AD25:AE25" si="20">IF(AD24=0, AD23, AD23/AD24)</f>
        <v>12526</v>
      </c>
      <c r="AE25" s="28">
        <f t="shared" si="20"/>
        <v>5950</v>
      </c>
      <c r="AF25" s="28">
        <f t="shared" ref="AF25" si="21">IF(AF24=0, AF23, AF23/AF24)</f>
        <v>11713</v>
      </c>
      <c r="AG25" s="28">
        <f t="shared" ref="AG25" si="22">IF(AG24=0, AG23, AG23/AG24)</f>
        <v>3585</v>
      </c>
      <c r="AH25" s="36"/>
      <c r="AI25" s="12">
        <f>AI23/AH37</f>
        <v>3366.8507462686566</v>
      </c>
      <c r="AJ25" s="34"/>
    </row>
    <row r="26" spans="1:40" s="15" customFormat="1" ht="14.25" customHeight="1" x14ac:dyDescent="0.4">
      <c r="A26" s="121" t="s">
        <v>14</v>
      </c>
      <c r="B26" s="122"/>
      <c r="C26" s="40">
        <v>0</v>
      </c>
      <c r="D26" s="40">
        <v>0</v>
      </c>
      <c r="E26" s="40">
        <v>1</v>
      </c>
      <c r="F26" s="40">
        <v>3</v>
      </c>
      <c r="G26" s="40">
        <v>1</v>
      </c>
      <c r="H26" s="40">
        <v>1</v>
      </c>
      <c r="I26" s="40">
        <v>0</v>
      </c>
      <c r="J26" s="40">
        <v>0</v>
      </c>
      <c r="K26" s="40">
        <v>0</v>
      </c>
      <c r="L26" s="40">
        <v>0</v>
      </c>
      <c r="M26" s="40">
        <v>1</v>
      </c>
      <c r="N26" s="40">
        <v>1</v>
      </c>
      <c r="O26" s="40">
        <v>1</v>
      </c>
      <c r="P26" s="40">
        <v>2</v>
      </c>
      <c r="Q26" s="40">
        <v>3</v>
      </c>
      <c r="R26" s="40">
        <v>3</v>
      </c>
      <c r="S26" s="40">
        <v>0</v>
      </c>
      <c r="T26" s="40">
        <v>2</v>
      </c>
      <c r="U26" s="40">
        <v>0</v>
      </c>
      <c r="V26" s="40">
        <v>1</v>
      </c>
      <c r="W26" s="40">
        <v>0</v>
      </c>
      <c r="X26" s="40">
        <v>0</v>
      </c>
      <c r="Y26" s="40">
        <v>0</v>
      </c>
      <c r="Z26" s="40">
        <v>0</v>
      </c>
      <c r="AA26" s="40">
        <v>1</v>
      </c>
      <c r="AB26" s="40">
        <v>0</v>
      </c>
      <c r="AC26" s="40">
        <v>0</v>
      </c>
      <c r="AD26" s="40">
        <v>1</v>
      </c>
      <c r="AE26" s="40">
        <v>2</v>
      </c>
      <c r="AF26" s="40">
        <v>0</v>
      </c>
      <c r="AG26" s="40">
        <v>0</v>
      </c>
      <c r="AH26" s="35">
        <f>SUBTOTAL(9,C26:AG26)</f>
        <v>24</v>
      </c>
      <c r="AI26" s="41">
        <f>AH26/AH24</f>
        <v>0.35820895522388058</v>
      </c>
      <c r="AJ26" s="35"/>
    </row>
    <row r="27" spans="1:40" s="15" customFormat="1" ht="14.4" customHeight="1" x14ac:dyDescent="0.4">
      <c r="A27" s="79" t="s">
        <v>15</v>
      </c>
      <c r="B27" s="80"/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1</v>
      </c>
      <c r="O27" s="40">
        <v>0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35">
        <f t="shared" ref="AH27:AH35" si="23">SUBTOTAL(9,C27:AG27)</f>
        <v>1</v>
      </c>
      <c r="AI27" s="41">
        <f>AH27/AH24</f>
        <v>1.4925373134328358E-2</v>
      </c>
      <c r="AJ27" s="35"/>
    </row>
    <row r="28" spans="1:40" s="15" customFormat="1" ht="14.4" customHeight="1" x14ac:dyDescent="0.4">
      <c r="A28" s="79" t="s">
        <v>16</v>
      </c>
      <c r="B28" s="80"/>
      <c r="C28" s="40">
        <v>0</v>
      </c>
      <c r="D28" s="40">
        <v>0</v>
      </c>
      <c r="E28" s="40">
        <v>3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7</v>
      </c>
      <c r="O28" s="40">
        <v>1</v>
      </c>
      <c r="P28" s="40">
        <v>0</v>
      </c>
      <c r="Q28" s="40">
        <v>0</v>
      </c>
      <c r="R28" s="40">
        <v>0</v>
      </c>
      <c r="S28" s="40">
        <v>2</v>
      </c>
      <c r="T28" s="40">
        <v>0</v>
      </c>
      <c r="U28" s="40">
        <v>1</v>
      </c>
      <c r="V28" s="40">
        <v>4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35">
        <f t="shared" si="23"/>
        <v>18</v>
      </c>
      <c r="AI28" s="41">
        <f>AH28/AH24</f>
        <v>0.26865671641791045</v>
      </c>
      <c r="AJ28" s="35"/>
      <c r="AL28" s="40">
        <v>0</v>
      </c>
      <c r="AM28" s="40">
        <v>0</v>
      </c>
      <c r="AN28" s="40">
        <v>0</v>
      </c>
    </row>
    <row r="29" spans="1:40" ht="14.4" customHeight="1" x14ac:dyDescent="0.4">
      <c r="A29" s="79" t="s">
        <v>17</v>
      </c>
      <c r="B29" s="80"/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35">
        <f>SUBTOTAL(9,C29:AF29)</f>
        <v>0</v>
      </c>
      <c r="AI29" s="13">
        <f>AH29/AH24</f>
        <v>0</v>
      </c>
      <c r="AJ29" s="9"/>
    </row>
    <row r="30" spans="1:40" ht="14.4" customHeight="1" x14ac:dyDescent="0.4">
      <c r="A30" s="79" t="s">
        <v>23</v>
      </c>
      <c r="B30" s="80"/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35">
        <f>SUBTOTAL(9,C30:AG30)</f>
        <v>0</v>
      </c>
      <c r="AI30" s="13">
        <f>AH30/AH24</f>
        <v>0</v>
      </c>
      <c r="AJ30" s="9"/>
    </row>
    <row r="31" spans="1:40" ht="14.4" customHeight="1" x14ac:dyDescent="0.4">
      <c r="A31" s="79" t="s">
        <v>20</v>
      </c>
      <c r="B31" s="80"/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35">
        <f>SUBTOTAL(9,C31:AG31)</f>
        <v>0</v>
      </c>
      <c r="AI31" s="13">
        <f>AH31/AH24</f>
        <v>0</v>
      </c>
      <c r="AJ31" s="9"/>
    </row>
    <row r="32" spans="1:40" ht="14.4" customHeight="1" x14ac:dyDescent="0.4">
      <c r="A32" s="79" t="s">
        <v>22</v>
      </c>
      <c r="B32" s="80"/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35">
        <f>SUBTOTAL(9,C32:AG32)</f>
        <v>0</v>
      </c>
      <c r="AI32" s="13">
        <f>AH32/AH24</f>
        <v>0</v>
      </c>
      <c r="AJ32" s="9"/>
    </row>
    <row r="33" spans="1:89" ht="14.4" customHeight="1" x14ac:dyDescent="0.4">
      <c r="A33" s="79" t="s">
        <v>18</v>
      </c>
      <c r="B33" s="80"/>
      <c r="C33" s="40">
        <v>0</v>
      </c>
      <c r="D33" s="40">
        <v>0</v>
      </c>
      <c r="E33" s="40">
        <v>3</v>
      </c>
      <c r="F33" s="40">
        <v>0</v>
      </c>
      <c r="G33" s="40">
        <v>4</v>
      </c>
      <c r="H33" s="40">
        <v>1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1</v>
      </c>
      <c r="R33" s="40">
        <v>1</v>
      </c>
      <c r="S33" s="40">
        <v>0</v>
      </c>
      <c r="T33" s="40">
        <v>0</v>
      </c>
      <c r="U33" s="40">
        <v>2</v>
      </c>
      <c r="V33" s="40">
        <v>1</v>
      </c>
      <c r="W33" s="40">
        <v>0</v>
      </c>
      <c r="X33" s="40">
        <v>0</v>
      </c>
      <c r="Y33" s="40">
        <v>0</v>
      </c>
      <c r="Z33" s="40">
        <v>0</v>
      </c>
      <c r="AA33" s="40">
        <v>1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35">
        <f>SUBTOTAL(9,C33:AG33)</f>
        <v>14</v>
      </c>
      <c r="AI33" s="13">
        <f>AH33/AH24</f>
        <v>0.20895522388059701</v>
      </c>
      <c r="AJ33" s="9"/>
    </row>
    <row r="34" spans="1:89" ht="14.4" customHeight="1" x14ac:dyDescent="0.4">
      <c r="A34" s="79" t="s">
        <v>19</v>
      </c>
      <c r="B34" s="80"/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35">
        <f t="shared" si="23"/>
        <v>0</v>
      </c>
      <c r="AI34" s="13">
        <f>AH34/AH24</f>
        <v>0</v>
      </c>
      <c r="AJ34" s="9"/>
    </row>
    <row r="35" spans="1:89" ht="14.4" customHeight="1" x14ac:dyDescent="0.4">
      <c r="A35" s="79" t="s">
        <v>21</v>
      </c>
      <c r="B35" s="80"/>
      <c r="C35" s="40">
        <v>0</v>
      </c>
      <c r="D35" s="40">
        <v>0</v>
      </c>
      <c r="E35" s="40">
        <v>0</v>
      </c>
      <c r="F35" s="40">
        <v>2</v>
      </c>
      <c r="G35" s="40">
        <v>0</v>
      </c>
      <c r="H35" s="40">
        <v>1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4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1</v>
      </c>
      <c r="U35" s="40">
        <v>1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35">
        <f t="shared" si="23"/>
        <v>9</v>
      </c>
      <c r="AI35" s="13">
        <f>AH35/AH24</f>
        <v>0.13432835820895522</v>
      </c>
      <c r="AJ35" s="9"/>
    </row>
    <row r="36" spans="1:89" ht="14.4" customHeight="1" x14ac:dyDescent="0.4">
      <c r="A36" s="79" t="s">
        <v>24</v>
      </c>
      <c r="B36" s="80"/>
      <c r="C36" s="40">
        <v>0</v>
      </c>
      <c r="D36" s="40">
        <v>0</v>
      </c>
      <c r="E36" s="40">
        <v>1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35">
        <f t="shared" ref="AH36" si="24">SUBTOTAL(9,C36:AG36)</f>
        <v>1</v>
      </c>
      <c r="AI36" s="13">
        <f>AH36/AH24</f>
        <v>1.4925373134328358E-2</v>
      </c>
      <c r="AJ36" s="9"/>
    </row>
    <row r="37" spans="1:89" x14ac:dyDescent="0.4">
      <c r="A37" s="91" t="s">
        <v>2313</v>
      </c>
      <c r="B37" s="92"/>
      <c r="C37" s="29">
        <f>SUM(C26:C36)</f>
        <v>0</v>
      </c>
      <c r="D37" s="29">
        <f t="shared" ref="D37:AG37" si="25">SUM(D26:D36)</f>
        <v>0</v>
      </c>
      <c r="E37" s="29">
        <f t="shared" si="25"/>
        <v>8</v>
      </c>
      <c r="F37" s="29">
        <f t="shared" si="25"/>
        <v>5</v>
      </c>
      <c r="G37" s="29">
        <f t="shared" si="25"/>
        <v>5</v>
      </c>
      <c r="H37" s="29">
        <f t="shared" si="25"/>
        <v>3</v>
      </c>
      <c r="I37" s="29">
        <f t="shared" si="25"/>
        <v>0</v>
      </c>
      <c r="J37" s="29">
        <f t="shared" si="25"/>
        <v>0</v>
      </c>
      <c r="K37" s="29">
        <f t="shared" si="25"/>
        <v>0</v>
      </c>
      <c r="L37" s="29">
        <f t="shared" si="25"/>
        <v>0</v>
      </c>
      <c r="M37" s="29">
        <f t="shared" si="25"/>
        <v>1</v>
      </c>
      <c r="N37" s="29">
        <f t="shared" si="25"/>
        <v>13</v>
      </c>
      <c r="O37" s="29">
        <f t="shared" si="25"/>
        <v>2</v>
      </c>
      <c r="P37" s="29">
        <f t="shared" si="25"/>
        <v>2</v>
      </c>
      <c r="Q37" s="29">
        <f t="shared" si="25"/>
        <v>4</v>
      </c>
      <c r="R37" s="29">
        <f t="shared" si="25"/>
        <v>4</v>
      </c>
      <c r="S37" s="29">
        <f t="shared" si="25"/>
        <v>2</v>
      </c>
      <c r="T37" s="29">
        <f t="shared" si="25"/>
        <v>3</v>
      </c>
      <c r="U37" s="29">
        <f t="shared" si="25"/>
        <v>4</v>
      </c>
      <c r="V37" s="29">
        <f t="shared" si="25"/>
        <v>6</v>
      </c>
      <c r="W37" s="29">
        <f t="shared" si="25"/>
        <v>0</v>
      </c>
      <c r="X37" s="38">
        <f t="shared" si="25"/>
        <v>0</v>
      </c>
      <c r="Y37" s="38">
        <f t="shared" si="25"/>
        <v>0</v>
      </c>
      <c r="Z37" s="29">
        <f t="shared" si="25"/>
        <v>0</v>
      </c>
      <c r="AA37" s="29">
        <f t="shared" si="25"/>
        <v>2</v>
      </c>
      <c r="AB37" s="29">
        <f t="shared" si="25"/>
        <v>0</v>
      </c>
      <c r="AC37" s="29">
        <f t="shared" si="25"/>
        <v>0</v>
      </c>
      <c r="AD37" s="29">
        <f t="shared" si="25"/>
        <v>1</v>
      </c>
      <c r="AE37" s="29">
        <f t="shared" si="25"/>
        <v>2</v>
      </c>
      <c r="AF37" s="29">
        <f t="shared" si="25"/>
        <v>0</v>
      </c>
      <c r="AG37" s="29">
        <f t="shared" si="25"/>
        <v>0</v>
      </c>
      <c r="AH37" s="14">
        <f>SUBTOTAL(9,C37:AG37)</f>
        <v>67</v>
      </c>
      <c r="AI37" s="91" t="s">
        <v>25</v>
      </c>
      <c r="AJ37" s="92"/>
    </row>
    <row r="38" spans="1:89" s="15" customFormat="1" x14ac:dyDescent="0.4">
      <c r="B38" s="22"/>
      <c r="X38" s="39"/>
      <c r="Y38" s="39"/>
    </row>
    <row r="39" spans="1:89" s="15" customFormat="1" x14ac:dyDescent="0.4">
      <c r="A39" s="16" t="s">
        <v>26</v>
      </c>
      <c r="B39" s="17">
        <f>SUM(B41:B467)</f>
        <v>225579</v>
      </c>
      <c r="C39" s="18" t="s">
        <v>27</v>
      </c>
      <c r="D39" s="14">
        <f>AH37</f>
        <v>67</v>
      </c>
      <c r="E39" s="19" t="s">
        <v>13</v>
      </c>
      <c r="F39" s="20">
        <f>AI25</f>
        <v>3366.8507462686566</v>
      </c>
      <c r="G39" s="21" t="s">
        <v>28</v>
      </c>
      <c r="H39" s="21" t="e">
        <f>#REF!</f>
        <v>#REF!</v>
      </c>
      <c r="X39" s="39"/>
      <c r="Y39" s="39"/>
    </row>
    <row r="40" spans="1:89" s="15" customFormat="1" x14ac:dyDescent="0.4">
      <c r="A40" s="123" t="s">
        <v>11</v>
      </c>
      <c r="B40" s="125" t="s">
        <v>12</v>
      </c>
      <c r="C40" s="93" t="s">
        <v>29</v>
      </c>
      <c r="D40" s="95" t="s">
        <v>30</v>
      </c>
      <c r="E40" s="96"/>
      <c r="F40" s="100" t="s">
        <v>31</v>
      </c>
      <c r="G40" s="101"/>
      <c r="H40" s="101"/>
      <c r="I40" s="101"/>
      <c r="J40" s="101"/>
      <c r="K40" s="101"/>
      <c r="L40" s="101"/>
      <c r="M40" s="101"/>
      <c r="N40" s="102"/>
      <c r="O40" s="106" t="s">
        <v>2312</v>
      </c>
      <c r="P40" s="107"/>
      <c r="Q40" s="107"/>
      <c r="R40" s="107"/>
      <c r="S40" s="107"/>
      <c r="T40" s="107"/>
      <c r="U40" s="107"/>
      <c r="V40" s="108"/>
      <c r="W40" s="112" t="s">
        <v>2310</v>
      </c>
      <c r="X40" s="113" t="s">
        <v>2311</v>
      </c>
      <c r="Y40" s="114"/>
      <c r="Z40" s="112"/>
      <c r="AA40" s="112"/>
      <c r="AB40" s="112"/>
      <c r="AC40" s="117"/>
      <c r="AD40" s="114"/>
      <c r="AE40" s="127"/>
      <c r="AF40" s="127"/>
      <c r="AG40" s="127"/>
      <c r="AH40" s="127"/>
      <c r="AI40" s="99"/>
      <c r="AJ40" s="22"/>
      <c r="AK40" s="22"/>
      <c r="AL40" s="22"/>
      <c r="AM40" s="22"/>
      <c r="AN40" s="22"/>
    </row>
    <row r="41" spans="1:89" s="15" customFormat="1" x14ac:dyDescent="0.4">
      <c r="A41" s="124"/>
      <c r="B41" s="126"/>
      <c r="C41" s="94"/>
      <c r="D41" s="97"/>
      <c r="E41" s="98"/>
      <c r="F41" s="103"/>
      <c r="G41" s="104"/>
      <c r="H41" s="104"/>
      <c r="I41" s="104"/>
      <c r="J41" s="104"/>
      <c r="K41" s="104"/>
      <c r="L41" s="104"/>
      <c r="M41" s="104"/>
      <c r="N41" s="105"/>
      <c r="O41" s="109"/>
      <c r="P41" s="110"/>
      <c r="Q41" s="110"/>
      <c r="R41" s="110"/>
      <c r="S41" s="110"/>
      <c r="T41" s="110"/>
      <c r="U41" s="110"/>
      <c r="V41" s="111"/>
      <c r="W41" s="112"/>
      <c r="X41" s="115"/>
      <c r="Y41" s="116"/>
      <c r="Z41" s="112"/>
      <c r="AA41" s="112"/>
      <c r="AB41" s="112"/>
      <c r="AC41" s="118"/>
      <c r="AD41" s="116"/>
      <c r="AE41" s="127"/>
      <c r="AF41" s="127"/>
      <c r="AG41" s="127"/>
      <c r="AH41" s="127"/>
      <c r="AI41" s="99"/>
      <c r="AJ41" s="22"/>
      <c r="AK41" s="22"/>
      <c r="AL41" s="22"/>
      <c r="AM41" s="22"/>
      <c r="AN41" s="22"/>
    </row>
    <row r="42" spans="1:89" s="30" customFormat="1" ht="16.5" hidden="1" customHeight="1" x14ac:dyDescent="0.4">
      <c r="A42" s="45"/>
      <c r="B42" s="26"/>
      <c r="C42" s="26"/>
      <c r="D42" s="26"/>
      <c r="E42" s="26"/>
      <c r="F42" s="67" t="str">
        <f>IFERROR(VLOOKUP(D42,ErrorList!$A$1:$C$2305,3,FALSE),"-")</f>
        <v>-</v>
      </c>
      <c r="G42" s="68"/>
      <c r="H42" s="68"/>
      <c r="I42" s="68"/>
      <c r="J42" s="68"/>
      <c r="K42" s="68"/>
      <c r="L42" s="68"/>
      <c r="M42" s="68"/>
      <c r="N42" s="69"/>
      <c r="O42" s="82"/>
      <c r="P42" s="77"/>
      <c r="Q42" s="77"/>
      <c r="R42" s="77"/>
      <c r="S42" s="77"/>
      <c r="T42" s="77"/>
      <c r="U42" s="77"/>
      <c r="V42" s="78"/>
      <c r="W42" s="32"/>
      <c r="X42" s="65" t="str">
        <f>IFERROR(VLOOKUP(D42,ErrorList!$A$1:$C$2305,2,FALSE),"-")</f>
        <v>-</v>
      </c>
      <c r="Y42" s="66"/>
      <c r="Z42" s="79"/>
      <c r="AA42" s="80"/>
      <c r="AB42" s="31"/>
      <c r="AC42" s="79"/>
      <c r="AD42" s="80"/>
      <c r="AE42" s="81"/>
      <c r="AF42" s="81"/>
      <c r="AG42" s="81"/>
      <c r="AH42" s="81"/>
      <c r="AI42" s="22"/>
      <c r="AJ42" s="22"/>
      <c r="AK42" s="22"/>
      <c r="AL42" s="22"/>
      <c r="AM42" s="22"/>
      <c r="AN42" s="22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</row>
    <row r="43" spans="1:89" s="30" customFormat="1" ht="16.5" hidden="1" customHeight="1" x14ac:dyDescent="0.4">
      <c r="A43" s="45"/>
      <c r="B43" s="26"/>
      <c r="C43" s="26"/>
      <c r="D43" s="26"/>
      <c r="E43" s="26"/>
      <c r="F43" s="67" t="str">
        <f>IFERROR(VLOOKUP(D43,ErrorList!$A$1:$C$2305,3,FALSE),"-")</f>
        <v>-</v>
      </c>
      <c r="G43" s="68"/>
      <c r="H43" s="68"/>
      <c r="I43" s="68"/>
      <c r="J43" s="68"/>
      <c r="K43" s="68"/>
      <c r="L43" s="68"/>
      <c r="M43" s="68"/>
      <c r="N43" s="69"/>
      <c r="O43" s="82"/>
      <c r="P43" s="77"/>
      <c r="Q43" s="77"/>
      <c r="R43" s="77"/>
      <c r="S43" s="77"/>
      <c r="T43" s="77"/>
      <c r="U43" s="77"/>
      <c r="V43" s="78"/>
      <c r="W43" s="32"/>
      <c r="X43" s="65" t="str">
        <f>IFERROR(VLOOKUP(D43,ErrorList!$A$1:$C$2305,2,FALSE),"-")</f>
        <v>-</v>
      </c>
      <c r="Y43" s="66"/>
      <c r="Z43" s="79"/>
      <c r="AA43" s="80"/>
      <c r="AB43" s="31"/>
      <c r="AC43" s="79"/>
      <c r="AD43" s="80"/>
      <c r="AE43" s="81"/>
      <c r="AF43" s="81"/>
      <c r="AG43" s="81"/>
      <c r="AH43" s="81"/>
      <c r="AI43" s="22"/>
      <c r="AJ43" s="22"/>
      <c r="AK43" s="22"/>
      <c r="AL43" s="22"/>
      <c r="AM43" s="22"/>
      <c r="AN43" s="22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</row>
    <row r="44" spans="1:89" s="30" customFormat="1" ht="16.5" hidden="1" customHeight="1" x14ac:dyDescent="0.4">
      <c r="A44" s="45"/>
      <c r="B44" s="26"/>
      <c r="C44" s="26"/>
      <c r="D44" s="26"/>
      <c r="E44" s="26"/>
      <c r="F44" s="67" t="str">
        <f>IFERROR(VLOOKUP(D44,ErrorList!$A$1:$C$2305,3,FALSE),"-")</f>
        <v>-</v>
      </c>
      <c r="G44" s="68"/>
      <c r="H44" s="68"/>
      <c r="I44" s="68"/>
      <c r="J44" s="68"/>
      <c r="K44" s="68"/>
      <c r="L44" s="68"/>
      <c r="M44" s="68"/>
      <c r="N44" s="69"/>
      <c r="O44" s="82"/>
      <c r="P44" s="77"/>
      <c r="Q44" s="77"/>
      <c r="R44" s="77"/>
      <c r="S44" s="77"/>
      <c r="T44" s="77"/>
      <c r="U44" s="77"/>
      <c r="V44" s="78"/>
      <c r="W44" s="32"/>
      <c r="X44" s="65" t="str">
        <f>IFERROR(VLOOKUP(D44,ErrorList!$A$1:$C$2305,2,FALSE),"-")</f>
        <v>-</v>
      </c>
      <c r="Y44" s="66"/>
      <c r="Z44" s="79"/>
      <c r="AA44" s="80"/>
      <c r="AB44" s="31"/>
      <c r="AC44" s="79"/>
      <c r="AD44" s="80"/>
      <c r="AE44" s="81"/>
      <c r="AF44" s="81"/>
      <c r="AG44" s="81"/>
      <c r="AH44" s="81"/>
      <c r="AI44" s="22"/>
      <c r="AJ44" s="22"/>
      <c r="AK44" s="22"/>
      <c r="AL44" s="22"/>
      <c r="AM44" s="22"/>
      <c r="AN44" s="22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</row>
    <row r="45" spans="1:89" s="30" customFormat="1" ht="16.5" hidden="1" customHeight="1" x14ac:dyDescent="0.4">
      <c r="A45" s="45"/>
      <c r="B45" s="26"/>
      <c r="C45" s="26"/>
      <c r="D45" s="26"/>
      <c r="E45" s="26"/>
      <c r="F45" s="67" t="str">
        <f>IFERROR(VLOOKUP(D45,ErrorList!$A$1:$C$2305,3,FALSE),"-")</f>
        <v>-</v>
      </c>
      <c r="G45" s="68"/>
      <c r="H45" s="68"/>
      <c r="I45" s="68"/>
      <c r="J45" s="68"/>
      <c r="K45" s="68"/>
      <c r="L45" s="68"/>
      <c r="M45" s="68"/>
      <c r="N45" s="69"/>
      <c r="O45" s="82"/>
      <c r="P45" s="77"/>
      <c r="Q45" s="77"/>
      <c r="R45" s="77"/>
      <c r="S45" s="77"/>
      <c r="T45" s="77"/>
      <c r="U45" s="77"/>
      <c r="V45" s="78"/>
      <c r="W45" s="32"/>
      <c r="X45" s="65" t="str">
        <f>IFERROR(VLOOKUP(D45,ErrorList!$A$1:$C$2305,2,FALSE),"-")</f>
        <v>-</v>
      </c>
      <c r="Y45" s="66"/>
      <c r="Z45" s="79"/>
      <c r="AA45" s="80"/>
      <c r="AB45" s="31"/>
      <c r="AC45" s="79"/>
      <c r="AD45" s="80"/>
      <c r="AE45" s="81"/>
      <c r="AF45" s="81"/>
      <c r="AG45" s="81"/>
      <c r="AH45" s="81"/>
      <c r="AI45" s="22"/>
      <c r="AJ45" s="22"/>
      <c r="AK45" s="22"/>
      <c r="AL45" s="22"/>
      <c r="AM45" s="22"/>
      <c r="AN45" s="22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</row>
    <row r="46" spans="1:89" s="30" customFormat="1" ht="16.5" hidden="1" customHeight="1" x14ac:dyDescent="0.4">
      <c r="A46" s="45"/>
      <c r="B46" s="26"/>
      <c r="C46" s="26"/>
      <c r="D46" s="26"/>
      <c r="E46" s="26"/>
      <c r="F46" s="67" t="str">
        <f>IFERROR(VLOOKUP(D46,ErrorList!$A$1:$C$2305,3,FALSE),"-")</f>
        <v>-</v>
      </c>
      <c r="G46" s="68"/>
      <c r="H46" s="68"/>
      <c r="I46" s="68"/>
      <c r="J46" s="68"/>
      <c r="K46" s="68"/>
      <c r="L46" s="68"/>
      <c r="M46" s="68"/>
      <c r="N46" s="69"/>
      <c r="O46" s="82"/>
      <c r="P46" s="77"/>
      <c r="Q46" s="77"/>
      <c r="R46" s="77"/>
      <c r="S46" s="77"/>
      <c r="T46" s="77"/>
      <c r="U46" s="77"/>
      <c r="V46" s="78"/>
      <c r="W46" s="32"/>
      <c r="X46" s="65" t="str">
        <f>IFERROR(VLOOKUP(D46,ErrorList!$A$1:$C$2305,2,FALSE),"-")</f>
        <v>-</v>
      </c>
      <c r="Y46" s="66"/>
      <c r="Z46" s="79"/>
      <c r="AA46" s="80"/>
      <c r="AB46" s="31"/>
      <c r="AC46" s="79"/>
      <c r="AD46" s="80"/>
      <c r="AE46" s="81"/>
      <c r="AF46" s="81"/>
      <c r="AG46" s="81"/>
      <c r="AH46" s="81"/>
      <c r="AI46" s="22"/>
      <c r="AJ46" s="22"/>
      <c r="AK46" s="22"/>
      <c r="AL46" s="22"/>
      <c r="AM46" s="22"/>
      <c r="AN46" s="22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</row>
    <row r="47" spans="1:89" s="30" customFormat="1" ht="16.5" hidden="1" customHeight="1" x14ac:dyDescent="0.4">
      <c r="A47" s="45">
        <v>46118</v>
      </c>
      <c r="B47" s="26"/>
      <c r="C47" s="26"/>
      <c r="D47" s="26"/>
      <c r="E47" s="26"/>
      <c r="F47" s="67" t="str">
        <f>IFERROR(VLOOKUP(D47,ErrorList!$A$1:$C$2305,3,FALSE),"-")</f>
        <v>-</v>
      </c>
      <c r="G47" s="68"/>
      <c r="H47" s="68"/>
      <c r="I47" s="68"/>
      <c r="J47" s="68"/>
      <c r="K47" s="68"/>
      <c r="L47" s="68"/>
      <c r="M47" s="68"/>
      <c r="N47" s="69"/>
      <c r="O47" s="82"/>
      <c r="P47" s="77"/>
      <c r="Q47" s="77"/>
      <c r="R47" s="77"/>
      <c r="S47" s="77"/>
      <c r="T47" s="77"/>
      <c r="U47" s="77"/>
      <c r="V47" s="78"/>
      <c r="W47" s="32"/>
      <c r="X47" s="65" t="str">
        <f>IFERROR(VLOOKUP(D47,ErrorList!$A$1:$C$2305,2,FALSE),"-")</f>
        <v>-</v>
      </c>
      <c r="Y47" s="66"/>
      <c r="Z47" s="79"/>
      <c r="AA47" s="80"/>
      <c r="AB47" s="31"/>
      <c r="AC47" s="79"/>
      <c r="AD47" s="80"/>
      <c r="AE47" s="81"/>
      <c r="AF47" s="81"/>
      <c r="AG47" s="81"/>
      <c r="AH47" s="81"/>
      <c r="AI47" s="22"/>
      <c r="AJ47" s="22"/>
      <c r="AK47" s="22"/>
      <c r="AL47" s="22"/>
      <c r="AM47" s="22"/>
      <c r="AN47" s="22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</row>
    <row r="48" spans="1:89" s="30" customFormat="1" ht="16.5" hidden="1" customHeight="1" x14ac:dyDescent="0.4">
      <c r="A48" s="45"/>
      <c r="B48" s="26"/>
      <c r="C48" s="26"/>
      <c r="D48" s="26"/>
      <c r="E48" s="26"/>
      <c r="F48" s="67"/>
      <c r="G48" s="68"/>
      <c r="H48" s="68"/>
      <c r="I48" s="68"/>
      <c r="J48" s="68"/>
      <c r="K48" s="68"/>
      <c r="L48" s="68"/>
      <c r="M48" s="68"/>
      <c r="N48" s="69"/>
      <c r="O48" s="82"/>
      <c r="P48" s="77"/>
      <c r="Q48" s="77"/>
      <c r="R48" s="77"/>
      <c r="S48" s="77"/>
      <c r="T48" s="77"/>
      <c r="U48" s="77"/>
      <c r="V48" s="78"/>
      <c r="W48" s="32"/>
      <c r="X48" s="65"/>
      <c r="Y48" s="66"/>
      <c r="Z48" s="79"/>
      <c r="AA48" s="80"/>
      <c r="AB48" s="31"/>
      <c r="AC48" s="79"/>
      <c r="AD48" s="80"/>
      <c r="AE48" s="81"/>
      <c r="AF48" s="81"/>
      <c r="AG48" s="81"/>
      <c r="AH48" s="81"/>
      <c r="AI48" s="22"/>
      <c r="AJ48" s="22"/>
      <c r="AK48" s="22"/>
      <c r="AL48" s="22"/>
      <c r="AM48" s="22"/>
      <c r="AN48" s="22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</row>
    <row r="49" spans="1:89" s="30" customFormat="1" ht="16.5" hidden="1" customHeight="1" x14ac:dyDescent="0.4">
      <c r="A49" s="45"/>
      <c r="B49" s="26"/>
      <c r="C49" s="26"/>
      <c r="D49" s="26"/>
      <c r="E49" s="26"/>
      <c r="F49" s="67"/>
      <c r="G49" s="68"/>
      <c r="H49" s="68"/>
      <c r="I49" s="68"/>
      <c r="J49" s="68"/>
      <c r="K49" s="68"/>
      <c r="L49" s="68"/>
      <c r="M49" s="68"/>
      <c r="N49" s="69"/>
      <c r="O49" s="82"/>
      <c r="P49" s="77"/>
      <c r="Q49" s="77"/>
      <c r="R49" s="77"/>
      <c r="S49" s="77"/>
      <c r="T49" s="77"/>
      <c r="U49" s="77"/>
      <c r="V49" s="78"/>
      <c r="W49" s="32"/>
      <c r="X49" s="65"/>
      <c r="Y49" s="66"/>
      <c r="Z49" s="79"/>
      <c r="AA49" s="80"/>
      <c r="AB49" s="31"/>
      <c r="AC49" s="79"/>
      <c r="AD49" s="80"/>
      <c r="AE49" s="81"/>
      <c r="AF49" s="81"/>
      <c r="AG49" s="81"/>
      <c r="AH49" s="81"/>
      <c r="AI49" s="22"/>
      <c r="AJ49" s="22"/>
      <c r="AK49" s="22"/>
      <c r="AL49" s="22"/>
      <c r="AM49" s="22"/>
      <c r="AN49" s="22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</row>
    <row r="50" spans="1:89" s="30" customFormat="1" ht="16.5" hidden="1" customHeight="1" x14ac:dyDescent="0.4">
      <c r="A50" s="45"/>
      <c r="B50" s="26"/>
      <c r="C50" s="26"/>
      <c r="D50" s="26"/>
      <c r="E50" s="26"/>
      <c r="F50" s="67"/>
      <c r="G50" s="68"/>
      <c r="H50" s="68"/>
      <c r="I50" s="68"/>
      <c r="J50" s="68"/>
      <c r="K50" s="68"/>
      <c r="L50" s="68"/>
      <c r="M50" s="68"/>
      <c r="N50" s="69"/>
      <c r="O50" s="82"/>
      <c r="P50" s="77"/>
      <c r="Q50" s="77"/>
      <c r="R50" s="77"/>
      <c r="S50" s="77"/>
      <c r="T50" s="77"/>
      <c r="U50" s="77"/>
      <c r="V50" s="78"/>
      <c r="W50" s="32"/>
      <c r="X50" s="65"/>
      <c r="Y50" s="66"/>
      <c r="Z50" s="79"/>
      <c r="AA50" s="80"/>
      <c r="AB50" s="31"/>
      <c r="AC50" s="79"/>
      <c r="AD50" s="80"/>
      <c r="AE50" s="81"/>
      <c r="AF50" s="81"/>
      <c r="AG50" s="81"/>
      <c r="AH50" s="81"/>
      <c r="AI50" s="22"/>
      <c r="AJ50" s="22"/>
      <c r="AK50" s="22"/>
      <c r="AL50" s="22"/>
      <c r="AM50" s="22"/>
      <c r="AN50" s="22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</row>
    <row r="51" spans="1:89" s="30" customFormat="1" ht="48" hidden="1" customHeight="1" x14ac:dyDescent="0.4">
      <c r="A51" s="45"/>
      <c r="B51" s="26"/>
      <c r="C51" s="26"/>
      <c r="D51" s="26"/>
      <c r="E51" s="26"/>
      <c r="F51" s="67"/>
      <c r="G51" s="68"/>
      <c r="H51" s="68"/>
      <c r="I51" s="68"/>
      <c r="J51" s="68"/>
      <c r="K51" s="68"/>
      <c r="L51" s="68"/>
      <c r="M51" s="68"/>
      <c r="N51" s="69"/>
      <c r="O51" s="70"/>
      <c r="P51" s="77"/>
      <c r="Q51" s="77"/>
      <c r="R51" s="77"/>
      <c r="S51" s="77"/>
      <c r="T51" s="77"/>
      <c r="U51" s="77"/>
      <c r="V51" s="78"/>
      <c r="W51" s="32"/>
      <c r="X51" s="65"/>
      <c r="Y51" s="66"/>
      <c r="Z51" s="79"/>
      <c r="AA51" s="80"/>
      <c r="AB51" s="31"/>
      <c r="AC51" s="79"/>
      <c r="AD51" s="80"/>
      <c r="AE51" s="81"/>
      <c r="AF51" s="81"/>
      <c r="AG51" s="81"/>
      <c r="AH51" s="81"/>
      <c r="AI51" s="22"/>
      <c r="AJ51" s="22"/>
      <c r="AK51" s="22"/>
      <c r="AL51" s="22"/>
      <c r="AM51" s="22"/>
      <c r="AN51" s="22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</row>
    <row r="52" spans="1:89" s="30" customFormat="1" ht="16.5" hidden="1" customHeight="1" x14ac:dyDescent="0.4">
      <c r="A52" s="45"/>
      <c r="B52" s="26"/>
      <c r="C52" s="26"/>
      <c r="D52" s="26"/>
      <c r="E52" s="26"/>
      <c r="F52" s="67"/>
      <c r="G52" s="68"/>
      <c r="H52" s="68"/>
      <c r="I52" s="68"/>
      <c r="J52" s="68"/>
      <c r="K52" s="68"/>
      <c r="L52" s="68"/>
      <c r="M52" s="68"/>
      <c r="N52" s="69"/>
      <c r="O52" s="82"/>
      <c r="P52" s="77"/>
      <c r="Q52" s="77"/>
      <c r="R52" s="77"/>
      <c r="S52" s="77"/>
      <c r="T52" s="77"/>
      <c r="U52" s="77"/>
      <c r="V52" s="78"/>
      <c r="W52" s="32"/>
      <c r="X52" s="65"/>
      <c r="Y52" s="66"/>
      <c r="Z52" s="79"/>
      <c r="AA52" s="80"/>
      <c r="AB52" s="31"/>
      <c r="AC52" s="79"/>
      <c r="AD52" s="80"/>
      <c r="AE52" s="81"/>
      <c r="AF52" s="81"/>
      <c r="AG52" s="81"/>
      <c r="AH52" s="81"/>
      <c r="AI52" s="22"/>
      <c r="AJ52" s="22"/>
      <c r="AK52" s="22"/>
      <c r="AL52" s="22"/>
      <c r="AM52" s="22"/>
      <c r="AN52" s="22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</row>
    <row r="53" spans="1:89" s="30" customFormat="1" ht="48.6" hidden="1" customHeight="1" x14ac:dyDescent="0.4">
      <c r="A53" s="45"/>
      <c r="B53" s="26"/>
      <c r="C53" s="26"/>
      <c r="D53" s="26"/>
      <c r="E53" s="26"/>
      <c r="F53" s="67"/>
      <c r="G53" s="68"/>
      <c r="H53" s="68"/>
      <c r="I53" s="68"/>
      <c r="J53" s="68"/>
      <c r="K53" s="68"/>
      <c r="L53" s="68"/>
      <c r="M53" s="68"/>
      <c r="N53" s="69"/>
      <c r="O53" s="70"/>
      <c r="P53" s="77"/>
      <c r="Q53" s="77"/>
      <c r="R53" s="77"/>
      <c r="S53" s="77"/>
      <c r="T53" s="77"/>
      <c r="U53" s="77"/>
      <c r="V53" s="78"/>
      <c r="W53" s="32"/>
      <c r="X53" s="65"/>
      <c r="Y53" s="66"/>
      <c r="Z53" s="79"/>
      <c r="AA53" s="80"/>
      <c r="AB53" s="31"/>
      <c r="AC53" s="79"/>
      <c r="AD53" s="80"/>
      <c r="AE53" s="81"/>
      <c r="AF53" s="81"/>
      <c r="AG53" s="81"/>
      <c r="AH53" s="81"/>
      <c r="AI53" s="22"/>
      <c r="AJ53" s="22"/>
      <c r="AK53" s="22"/>
      <c r="AL53" s="22"/>
      <c r="AM53" s="22"/>
      <c r="AN53" s="22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</row>
    <row r="54" spans="1:89" s="30" customFormat="1" ht="16.5" hidden="1" customHeight="1" x14ac:dyDescent="0.4">
      <c r="A54" s="45"/>
      <c r="B54" s="26"/>
      <c r="C54" s="26"/>
      <c r="D54" s="26"/>
      <c r="E54" s="26"/>
      <c r="F54" s="67"/>
      <c r="G54" s="68"/>
      <c r="H54" s="68"/>
      <c r="I54" s="68"/>
      <c r="J54" s="68"/>
      <c r="K54" s="68"/>
      <c r="L54" s="68"/>
      <c r="M54" s="68"/>
      <c r="N54" s="69"/>
      <c r="O54" s="82"/>
      <c r="P54" s="77"/>
      <c r="Q54" s="77"/>
      <c r="R54" s="77"/>
      <c r="S54" s="77"/>
      <c r="T54" s="77"/>
      <c r="U54" s="77"/>
      <c r="V54" s="78"/>
      <c r="W54" s="32"/>
      <c r="X54" s="65"/>
      <c r="Y54" s="66"/>
      <c r="Z54" s="79"/>
      <c r="AA54" s="80"/>
      <c r="AB54" s="31"/>
      <c r="AC54" s="79"/>
      <c r="AD54" s="80"/>
      <c r="AE54" s="81"/>
      <c r="AF54" s="81"/>
      <c r="AG54" s="81"/>
      <c r="AH54" s="81"/>
      <c r="AI54" s="22"/>
      <c r="AJ54" s="22"/>
      <c r="AK54" s="22"/>
      <c r="AL54" s="22"/>
      <c r="AM54" s="22"/>
      <c r="AN54" s="22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</row>
    <row r="55" spans="1:89" s="30" customFormat="1" ht="16.5" hidden="1" customHeight="1" x14ac:dyDescent="0.4">
      <c r="A55" s="45"/>
      <c r="B55" s="26"/>
      <c r="C55" s="26"/>
      <c r="D55" s="26"/>
      <c r="E55" s="26"/>
      <c r="F55" s="67"/>
      <c r="G55" s="68"/>
      <c r="H55" s="68"/>
      <c r="I55" s="68"/>
      <c r="J55" s="68"/>
      <c r="K55" s="68"/>
      <c r="L55" s="68"/>
      <c r="M55" s="68"/>
      <c r="N55" s="69"/>
      <c r="O55" s="82"/>
      <c r="P55" s="77"/>
      <c r="Q55" s="77"/>
      <c r="R55" s="77"/>
      <c r="S55" s="77"/>
      <c r="T55" s="77"/>
      <c r="U55" s="77"/>
      <c r="V55" s="78"/>
      <c r="W55" s="32"/>
      <c r="X55" s="65"/>
      <c r="Y55" s="66"/>
      <c r="Z55" s="79"/>
      <c r="AA55" s="80"/>
      <c r="AB55" s="31"/>
      <c r="AC55" s="79"/>
      <c r="AD55" s="80"/>
      <c r="AE55" s="81"/>
      <c r="AF55" s="81"/>
      <c r="AG55" s="81"/>
      <c r="AH55" s="81"/>
      <c r="AI55" s="22"/>
      <c r="AJ55" s="22"/>
      <c r="AK55" s="22"/>
      <c r="AL55" s="22"/>
      <c r="AM55" s="22"/>
      <c r="AN55" s="22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</row>
    <row r="56" spans="1:89" s="30" customFormat="1" ht="16.5" hidden="1" customHeight="1" x14ac:dyDescent="0.4">
      <c r="A56" s="45"/>
      <c r="B56" s="26"/>
      <c r="C56" s="26"/>
      <c r="D56" s="26"/>
      <c r="E56" s="26"/>
      <c r="F56" s="67"/>
      <c r="G56" s="68"/>
      <c r="H56" s="68"/>
      <c r="I56" s="68"/>
      <c r="J56" s="68"/>
      <c r="K56" s="68"/>
      <c r="L56" s="68"/>
      <c r="M56" s="68"/>
      <c r="N56" s="69"/>
      <c r="O56" s="82"/>
      <c r="P56" s="77"/>
      <c r="Q56" s="77"/>
      <c r="R56" s="77"/>
      <c r="S56" s="77"/>
      <c r="T56" s="77"/>
      <c r="U56" s="77"/>
      <c r="V56" s="78"/>
      <c r="W56" s="32"/>
      <c r="X56" s="65"/>
      <c r="Y56" s="66"/>
      <c r="Z56" s="79"/>
      <c r="AA56" s="80"/>
      <c r="AB56" s="31"/>
      <c r="AC56" s="79"/>
      <c r="AD56" s="80"/>
      <c r="AE56" s="81"/>
      <c r="AF56" s="81"/>
      <c r="AG56" s="81"/>
      <c r="AH56" s="81"/>
      <c r="AI56" s="22"/>
      <c r="AJ56" s="22"/>
      <c r="AK56" s="22"/>
      <c r="AL56" s="22"/>
      <c r="AM56" s="22"/>
      <c r="AN56" s="22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</row>
    <row r="57" spans="1:89" s="30" customFormat="1" ht="16.5" hidden="1" customHeight="1" x14ac:dyDescent="0.4">
      <c r="A57" s="45"/>
      <c r="B57" s="26"/>
      <c r="C57" s="26"/>
      <c r="D57" s="26"/>
      <c r="E57" s="26"/>
      <c r="F57" s="67"/>
      <c r="G57" s="68"/>
      <c r="H57" s="68"/>
      <c r="I57" s="68"/>
      <c r="J57" s="68"/>
      <c r="K57" s="68"/>
      <c r="L57" s="68"/>
      <c r="M57" s="68"/>
      <c r="N57" s="69"/>
      <c r="O57" s="82"/>
      <c r="P57" s="77"/>
      <c r="Q57" s="77"/>
      <c r="R57" s="77"/>
      <c r="S57" s="77"/>
      <c r="T57" s="77"/>
      <c r="U57" s="77"/>
      <c r="V57" s="78"/>
      <c r="W57" s="32"/>
      <c r="X57" s="65"/>
      <c r="Y57" s="66"/>
      <c r="Z57" s="79"/>
      <c r="AA57" s="80"/>
      <c r="AB57" s="31"/>
      <c r="AC57" s="79"/>
      <c r="AD57" s="80"/>
      <c r="AE57" s="81"/>
      <c r="AF57" s="81"/>
      <c r="AG57" s="81"/>
      <c r="AH57" s="81"/>
      <c r="AI57" s="22"/>
      <c r="AJ57" s="22"/>
      <c r="AK57" s="22"/>
      <c r="AL57" s="22"/>
      <c r="AM57" s="22"/>
      <c r="AN57" s="22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</row>
    <row r="58" spans="1:89" s="30" customFormat="1" ht="16.5" hidden="1" customHeight="1" x14ac:dyDescent="0.4">
      <c r="A58" s="45"/>
      <c r="B58" s="26"/>
      <c r="C58" s="26"/>
      <c r="D58" s="26"/>
      <c r="E58" s="26"/>
      <c r="F58" s="67"/>
      <c r="G58" s="68"/>
      <c r="H58" s="68"/>
      <c r="I58" s="68"/>
      <c r="J58" s="68"/>
      <c r="K58" s="68"/>
      <c r="L58" s="68"/>
      <c r="M58" s="68"/>
      <c r="N58" s="69"/>
      <c r="O58" s="82"/>
      <c r="P58" s="77"/>
      <c r="Q58" s="77"/>
      <c r="R58" s="77"/>
      <c r="S58" s="77"/>
      <c r="T58" s="77"/>
      <c r="U58" s="77"/>
      <c r="V58" s="78"/>
      <c r="W58" s="32"/>
      <c r="X58" s="65"/>
      <c r="Y58" s="66"/>
      <c r="Z58" s="79"/>
      <c r="AA58" s="80"/>
      <c r="AB58" s="31"/>
      <c r="AC58" s="79"/>
      <c r="AD58" s="80"/>
      <c r="AE58" s="81"/>
      <c r="AF58" s="81"/>
      <c r="AG58" s="81"/>
      <c r="AH58" s="81"/>
      <c r="AI58" s="22"/>
      <c r="AJ58" s="22"/>
      <c r="AK58" s="22"/>
      <c r="AL58" s="22"/>
      <c r="AM58" s="22"/>
      <c r="AN58" s="22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</row>
    <row r="59" spans="1:89" s="30" customFormat="1" ht="16.5" hidden="1" customHeight="1" x14ac:dyDescent="0.4">
      <c r="A59" s="45"/>
      <c r="B59" s="26"/>
      <c r="C59" s="26"/>
      <c r="D59" s="26"/>
      <c r="E59" s="26"/>
      <c r="F59" s="67"/>
      <c r="G59" s="68"/>
      <c r="H59" s="68"/>
      <c r="I59" s="68"/>
      <c r="J59" s="68"/>
      <c r="K59" s="68"/>
      <c r="L59" s="68"/>
      <c r="M59" s="68"/>
      <c r="N59" s="69"/>
      <c r="O59" s="82"/>
      <c r="P59" s="77"/>
      <c r="Q59" s="77"/>
      <c r="R59" s="77"/>
      <c r="S59" s="77"/>
      <c r="T59" s="77"/>
      <c r="U59" s="77"/>
      <c r="V59" s="78"/>
      <c r="W59" s="32"/>
      <c r="X59" s="65"/>
      <c r="Y59" s="66"/>
      <c r="Z59" s="79"/>
      <c r="AA59" s="80"/>
      <c r="AB59" s="31"/>
      <c r="AC59" s="79"/>
      <c r="AD59" s="80"/>
      <c r="AE59" s="81"/>
      <c r="AF59" s="81"/>
      <c r="AG59" s="81"/>
      <c r="AH59" s="81"/>
      <c r="AI59" s="22"/>
      <c r="AJ59" s="22"/>
      <c r="AK59" s="22"/>
      <c r="AL59" s="22"/>
      <c r="AM59" s="22"/>
      <c r="AN59" s="22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</row>
    <row r="60" spans="1:89" s="30" customFormat="1" ht="33" hidden="1" customHeight="1" x14ac:dyDescent="0.4">
      <c r="A60" s="45"/>
      <c r="B60" s="26"/>
      <c r="C60" s="26"/>
      <c r="D60" s="26"/>
      <c r="E60" s="26"/>
      <c r="F60" s="67"/>
      <c r="G60" s="68"/>
      <c r="H60" s="68"/>
      <c r="I60" s="68"/>
      <c r="J60" s="68"/>
      <c r="K60" s="68"/>
      <c r="L60" s="68"/>
      <c r="M60" s="68"/>
      <c r="N60" s="69"/>
      <c r="O60" s="70"/>
      <c r="P60" s="77"/>
      <c r="Q60" s="77"/>
      <c r="R60" s="77"/>
      <c r="S60" s="77"/>
      <c r="T60" s="77"/>
      <c r="U60" s="77"/>
      <c r="V60" s="78"/>
      <c r="W60" s="33"/>
      <c r="X60" s="65"/>
      <c r="Y60" s="66"/>
      <c r="Z60" s="79"/>
      <c r="AA60" s="80"/>
      <c r="AB60" s="31"/>
      <c r="AC60" s="79"/>
      <c r="AD60" s="80"/>
      <c r="AE60" s="81"/>
      <c r="AF60" s="81"/>
      <c r="AG60" s="81"/>
      <c r="AH60" s="81"/>
      <c r="AI60" s="22"/>
      <c r="AJ60" s="22"/>
      <c r="AK60" s="22"/>
      <c r="AL60" s="22"/>
      <c r="AM60" s="22"/>
      <c r="AN60" s="22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</row>
    <row r="61" spans="1:89" s="30" customFormat="1" ht="16.5" hidden="1" customHeight="1" x14ac:dyDescent="0.4">
      <c r="A61" s="45"/>
      <c r="B61" s="26"/>
      <c r="C61" s="26"/>
      <c r="D61" s="26"/>
      <c r="E61" s="26"/>
      <c r="F61" s="67"/>
      <c r="G61" s="68"/>
      <c r="H61" s="68"/>
      <c r="I61" s="68"/>
      <c r="J61" s="68"/>
      <c r="K61" s="68"/>
      <c r="L61" s="68"/>
      <c r="M61" s="68"/>
      <c r="N61" s="69"/>
      <c r="O61" s="82"/>
      <c r="P61" s="77"/>
      <c r="Q61" s="77"/>
      <c r="R61" s="77"/>
      <c r="S61" s="77"/>
      <c r="T61" s="77"/>
      <c r="U61" s="77"/>
      <c r="V61" s="78"/>
      <c r="W61" s="33"/>
      <c r="X61" s="65"/>
      <c r="Y61" s="66"/>
      <c r="Z61" s="79"/>
      <c r="AA61" s="80"/>
      <c r="AB61" s="31"/>
      <c r="AC61" s="79"/>
      <c r="AD61" s="80"/>
      <c r="AE61" s="81"/>
      <c r="AF61" s="81"/>
      <c r="AG61" s="81"/>
      <c r="AH61" s="81"/>
      <c r="AI61" s="22"/>
      <c r="AJ61" s="22"/>
      <c r="AK61" s="22"/>
      <c r="AL61" s="22"/>
      <c r="AM61" s="22"/>
      <c r="AN61" s="22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</row>
    <row r="62" spans="1:89" s="30" customFormat="1" ht="81.599999999999994" hidden="1" customHeight="1" x14ac:dyDescent="0.4">
      <c r="A62" s="45"/>
      <c r="B62" s="26"/>
      <c r="C62" s="26"/>
      <c r="D62" s="26"/>
      <c r="E62" s="26"/>
      <c r="F62" s="67"/>
      <c r="G62" s="68"/>
      <c r="H62" s="68"/>
      <c r="I62" s="68"/>
      <c r="J62" s="68"/>
      <c r="K62" s="68"/>
      <c r="L62" s="68"/>
      <c r="M62" s="68"/>
      <c r="N62" s="69"/>
      <c r="O62" s="70"/>
      <c r="P62" s="77"/>
      <c r="Q62" s="77"/>
      <c r="R62" s="77"/>
      <c r="S62" s="77"/>
      <c r="T62" s="77"/>
      <c r="U62" s="77"/>
      <c r="V62" s="78"/>
      <c r="W62" s="43"/>
      <c r="X62" s="65"/>
      <c r="Y62" s="66"/>
      <c r="Z62" s="79"/>
      <c r="AA62" s="80"/>
      <c r="AB62" s="31"/>
      <c r="AC62" s="79"/>
      <c r="AD62" s="80"/>
      <c r="AE62" s="128"/>
      <c r="AF62" s="81"/>
      <c r="AG62" s="81"/>
      <c r="AH62" s="81"/>
      <c r="AI62" s="22"/>
      <c r="AJ62" s="22"/>
      <c r="AK62" s="22"/>
      <c r="AL62" s="22"/>
      <c r="AM62" s="22"/>
      <c r="AN62" s="22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</row>
    <row r="63" spans="1:89" s="30" customFormat="1" ht="16.2" hidden="1" customHeight="1" x14ac:dyDescent="0.4">
      <c r="A63" s="45"/>
      <c r="B63" s="26"/>
      <c r="C63" s="26"/>
      <c r="D63" s="26"/>
      <c r="E63" s="26"/>
      <c r="F63" s="67"/>
      <c r="G63" s="68"/>
      <c r="H63" s="68"/>
      <c r="I63" s="68"/>
      <c r="J63" s="68"/>
      <c r="K63" s="68"/>
      <c r="L63" s="68"/>
      <c r="M63" s="68"/>
      <c r="N63" s="69"/>
      <c r="O63" s="82"/>
      <c r="P63" s="77"/>
      <c r="Q63" s="77"/>
      <c r="R63" s="77"/>
      <c r="S63" s="77"/>
      <c r="T63" s="77"/>
      <c r="U63" s="77"/>
      <c r="V63" s="78"/>
      <c r="W63" s="33"/>
      <c r="X63" s="65"/>
      <c r="Y63" s="66"/>
      <c r="Z63" s="79"/>
      <c r="AA63" s="80"/>
      <c r="AB63" s="31"/>
      <c r="AC63" s="79"/>
      <c r="AD63" s="80"/>
      <c r="AE63" s="128"/>
      <c r="AF63" s="81"/>
      <c r="AG63" s="81"/>
      <c r="AH63" s="81"/>
      <c r="AI63" s="22"/>
      <c r="AJ63" s="22"/>
      <c r="AK63" s="22"/>
      <c r="AL63" s="22"/>
      <c r="AM63" s="22"/>
      <c r="AN63" s="22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</row>
    <row r="64" spans="1:89" s="30" customFormat="1" ht="16.5" hidden="1" customHeight="1" x14ac:dyDescent="0.4">
      <c r="A64" s="45"/>
      <c r="B64" s="26"/>
      <c r="C64" s="26"/>
      <c r="D64" s="26"/>
      <c r="E64" s="26"/>
      <c r="F64" s="67"/>
      <c r="G64" s="68"/>
      <c r="H64" s="68"/>
      <c r="I64" s="68"/>
      <c r="J64" s="68"/>
      <c r="K64" s="68"/>
      <c r="L64" s="68"/>
      <c r="M64" s="68"/>
      <c r="N64" s="69"/>
      <c r="O64" s="82"/>
      <c r="P64" s="77"/>
      <c r="Q64" s="77"/>
      <c r="R64" s="77"/>
      <c r="S64" s="77"/>
      <c r="T64" s="77"/>
      <c r="U64" s="77"/>
      <c r="V64" s="78"/>
      <c r="W64" s="33"/>
      <c r="X64" s="65"/>
      <c r="Y64" s="66"/>
      <c r="Z64" s="79"/>
      <c r="AA64" s="80"/>
      <c r="AB64" s="31"/>
      <c r="AC64" s="79"/>
      <c r="AD64" s="80"/>
      <c r="AE64" s="81"/>
      <c r="AF64" s="81"/>
      <c r="AG64" s="81"/>
      <c r="AH64" s="81"/>
      <c r="AI64" s="22"/>
      <c r="AJ64" s="22"/>
      <c r="AK64" s="22"/>
      <c r="AL64" s="22"/>
      <c r="AM64" s="22"/>
      <c r="AN64" s="22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</row>
    <row r="65" spans="1:89" s="30" customFormat="1" ht="16.5" hidden="1" customHeight="1" x14ac:dyDescent="0.4">
      <c r="A65" s="45"/>
      <c r="B65" s="26"/>
      <c r="C65" s="26"/>
      <c r="D65" s="26"/>
      <c r="E65" s="26"/>
      <c r="F65" s="67"/>
      <c r="G65" s="68"/>
      <c r="H65" s="68"/>
      <c r="I65" s="68"/>
      <c r="J65" s="68"/>
      <c r="K65" s="68"/>
      <c r="L65" s="68"/>
      <c r="M65" s="68"/>
      <c r="N65" s="69"/>
      <c r="O65" s="82"/>
      <c r="P65" s="77"/>
      <c r="Q65" s="77"/>
      <c r="R65" s="77"/>
      <c r="S65" s="77"/>
      <c r="T65" s="77"/>
      <c r="U65" s="77"/>
      <c r="V65" s="78"/>
      <c r="W65" s="33"/>
      <c r="X65" s="65"/>
      <c r="Y65" s="66"/>
      <c r="Z65" s="79"/>
      <c r="AA65" s="80"/>
      <c r="AB65" s="31"/>
      <c r="AC65" s="79"/>
      <c r="AD65" s="80"/>
      <c r="AE65" s="81"/>
      <c r="AF65" s="81"/>
      <c r="AG65" s="81"/>
      <c r="AH65" s="81"/>
      <c r="AI65" s="22"/>
      <c r="AJ65" s="22"/>
      <c r="AK65" s="22"/>
      <c r="AL65" s="22"/>
      <c r="AM65" s="22"/>
      <c r="AN65" s="22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</row>
    <row r="66" spans="1:89" s="30" customFormat="1" ht="16.5" hidden="1" customHeight="1" x14ac:dyDescent="0.4">
      <c r="A66" s="45"/>
      <c r="B66" s="26"/>
      <c r="C66" s="26"/>
      <c r="D66" s="26"/>
      <c r="E66" s="26"/>
      <c r="F66" s="67"/>
      <c r="G66" s="68"/>
      <c r="H66" s="68"/>
      <c r="I66" s="68"/>
      <c r="J66" s="68"/>
      <c r="K66" s="68"/>
      <c r="L66" s="68"/>
      <c r="M66" s="68"/>
      <c r="N66" s="69"/>
      <c r="O66" s="82"/>
      <c r="P66" s="77"/>
      <c r="Q66" s="77"/>
      <c r="R66" s="77"/>
      <c r="S66" s="77"/>
      <c r="T66" s="77"/>
      <c r="U66" s="77"/>
      <c r="V66" s="78"/>
      <c r="W66" s="33"/>
      <c r="X66" s="65"/>
      <c r="Y66" s="66"/>
      <c r="Z66" s="79"/>
      <c r="AA66" s="80"/>
      <c r="AB66" s="31"/>
      <c r="AC66" s="79"/>
      <c r="AD66" s="80"/>
      <c r="AE66" s="81"/>
      <c r="AF66" s="81"/>
      <c r="AG66" s="81"/>
      <c r="AH66" s="81"/>
      <c r="AI66" s="22"/>
      <c r="AJ66" s="22"/>
      <c r="AK66" s="22"/>
      <c r="AL66" s="22"/>
      <c r="AM66" s="22"/>
      <c r="AN66" s="22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</row>
    <row r="67" spans="1:89" s="30" customFormat="1" ht="16.5" hidden="1" customHeight="1" x14ac:dyDescent="0.4">
      <c r="A67" s="45"/>
      <c r="B67" s="26"/>
      <c r="C67" s="26"/>
      <c r="D67" s="26"/>
      <c r="E67" s="26"/>
      <c r="F67" s="67"/>
      <c r="G67" s="68"/>
      <c r="H67" s="68"/>
      <c r="I67" s="68"/>
      <c r="J67" s="68"/>
      <c r="K67" s="68"/>
      <c r="L67" s="68"/>
      <c r="M67" s="68"/>
      <c r="N67" s="69"/>
      <c r="O67" s="82"/>
      <c r="P67" s="77"/>
      <c r="Q67" s="77"/>
      <c r="R67" s="77"/>
      <c r="S67" s="77"/>
      <c r="T67" s="77"/>
      <c r="U67" s="77"/>
      <c r="V67" s="78"/>
      <c r="W67" s="33"/>
      <c r="X67" s="65"/>
      <c r="Y67" s="66"/>
      <c r="Z67" s="79"/>
      <c r="AA67" s="80"/>
      <c r="AB67" s="31"/>
      <c r="AC67" s="79"/>
      <c r="AD67" s="80"/>
      <c r="AE67" s="81"/>
      <c r="AF67" s="81"/>
      <c r="AG67" s="81"/>
      <c r="AH67" s="81"/>
      <c r="AI67" s="22"/>
      <c r="AJ67" s="22"/>
      <c r="AK67" s="22"/>
      <c r="AL67" s="22"/>
      <c r="AM67" s="22"/>
      <c r="AN67" s="22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</row>
    <row r="68" spans="1:89" s="30" customFormat="1" ht="16.5" hidden="1" customHeight="1" x14ac:dyDescent="0.4">
      <c r="A68" s="45"/>
      <c r="B68" s="26"/>
      <c r="C68" s="26"/>
      <c r="D68" s="26"/>
      <c r="E68" s="26"/>
      <c r="F68" s="67"/>
      <c r="G68" s="68"/>
      <c r="H68" s="68"/>
      <c r="I68" s="68"/>
      <c r="J68" s="68"/>
      <c r="K68" s="68"/>
      <c r="L68" s="68"/>
      <c r="M68" s="68"/>
      <c r="N68" s="69"/>
      <c r="O68" s="82"/>
      <c r="P68" s="77"/>
      <c r="Q68" s="77"/>
      <c r="R68" s="77"/>
      <c r="S68" s="77"/>
      <c r="T68" s="77"/>
      <c r="U68" s="77"/>
      <c r="V68" s="78"/>
      <c r="W68" s="33"/>
      <c r="X68" s="65"/>
      <c r="Y68" s="66"/>
      <c r="Z68" s="79"/>
      <c r="AA68" s="80"/>
      <c r="AB68" s="31"/>
      <c r="AC68" s="79"/>
      <c r="AD68" s="80"/>
      <c r="AE68" s="81"/>
      <c r="AF68" s="81"/>
      <c r="AG68" s="81"/>
      <c r="AH68" s="81"/>
      <c r="AI68" s="22"/>
      <c r="AJ68" s="22"/>
      <c r="AK68" s="22"/>
      <c r="AL68" s="22"/>
      <c r="AM68" s="22"/>
      <c r="AN68" s="22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</row>
    <row r="69" spans="1:89" s="30" customFormat="1" ht="16.5" hidden="1" customHeight="1" x14ac:dyDescent="0.4">
      <c r="A69" s="45"/>
      <c r="B69" s="26"/>
      <c r="C69" s="26"/>
      <c r="D69" s="26"/>
      <c r="E69" s="26"/>
      <c r="F69" s="67"/>
      <c r="G69" s="68"/>
      <c r="H69" s="68"/>
      <c r="I69" s="68"/>
      <c r="J69" s="68"/>
      <c r="K69" s="68"/>
      <c r="L69" s="68"/>
      <c r="M69" s="68"/>
      <c r="N69" s="69"/>
      <c r="O69" s="82"/>
      <c r="P69" s="77"/>
      <c r="Q69" s="77"/>
      <c r="R69" s="77"/>
      <c r="S69" s="77"/>
      <c r="T69" s="77"/>
      <c r="U69" s="77"/>
      <c r="V69" s="78"/>
      <c r="W69" s="33"/>
      <c r="X69" s="65"/>
      <c r="Y69" s="66"/>
      <c r="Z69" s="79"/>
      <c r="AA69" s="80"/>
      <c r="AB69" s="31"/>
      <c r="AC69" s="79"/>
      <c r="AD69" s="80"/>
      <c r="AE69" s="81"/>
      <c r="AF69" s="81"/>
      <c r="AG69" s="81"/>
      <c r="AH69" s="81"/>
      <c r="AI69" s="22"/>
      <c r="AJ69" s="22"/>
      <c r="AK69" s="22"/>
      <c r="AL69" s="22"/>
      <c r="AM69" s="22"/>
      <c r="AN69" s="22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</row>
    <row r="70" spans="1:89" s="30" customFormat="1" ht="16.5" hidden="1" customHeight="1" x14ac:dyDescent="0.4">
      <c r="A70" s="45"/>
      <c r="B70" s="26"/>
      <c r="C70" s="26"/>
      <c r="D70" s="26"/>
      <c r="E70" s="26"/>
      <c r="F70" s="67"/>
      <c r="G70" s="68"/>
      <c r="H70" s="68"/>
      <c r="I70" s="68"/>
      <c r="J70" s="68"/>
      <c r="K70" s="68"/>
      <c r="L70" s="68"/>
      <c r="M70" s="68"/>
      <c r="N70" s="69"/>
      <c r="O70" s="82"/>
      <c r="P70" s="77"/>
      <c r="Q70" s="77"/>
      <c r="R70" s="77"/>
      <c r="S70" s="77"/>
      <c r="T70" s="77"/>
      <c r="U70" s="77"/>
      <c r="V70" s="78"/>
      <c r="W70" s="32"/>
      <c r="X70" s="65"/>
      <c r="Y70" s="66"/>
      <c r="Z70" s="79"/>
      <c r="AA70" s="80"/>
      <c r="AB70" s="31"/>
      <c r="AC70" s="79"/>
      <c r="AD70" s="80"/>
      <c r="AE70" s="81"/>
      <c r="AF70" s="81"/>
      <c r="AG70" s="81"/>
      <c r="AH70" s="81"/>
      <c r="AI70" s="22"/>
      <c r="AJ70" s="22"/>
      <c r="AK70" s="22"/>
      <c r="AL70" s="22"/>
      <c r="AM70" s="22"/>
      <c r="AN70" s="22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</row>
    <row r="71" spans="1:89" s="30" customFormat="1" ht="16.5" hidden="1" customHeight="1" x14ac:dyDescent="0.4">
      <c r="A71" s="45"/>
      <c r="B71" s="26"/>
      <c r="C71" s="26"/>
      <c r="D71" s="26"/>
      <c r="E71" s="26"/>
      <c r="F71" s="67"/>
      <c r="G71" s="68"/>
      <c r="H71" s="68"/>
      <c r="I71" s="68"/>
      <c r="J71" s="68"/>
      <c r="K71" s="68"/>
      <c r="L71" s="68"/>
      <c r="M71" s="68"/>
      <c r="N71" s="69"/>
      <c r="O71" s="82"/>
      <c r="P71" s="77"/>
      <c r="Q71" s="77"/>
      <c r="R71" s="77"/>
      <c r="S71" s="77"/>
      <c r="T71" s="77"/>
      <c r="U71" s="77"/>
      <c r="V71" s="78"/>
      <c r="W71" s="32"/>
      <c r="X71" s="65"/>
      <c r="Y71" s="66"/>
      <c r="Z71" s="79"/>
      <c r="AA71" s="80"/>
      <c r="AB71" s="31"/>
      <c r="AC71" s="79"/>
      <c r="AD71" s="80"/>
      <c r="AE71" s="81"/>
      <c r="AF71" s="81"/>
      <c r="AG71" s="81"/>
      <c r="AH71" s="81"/>
      <c r="AI71" s="22"/>
      <c r="AJ71" s="22"/>
      <c r="AK71" s="22"/>
      <c r="AL71" s="22"/>
      <c r="AM71" s="22"/>
      <c r="AN71" s="22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</row>
    <row r="72" spans="1:89" s="30" customFormat="1" ht="16.5" hidden="1" customHeight="1" x14ac:dyDescent="0.4">
      <c r="A72" s="45"/>
      <c r="B72" s="26"/>
      <c r="C72" s="26"/>
      <c r="D72" s="26"/>
      <c r="E72" s="26"/>
      <c r="F72" s="67"/>
      <c r="G72" s="68"/>
      <c r="H72" s="68"/>
      <c r="I72" s="68"/>
      <c r="J72" s="68"/>
      <c r="K72" s="68"/>
      <c r="L72" s="68"/>
      <c r="M72" s="68"/>
      <c r="N72" s="69"/>
      <c r="O72" s="82"/>
      <c r="P72" s="77"/>
      <c r="Q72" s="77"/>
      <c r="R72" s="77"/>
      <c r="S72" s="77"/>
      <c r="T72" s="77"/>
      <c r="U72" s="77"/>
      <c r="V72" s="78"/>
      <c r="W72" s="32"/>
      <c r="X72" s="65"/>
      <c r="Y72" s="66"/>
      <c r="Z72" s="79"/>
      <c r="AA72" s="80"/>
      <c r="AB72" s="31"/>
      <c r="AC72" s="79"/>
      <c r="AD72" s="80"/>
      <c r="AE72" s="81"/>
      <c r="AF72" s="81"/>
      <c r="AG72" s="81"/>
      <c r="AH72" s="81"/>
      <c r="AI72" s="22"/>
      <c r="AJ72" s="22"/>
      <c r="AK72" s="22"/>
      <c r="AL72" s="22"/>
      <c r="AM72" s="22"/>
      <c r="AN72" s="22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</row>
    <row r="73" spans="1:89" s="30" customFormat="1" ht="16.5" hidden="1" customHeight="1" x14ac:dyDescent="0.4">
      <c r="A73" s="45"/>
      <c r="B73" s="26"/>
      <c r="C73" s="26"/>
      <c r="D73" s="26"/>
      <c r="E73" s="26"/>
      <c r="F73" s="67"/>
      <c r="G73" s="68"/>
      <c r="H73" s="68"/>
      <c r="I73" s="68"/>
      <c r="J73" s="68"/>
      <c r="K73" s="68"/>
      <c r="L73" s="68"/>
      <c r="M73" s="68"/>
      <c r="N73" s="69"/>
      <c r="O73" s="82"/>
      <c r="P73" s="77"/>
      <c r="Q73" s="77"/>
      <c r="R73" s="77"/>
      <c r="S73" s="77"/>
      <c r="T73" s="77"/>
      <c r="U73" s="77"/>
      <c r="V73" s="78"/>
      <c r="W73" s="32"/>
      <c r="X73" s="65"/>
      <c r="Y73" s="66"/>
      <c r="Z73" s="79"/>
      <c r="AA73" s="80"/>
      <c r="AB73" s="31"/>
      <c r="AC73" s="79"/>
      <c r="AD73" s="80"/>
      <c r="AE73" s="81"/>
      <c r="AF73" s="81"/>
      <c r="AG73" s="81"/>
      <c r="AH73" s="81"/>
      <c r="AI73" s="22"/>
      <c r="AJ73" s="22"/>
      <c r="AK73" s="22"/>
      <c r="AL73" s="22"/>
      <c r="AM73" s="22"/>
      <c r="AN73" s="22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</row>
    <row r="74" spans="1:89" s="30" customFormat="1" ht="32.4" hidden="1" customHeight="1" x14ac:dyDescent="0.4">
      <c r="A74" s="45"/>
      <c r="B74" s="26"/>
      <c r="C74" s="26"/>
      <c r="D74" s="26"/>
      <c r="E74" s="26"/>
      <c r="F74" s="67"/>
      <c r="G74" s="68"/>
      <c r="H74" s="68"/>
      <c r="I74" s="68"/>
      <c r="J74" s="68"/>
      <c r="K74" s="68"/>
      <c r="L74" s="68"/>
      <c r="M74" s="68"/>
      <c r="N74" s="69"/>
      <c r="O74" s="70"/>
      <c r="P74" s="71"/>
      <c r="Q74" s="71"/>
      <c r="R74" s="71"/>
      <c r="S74" s="71"/>
      <c r="T74" s="71"/>
      <c r="U74" s="71"/>
      <c r="V74" s="72"/>
      <c r="W74" s="32"/>
      <c r="X74" s="65"/>
      <c r="Y74" s="66"/>
      <c r="Z74" s="79"/>
      <c r="AA74" s="80"/>
      <c r="AB74" s="31"/>
      <c r="AC74" s="79"/>
      <c r="AD74" s="80"/>
      <c r="AE74" s="81"/>
      <c r="AF74" s="81"/>
      <c r="AG74" s="81"/>
      <c r="AH74" s="81"/>
      <c r="AI74" s="22"/>
      <c r="AJ74" s="22"/>
      <c r="AK74" s="22"/>
      <c r="AL74" s="22"/>
      <c r="AM74" s="22"/>
      <c r="AN74" s="22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</row>
    <row r="75" spans="1:89" s="30" customFormat="1" ht="16.5" hidden="1" customHeight="1" x14ac:dyDescent="0.4">
      <c r="A75" s="45"/>
      <c r="B75" s="26"/>
      <c r="C75" s="26"/>
      <c r="D75" s="26"/>
      <c r="E75" s="26"/>
      <c r="F75" s="67"/>
      <c r="G75" s="68"/>
      <c r="H75" s="68"/>
      <c r="I75" s="68"/>
      <c r="J75" s="68"/>
      <c r="K75" s="68"/>
      <c r="L75" s="68"/>
      <c r="M75" s="68"/>
      <c r="N75" s="69"/>
      <c r="O75" s="82"/>
      <c r="P75" s="77"/>
      <c r="Q75" s="77"/>
      <c r="R75" s="77"/>
      <c r="S75" s="77"/>
      <c r="T75" s="77"/>
      <c r="U75" s="77"/>
      <c r="V75" s="78"/>
      <c r="W75" s="33"/>
      <c r="X75" s="65"/>
      <c r="Y75" s="66"/>
      <c r="Z75" s="79"/>
      <c r="AA75" s="80"/>
      <c r="AB75" s="31"/>
      <c r="AC75" s="79"/>
      <c r="AD75" s="80"/>
      <c r="AE75" s="81"/>
      <c r="AF75" s="81"/>
      <c r="AG75" s="81"/>
      <c r="AH75" s="81"/>
      <c r="AI75" s="22"/>
      <c r="AJ75" s="22"/>
      <c r="AK75" s="22"/>
      <c r="AL75" s="22"/>
      <c r="AM75" s="22"/>
      <c r="AN75" s="22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</row>
    <row r="76" spans="1:89" s="30" customFormat="1" ht="16.5" hidden="1" customHeight="1" x14ac:dyDescent="0.4">
      <c r="A76" s="45"/>
      <c r="B76" s="26"/>
      <c r="C76" s="26"/>
      <c r="D76" s="26"/>
      <c r="E76" s="26"/>
      <c r="F76" s="67"/>
      <c r="G76" s="68"/>
      <c r="H76" s="68"/>
      <c r="I76" s="68"/>
      <c r="J76" s="68"/>
      <c r="K76" s="68"/>
      <c r="L76" s="68"/>
      <c r="M76" s="68"/>
      <c r="N76" s="69"/>
      <c r="O76" s="82"/>
      <c r="P76" s="77"/>
      <c r="Q76" s="77"/>
      <c r="R76" s="77"/>
      <c r="S76" s="77"/>
      <c r="T76" s="77"/>
      <c r="U76" s="77"/>
      <c r="V76" s="78"/>
      <c r="W76" s="32"/>
      <c r="X76" s="65"/>
      <c r="Y76" s="66"/>
      <c r="Z76" s="79"/>
      <c r="AA76" s="80"/>
      <c r="AB76" s="31"/>
      <c r="AC76" s="79"/>
      <c r="AD76" s="80"/>
      <c r="AE76" s="81"/>
      <c r="AF76" s="81"/>
      <c r="AG76" s="81"/>
      <c r="AH76" s="81"/>
      <c r="AI76" s="22"/>
      <c r="AJ76" s="22"/>
      <c r="AK76" s="22"/>
      <c r="AL76" s="22"/>
      <c r="AM76" s="22"/>
      <c r="AN76" s="22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</row>
    <row r="77" spans="1:89" s="30" customFormat="1" ht="16.5" hidden="1" customHeight="1" x14ac:dyDescent="0.4">
      <c r="A77" s="45"/>
      <c r="B77" s="26"/>
      <c r="C77" s="26"/>
      <c r="D77" s="26"/>
      <c r="E77" s="26"/>
      <c r="F77" s="67"/>
      <c r="G77" s="68"/>
      <c r="H77" s="68"/>
      <c r="I77" s="68"/>
      <c r="J77" s="68"/>
      <c r="K77" s="68"/>
      <c r="L77" s="68"/>
      <c r="M77" s="68"/>
      <c r="N77" s="69"/>
      <c r="O77" s="82"/>
      <c r="P77" s="77"/>
      <c r="Q77" s="77"/>
      <c r="R77" s="77"/>
      <c r="S77" s="77"/>
      <c r="T77" s="77"/>
      <c r="U77" s="77"/>
      <c r="V77" s="78"/>
      <c r="W77" s="32"/>
      <c r="X77" s="65"/>
      <c r="Y77" s="66"/>
      <c r="Z77" s="79"/>
      <c r="AA77" s="80"/>
      <c r="AB77" s="31"/>
      <c r="AC77" s="79"/>
      <c r="AD77" s="80"/>
      <c r="AE77" s="81"/>
      <c r="AF77" s="81"/>
      <c r="AG77" s="81"/>
      <c r="AH77" s="81"/>
      <c r="AI77" s="22"/>
      <c r="AJ77" s="22"/>
      <c r="AK77" s="22"/>
      <c r="AL77" s="22"/>
      <c r="AM77" s="22"/>
      <c r="AN77" s="22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</row>
    <row r="78" spans="1:89" s="30" customFormat="1" ht="16.5" hidden="1" customHeight="1" x14ac:dyDescent="0.4">
      <c r="A78" s="45"/>
      <c r="B78" s="26"/>
      <c r="C78" s="26"/>
      <c r="D78" s="26"/>
      <c r="E78" s="26"/>
      <c r="F78" s="67"/>
      <c r="G78" s="68"/>
      <c r="H78" s="68"/>
      <c r="I78" s="68"/>
      <c r="J78" s="68"/>
      <c r="K78" s="68"/>
      <c r="L78" s="68"/>
      <c r="M78" s="68"/>
      <c r="N78" s="69"/>
      <c r="O78" s="82"/>
      <c r="P78" s="77"/>
      <c r="Q78" s="77"/>
      <c r="R78" s="77"/>
      <c r="S78" s="77"/>
      <c r="T78" s="77"/>
      <c r="U78" s="77"/>
      <c r="V78" s="78"/>
      <c r="W78" s="33"/>
      <c r="X78" s="65"/>
      <c r="Y78" s="66"/>
      <c r="Z78" s="79"/>
      <c r="AA78" s="80"/>
      <c r="AB78" s="31"/>
      <c r="AC78" s="79"/>
      <c r="AD78" s="80"/>
      <c r="AE78" s="81"/>
      <c r="AF78" s="81"/>
      <c r="AG78" s="81"/>
      <c r="AH78" s="81"/>
      <c r="AI78" s="22"/>
      <c r="AJ78" s="22"/>
      <c r="AK78" s="22"/>
      <c r="AL78" s="22"/>
      <c r="AM78" s="22"/>
      <c r="AN78" s="22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</row>
    <row r="79" spans="1:89" s="30" customFormat="1" ht="16.5" hidden="1" customHeight="1" x14ac:dyDescent="0.4">
      <c r="A79" s="45"/>
      <c r="B79" s="26"/>
      <c r="C79" s="26"/>
      <c r="D79" s="26"/>
      <c r="E79" s="26"/>
      <c r="F79" s="67"/>
      <c r="G79" s="68"/>
      <c r="H79" s="68"/>
      <c r="I79" s="68"/>
      <c r="J79" s="68"/>
      <c r="K79" s="68"/>
      <c r="L79" s="68"/>
      <c r="M79" s="68"/>
      <c r="N79" s="69"/>
      <c r="O79" s="82"/>
      <c r="P79" s="77"/>
      <c r="Q79" s="77"/>
      <c r="R79" s="77"/>
      <c r="S79" s="77"/>
      <c r="T79" s="77"/>
      <c r="U79" s="77"/>
      <c r="V79" s="78"/>
      <c r="W79" s="33"/>
      <c r="X79" s="65"/>
      <c r="Y79" s="66"/>
      <c r="Z79" s="79"/>
      <c r="AA79" s="80"/>
      <c r="AB79" s="31"/>
      <c r="AC79" s="79"/>
      <c r="AD79" s="80"/>
      <c r="AE79" s="81"/>
      <c r="AF79" s="81"/>
      <c r="AG79" s="81"/>
      <c r="AH79" s="81"/>
      <c r="AI79" s="22"/>
      <c r="AJ79" s="22"/>
      <c r="AK79" s="22"/>
      <c r="AL79" s="22"/>
      <c r="AM79" s="22"/>
      <c r="AN79" s="22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</row>
    <row r="80" spans="1:89" s="30" customFormat="1" ht="16.5" hidden="1" customHeight="1" x14ac:dyDescent="0.4">
      <c r="A80" s="45"/>
      <c r="B80" s="26"/>
      <c r="C80" s="26"/>
      <c r="D80" s="26"/>
      <c r="E80" s="26"/>
      <c r="F80" s="67"/>
      <c r="G80" s="68"/>
      <c r="H80" s="68"/>
      <c r="I80" s="68"/>
      <c r="J80" s="68"/>
      <c r="K80" s="68"/>
      <c r="L80" s="68"/>
      <c r="M80" s="68"/>
      <c r="N80" s="69"/>
      <c r="O80" s="82"/>
      <c r="P80" s="77"/>
      <c r="Q80" s="77"/>
      <c r="R80" s="77"/>
      <c r="S80" s="77"/>
      <c r="T80" s="77"/>
      <c r="U80" s="77"/>
      <c r="V80" s="78"/>
      <c r="W80" s="33"/>
      <c r="X80" s="65"/>
      <c r="Y80" s="66"/>
      <c r="Z80" s="79"/>
      <c r="AA80" s="80"/>
      <c r="AB80" s="31"/>
      <c r="AC80" s="79"/>
      <c r="AD80" s="80"/>
      <c r="AE80" s="81"/>
      <c r="AF80" s="81"/>
      <c r="AG80" s="81"/>
      <c r="AH80" s="81"/>
      <c r="AI80" s="22"/>
      <c r="AJ80" s="22"/>
      <c r="AK80" s="22"/>
      <c r="AL80" s="22"/>
      <c r="AM80" s="22"/>
      <c r="AN80" s="22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</row>
    <row r="81" spans="1:89" s="30" customFormat="1" ht="16.5" hidden="1" customHeight="1" x14ac:dyDescent="0.4">
      <c r="A81" s="45"/>
      <c r="B81" s="26"/>
      <c r="C81" s="26"/>
      <c r="D81" s="26"/>
      <c r="E81" s="26"/>
      <c r="F81" s="67"/>
      <c r="G81" s="68"/>
      <c r="H81" s="68"/>
      <c r="I81" s="68"/>
      <c r="J81" s="68"/>
      <c r="K81" s="68"/>
      <c r="L81" s="68"/>
      <c r="M81" s="68"/>
      <c r="N81" s="69"/>
      <c r="O81" s="82"/>
      <c r="P81" s="77"/>
      <c r="Q81" s="77"/>
      <c r="R81" s="77"/>
      <c r="S81" s="77"/>
      <c r="T81" s="77"/>
      <c r="U81" s="77"/>
      <c r="V81" s="78"/>
      <c r="W81" s="33"/>
      <c r="X81" s="65"/>
      <c r="Y81" s="66"/>
      <c r="Z81" s="79"/>
      <c r="AA81" s="80"/>
      <c r="AB81" s="31"/>
      <c r="AC81" s="79"/>
      <c r="AD81" s="80"/>
      <c r="AE81" s="81"/>
      <c r="AF81" s="81"/>
      <c r="AG81" s="81"/>
      <c r="AH81" s="81"/>
      <c r="AI81" s="22"/>
      <c r="AJ81" s="22"/>
      <c r="AK81" s="22"/>
      <c r="AL81" s="22"/>
      <c r="AM81" s="22"/>
      <c r="AN81" s="22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</row>
    <row r="82" spans="1:89" s="30" customFormat="1" ht="16.5" hidden="1" customHeight="1" x14ac:dyDescent="0.4">
      <c r="A82" s="45"/>
      <c r="B82" s="26"/>
      <c r="C82" s="26"/>
      <c r="D82" s="26"/>
      <c r="E82" s="26"/>
      <c r="F82" s="67"/>
      <c r="G82" s="68"/>
      <c r="H82" s="68"/>
      <c r="I82" s="68"/>
      <c r="J82" s="68"/>
      <c r="K82" s="68"/>
      <c r="L82" s="68"/>
      <c r="M82" s="68"/>
      <c r="N82" s="69"/>
      <c r="O82" s="82"/>
      <c r="P82" s="77"/>
      <c r="Q82" s="77"/>
      <c r="R82" s="77"/>
      <c r="S82" s="77"/>
      <c r="T82" s="77"/>
      <c r="U82" s="77"/>
      <c r="V82" s="78"/>
      <c r="W82" s="33"/>
      <c r="X82" s="65"/>
      <c r="Y82" s="66"/>
      <c r="Z82" s="79"/>
      <c r="AA82" s="80"/>
      <c r="AB82" s="31"/>
      <c r="AC82" s="79"/>
      <c r="AD82" s="80"/>
      <c r="AE82" s="81"/>
      <c r="AF82" s="81"/>
      <c r="AG82" s="81"/>
      <c r="AH82" s="81"/>
      <c r="AI82" s="22"/>
      <c r="AJ82" s="22"/>
      <c r="AK82" s="22"/>
      <c r="AL82" s="22"/>
      <c r="AM82" s="22"/>
      <c r="AN82" s="22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</row>
    <row r="83" spans="1:89" s="30" customFormat="1" ht="16.5" hidden="1" customHeight="1" x14ac:dyDescent="0.4">
      <c r="A83" s="45"/>
      <c r="B83" s="26"/>
      <c r="C83" s="26"/>
      <c r="D83" s="26"/>
      <c r="E83" s="26"/>
      <c r="F83" s="67"/>
      <c r="G83" s="68"/>
      <c r="H83" s="68"/>
      <c r="I83" s="68"/>
      <c r="J83" s="68"/>
      <c r="K83" s="68"/>
      <c r="L83" s="68"/>
      <c r="M83" s="68"/>
      <c r="N83" s="69"/>
      <c r="O83" s="82"/>
      <c r="P83" s="77"/>
      <c r="Q83" s="77"/>
      <c r="R83" s="77"/>
      <c r="S83" s="77"/>
      <c r="T83" s="77"/>
      <c r="U83" s="77"/>
      <c r="V83" s="78"/>
      <c r="W83" s="33"/>
      <c r="X83" s="65"/>
      <c r="Y83" s="66"/>
      <c r="Z83" s="79"/>
      <c r="AA83" s="80"/>
      <c r="AB83" s="31"/>
      <c r="AC83" s="79"/>
      <c r="AD83" s="80"/>
      <c r="AE83" s="81"/>
      <c r="AF83" s="81"/>
      <c r="AG83" s="81"/>
      <c r="AH83" s="81"/>
      <c r="AI83" s="22"/>
      <c r="AJ83" s="22"/>
      <c r="AK83" s="22"/>
      <c r="AL83" s="22"/>
      <c r="AM83" s="22"/>
      <c r="AN83" s="22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</row>
    <row r="84" spans="1:89" s="30" customFormat="1" ht="16.5" hidden="1" customHeight="1" x14ac:dyDescent="0.4">
      <c r="A84" s="45"/>
      <c r="B84" s="26"/>
      <c r="C84" s="26"/>
      <c r="D84" s="26"/>
      <c r="E84" s="26"/>
      <c r="F84" s="67"/>
      <c r="G84" s="68"/>
      <c r="H84" s="68"/>
      <c r="I84" s="68"/>
      <c r="J84" s="68"/>
      <c r="K84" s="68"/>
      <c r="L84" s="68"/>
      <c r="M84" s="68"/>
      <c r="N84" s="69"/>
      <c r="O84" s="82"/>
      <c r="P84" s="77"/>
      <c r="Q84" s="77"/>
      <c r="R84" s="77"/>
      <c r="S84" s="77"/>
      <c r="T84" s="77"/>
      <c r="U84" s="77"/>
      <c r="V84" s="78"/>
      <c r="W84" s="33"/>
      <c r="X84" s="65"/>
      <c r="Y84" s="66"/>
      <c r="Z84" s="79"/>
      <c r="AA84" s="80"/>
      <c r="AB84" s="31"/>
      <c r="AC84" s="79"/>
      <c r="AD84" s="80"/>
      <c r="AE84" s="81"/>
      <c r="AF84" s="81"/>
      <c r="AG84" s="81"/>
      <c r="AH84" s="81"/>
      <c r="AI84" s="22"/>
      <c r="AJ84" s="22"/>
      <c r="AK84" s="22"/>
      <c r="AL84" s="22"/>
      <c r="AM84" s="22"/>
      <c r="AN84" s="22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</row>
    <row r="85" spans="1:89" s="30" customFormat="1" ht="32.25" hidden="1" customHeight="1" x14ac:dyDescent="0.4">
      <c r="A85" s="45">
        <v>46146</v>
      </c>
      <c r="B85" s="26"/>
      <c r="C85" s="26"/>
      <c r="D85" s="26"/>
      <c r="E85" s="26"/>
      <c r="F85" s="67"/>
      <c r="G85" s="68"/>
      <c r="H85" s="68"/>
      <c r="I85" s="68"/>
      <c r="J85" s="68"/>
      <c r="K85" s="68"/>
      <c r="L85" s="68"/>
      <c r="M85" s="68"/>
      <c r="N85" s="69"/>
      <c r="O85" s="70"/>
      <c r="P85" s="77"/>
      <c r="Q85" s="77"/>
      <c r="R85" s="77"/>
      <c r="S85" s="77"/>
      <c r="T85" s="77"/>
      <c r="U85" s="77"/>
      <c r="V85" s="78"/>
      <c r="W85" s="33"/>
      <c r="X85" s="65"/>
      <c r="Y85" s="66"/>
      <c r="Z85" s="79"/>
      <c r="AA85" s="80"/>
      <c r="AB85" s="31"/>
      <c r="AC85" s="79"/>
      <c r="AD85" s="80"/>
      <c r="AE85" s="81"/>
      <c r="AF85" s="81"/>
      <c r="AG85" s="81"/>
      <c r="AH85" s="81"/>
      <c r="AI85" s="22"/>
      <c r="AJ85" s="22"/>
      <c r="AK85" s="22"/>
      <c r="AL85" s="22"/>
      <c r="AM85" s="22"/>
      <c r="AN85" s="22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</row>
    <row r="86" spans="1:89" s="30" customFormat="1" ht="32.25" customHeight="1" x14ac:dyDescent="0.4">
      <c r="A86" s="54">
        <v>46173</v>
      </c>
      <c r="B86" s="44">
        <v>3585</v>
      </c>
      <c r="C86" s="44">
        <v>0</v>
      </c>
      <c r="D86" s="26"/>
      <c r="E86" s="26"/>
      <c r="F86" s="57"/>
      <c r="G86" s="58"/>
      <c r="H86" s="58"/>
      <c r="I86" s="58"/>
      <c r="J86" s="58"/>
      <c r="K86" s="58"/>
      <c r="L86" s="58"/>
      <c r="M86" s="58"/>
      <c r="N86" s="59"/>
      <c r="O86" s="60"/>
      <c r="P86" s="61"/>
      <c r="Q86" s="61"/>
      <c r="R86" s="61"/>
      <c r="S86" s="61"/>
      <c r="T86" s="61"/>
      <c r="U86" s="61"/>
      <c r="V86" s="62"/>
      <c r="W86" s="33"/>
      <c r="X86" s="55"/>
      <c r="Y86" s="56"/>
      <c r="Z86" s="46"/>
      <c r="AA86" s="47"/>
      <c r="AB86" s="31"/>
      <c r="AC86" s="46"/>
      <c r="AD86" s="47"/>
      <c r="AE86" s="48"/>
      <c r="AF86" s="48"/>
      <c r="AG86" s="48"/>
      <c r="AH86" s="48"/>
      <c r="AI86" s="22"/>
      <c r="AJ86" s="22"/>
      <c r="AK86" s="22"/>
      <c r="AL86" s="22"/>
      <c r="AM86" s="22"/>
      <c r="AN86" s="22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</row>
    <row r="87" spans="1:89" s="30" customFormat="1" ht="32.25" customHeight="1" x14ac:dyDescent="0.4">
      <c r="A87" s="54">
        <v>46172</v>
      </c>
      <c r="B87" s="44">
        <v>11713</v>
      </c>
      <c r="C87" s="44">
        <v>0</v>
      </c>
      <c r="D87" s="26"/>
      <c r="E87" s="26"/>
      <c r="F87" s="67" t="str">
        <f>IFERROR(VLOOKUP(D87,ErrorList!$A$1:$C$2305,3,FALSE),"-")</f>
        <v>-</v>
      </c>
      <c r="G87" s="68"/>
      <c r="H87" s="68"/>
      <c r="I87" s="68"/>
      <c r="J87" s="68"/>
      <c r="K87" s="68"/>
      <c r="L87" s="68"/>
      <c r="M87" s="68"/>
      <c r="N87" s="69"/>
      <c r="O87" s="70"/>
      <c r="P87" s="71"/>
      <c r="Q87" s="71"/>
      <c r="R87" s="71"/>
      <c r="S87" s="71"/>
      <c r="T87" s="71"/>
      <c r="U87" s="71"/>
      <c r="V87" s="72"/>
      <c r="W87" s="33"/>
      <c r="X87" s="65" t="str">
        <f>IFERROR(VLOOKUP(D87,ErrorList!$A$1:$C$2305,2,FALSE),"-")</f>
        <v>-</v>
      </c>
      <c r="Y87" s="66"/>
      <c r="Z87" s="46"/>
      <c r="AA87" s="47"/>
      <c r="AB87" s="31"/>
      <c r="AC87" s="46"/>
      <c r="AD87" s="47"/>
      <c r="AE87" s="48"/>
      <c r="AF87" s="48"/>
      <c r="AG87" s="48"/>
      <c r="AH87" s="48"/>
      <c r="AI87" s="22"/>
      <c r="AJ87" s="22"/>
      <c r="AK87" s="22"/>
      <c r="AL87" s="22"/>
      <c r="AM87" s="22"/>
      <c r="AN87" s="22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</row>
    <row r="88" spans="1:89" s="30" customFormat="1" ht="32.25" customHeight="1" x14ac:dyDescent="0.4">
      <c r="A88" s="54">
        <v>46171</v>
      </c>
      <c r="B88" s="44">
        <v>11900</v>
      </c>
      <c r="C88" s="44"/>
      <c r="D88" s="26">
        <v>2270</v>
      </c>
      <c r="E88" s="26">
        <v>2</v>
      </c>
      <c r="F88" s="67" t="s">
        <v>2377</v>
      </c>
      <c r="G88" s="68"/>
      <c r="H88" s="68"/>
      <c r="I88" s="68"/>
      <c r="J88" s="68"/>
      <c r="K88" s="68"/>
      <c r="L88" s="68"/>
      <c r="M88" s="68"/>
      <c r="N88" s="69"/>
      <c r="O88" s="70" t="s">
        <v>2378</v>
      </c>
      <c r="P88" s="71"/>
      <c r="Q88" s="71"/>
      <c r="R88" s="71"/>
      <c r="S88" s="71"/>
      <c r="T88" s="71"/>
      <c r="U88" s="71"/>
      <c r="V88" s="72"/>
      <c r="W88" s="33" t="s">
        <v>2376</v>
      </c>
      <c r="X88" s="65" t="str">
        <f>IFERROR(VLOOKUP(D88,ErrorList!$A$1:$C$2305,2,FALSE),"-")</f>
        <v>[STACKER]</v>
      </c>
      <c r="Y88" s="66"/>
      <c r="Z88" s="46"/>
      <c r="AA88" s="47"/>
      <c r="AB88" s="31"/>
      <c r="AC88" s="46"/>
      <c r="AD88" s="47"/>
      <c r="AE88" s="48"/>
      <c r="AF88" s="48"/>
      <c r="AG88" s="48"/>
      <c r="AH88" s="48"/>
      <c r="AI88" s="22"/>
      <c r="AJ88" s="22"/>
      <c r="AK88" s="22"/>
      <c r="AL88" s="22"/>
      <c r="AM88" s="22"/>
      <c r="AN88" s="22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</row>
    <row r="89" spans="1:89" s="30" customFormat="1" ht="32.25" customHeight="1" x14ac:dyDescent="0.4">
      <c r="A89" s="54">
        <v>46170</v>
      </c>
      <c r="B89" s="44">
        <v>12526</v>
      </c>
      <c r="C89" s="44"/>
      <c r="D89" s="26">
        <v>2264</v>
      </c>
      <c r="E89" s="26">
        <v>1</v>
      </c>
      <c r="F89" s="67" t="str">
        <f>IFERROR(VLOOKUP(D89,ErrorList!$A$1:$C$2305,3,FALSE),"-")</f>
        <v xml:space="preserve"> ReJect Stacker C-Tray Bottom Base Input Check    센서가 감지되지 않았습니다.</v>
      </c>
      <c r="G89" s="68"/>
      <c r="H89" s="68"/>
      <c r="I89" s="68"/>
      <c r="J89" s="68"/>
      <c r="K89" s="68"/>
      <c r="L89" s="68"/>
      <c r="M89" s="68"/>
      <c r="N89" s="69"/>
      <c r="O89" s="70" t="s">
        <v>2331</v>
      </c>
      <c r="P89" s="71"/>
      <c r="Q89" s="71"/>
      <c r="R89" s="71"/>
      <c r="S89" s="71"/>
      <c r="T89" s="71"/>
      <c r="U89" s="71"/>
      <c r="V89" s="72"/>
      <c r="W89" s="33">
        <v>0.36805555555555558</v>
      </c>
      <c r="X89" s="65" t="str">
        <f>IFERROR(VLOOKUP(D89,ErrorList!$A$1:$C$2305,2,FALSE),"-")</f>
        <v>[STACKER]</v>
      </c>
      <c r="Y89" s="66"/>
      <c r="Z89" s="46"/>
      <c r="AA89" s="47"/>
      <c r="AB89" s="31"/>
      <c r="AC89" s="46"/>
      <c r="AD89" s="47"/>
      <c r="AE89" s="48"/>
      <c r="AF89" s="48"/>
      <c r="AG89" s="48"/>
      <c r="AH89" s="48"/>
      <c r="AI89" s="22"/>
      <c r="AJ89" s="22"/>
      <c r="AK89" s="22"/>
      <c r="AL89" s="22"/>
      <c r="AM89" s="22"/>
      <c r="AN89" s="22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</row>
    <row r="90" spans="1:89" s="30" customFormat="1" ht="32.25" customHeight="1" x14ac:dyDescent="0.4">
      <c r="A90" s="54">
        <v>46169</v>
      </c>
      <c r="B90" s="44">
        <v>10224</v>
      </c>
      <c r="C90" s="44">
        <v>0</v>
      </c>
      <c r="D90" s="26"/>
      <c r="E90" s="26"/>
      <c r="F90" s="67" t="str">
        <f>IFERROR(VLOOKUP(D90,ErrorList!$A$1:$C$2305,3,FALSE),"-")</f>
        <v>-</v>
      </c>
      <c r="G90" s="68"/>
      <c r="H90" s="68"/>
      <c r="I90" s="68"/>
      <c r="J90" s="68"/>
      <c r="K90" s="68"/>
      <c r="L90" s="68"/>
      <c r="M90" s="68"/>
      <c r="N90" s="69"/>
      <c r="O90" s="70"/>
      <c r="P90" s="71"/>
      <c r="Q90" s="71"/>
      <c r="R90" s="71"/>
      <c r="S90" s="71"/>
      <c r="T90" s="71"/>
      <c r="U90" s="71"/>
      <c r="V90" s="72"/>
      <c r="W90" s="33"/>
      <c r="X90" s="65" t="str">
        <f>IFERROR(VLOOKUP(D90,ErrorList!$A$1:$C$2305,2,FALSE),"-")</f>
        <v>-</v>
      </c>
      <c r="Y90" s="66"/>
      <c r="Z90" s="46"/>
      <c r="AA90" s="47"/>
      <c r="AB90" s="31"/>
      <c r="AC90" s="46"/>
      <c r="AD90" s="47"/>
      <c r="AE90" s="48"/>
      <c r="AF90" s="48"/>
      <c r="AG90" s="48"/>
      <c r="AH90" s="48"/>
      <c r="AI90" s="22"/>
      <c r="AJ90" s="22"/>
      <c r="AK90" s="22"/>
      <c r="AL90" s="22"/>
      <c r="AM90" s="22"/>
      <c r="AN90" s="22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</row>
    <row r="91" spans="1:89" s="30" customFormat="1" ht="32.25" customHeight="1" x14ac:dyDescent="0.4">
      <c r="A91" s="54">
        <v>46168</v>
      </c>
      <c r="B91" s="44">
        <v>0</v>
      </c>
      <c r="C91" s="44">
        <v>0</v>
      </c>
      <c r="D91" s="26"/>
      <c r="E91" s="26"/>
      <c r="F91" s="67" t="str">
        <f>IFERROR(VLOOKUP(D91,ErrorList!$A$1:$C$2305,3,FALSE),"-")</f>
        <v>-</v>
      </c>
      <c r="G91" s="68"/>
      <c r="H91" s="68"/>
      <c r="I91" s="68"/>
      <c r="J91" s="68"/>
      <c r="K91" s="68"/>
      <c r="L91" s="68"/>
      <c r="M91" s="68"/>
      <c r="N91" s="69"/>
      <c r="O91" s="70"/>
      <c r="P91" s="71"/>
      <c r="Q91" s="71"/>
      <c r="R91" s="71"/>
      <c r="S91" s="71"/>
      <c r="T91" s="71"/>
      <c r="U91" s="71"/>
      <c r="V91" s="72"/>
      <c r="W91" s="33"/>
      <c r="X91" s="65" t="str">
        <f>IFERROR(VLOOKUP(D91,ErrorList!$A$1:$C$2305,2,FALSE),"-")</f>
        <v>-</v>
      </c>
      <c r="Y91" s="66"/>
      <c r="Z91" s="46"/>
      <c r="AA91" s="47"/>
      <c r="AB91" s="31"/>
      <c r="AC91" s="46"/>
      <c r="AD91" s="47"/>
      <c r="AE91" s="48"/>
      <c r="AF91" s="48"/>
      <c r="AG91" s="48"/>
      <c r="AH91" s="48"/>
      <c r="AI91" s="22"/>
      <c r="AJ91" s="22"/>
      <c r="AK91" s="22"/>
      <c r="AL91" s="22"/>
      <c r="AM91" s="22"/>
      <c r="AN91" s="22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</row>
    <row r="92" spans="1:89" s="30" customFormat="1" ht="32.25" customHeight="1" x14ac:dyDescent="0.4">
      <c r="A92" s="74">
        <v>46167</v>
      </c>
      <c r="B92" s="63">
        <v>6069</v>
      </c>
      <c r="C92" s="44"/>
      <c r="D92" s="26">
        <v>27014</v>
      </c>
      <c r="E92" s="26">
        <v>1</v>
      </c>
      <c r="F92" s="67" t="s">
        <v>2364</v>
      </c>
      <c r="G92" s="68"/>
      <c r="H92" s="68"/>
      <c r="I92" s="68"/>
      <c r="J92" s="68"/>
      <c r="K92" s="68"/>
      <c r="L92" s="68"/>
      <c r="M92" s="68"/>
      <c r="N92" s="69"/>
      <c r="O92" s="70" t="s">
        <v>2365</v>
      </c>
      <c r="P92" s="71"/>
      <c r="Q92" s="71"/>
      <c r="R92" s="71"/>
      <c r="S92" s="71"/>
      <c r="T92" s="71"/>
      <c r="U92" s="71"/>
      <c r="V92" s="72"/>
      <c r="W92" s="33">
        <v>0.81527777777777777</v>
      </c>
      <c r="X92" s="65" t="s">
        <v>2320</v>
      </c>
      <c r="Y92" s="66"/>
      <c r="Z92" s="46"/>
      <c r="AA92" s="47"/>
      <c r="AB92" s="31"/>
      <c r="AC92" s="46"/>
      <c r="AD92" s="47"/>
      <c r="AE92" s="48"/>
      <c r="AF92" s="48"/>
      <c r="AG92" s="48"/>
      <c r="AH92" s="48"/>
      <c r="AI92" s="22"/>
      <c r="AJ92" s="22"/>
      <c r="AK92" s="22"/>
      <c r="AL92" s="22"/>
      <c r="AM92" s="22"/>
      <c r="AN92" s="22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</row>
    <row r="93" spans="1:89" s="30" customFormat="1" ht="32.25" customHeight="1" x14ac:dyDescent="0.4">
      <c r="A93" s="76"/>
      <c r="B93" s="64"/>
      <c r="C93" s="44"/>
      <c r="D93" s="26">
        <v>5179</v>
      </c>
      <c r="E93" s="26">
        <v>1</v>
      </c>
      <c r="F93" s="67" t="s">
        <v>2322</v>
      </c>
      <c r="G93" s="68"/>
      <c r="H93" s="68"/>
      <c r="I93" s="68"/>
      <c r="J93" s="68"/>
      <c r="K93" s="68"/>
      <c r="L93" s="68"/>
      <c r="M93" s="68"/>
      <c r="N93" s="69"/>
      <c r="O93" s="70" t="s">
        <v>2375</v>
      </c>
      <c r="P93" s="71"/>
      <c r="Q93" s="71"/>
      <c r="R93" s="71"/>
      <c r="S93" s="71"/>
      <c r="T93" s="71"/>
      <c r="U93" s="71"/>
      <c r="V93" s="72"/>
      <c r="W93" s="33">
        <v>0.46736111111111112</v>
      </c>
      <c r="X93" s="65" t="s">
        <v>2328</v>
      </c>
      <c r="Y93" s="66"/>
      <c r="Z93" s="46"/>
      <c r="AA93" s="47"/>
      <c r="AB93" s="31"/>
      <c r="AC93" s="46"/>
      <c r="AD93" s="47"/>
      <c r="AE93" s="48"/>
      <c r="AF93" s="48"/>
      <c r="AG93" s="48"/>
      <c r="AH93" s="48"/>
      <c r="AI93" s="22"/>
      <c r="AJ93" s="22"/>
      <c r="AK93" s="22"/>
      <c r="AL93" s="22"/>
      <c r="AM93" s="22"/>
      <c r="AN93" s="22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</row>
    <row r="94" spans="1:89" s="30" customFormat="1" ht="32.25" customHeight="1" x14ac:dyDescent="0.4">
      <c r="A94" s="54">
        <v>46166</v>
      </c>
      <c r="B94" s="44">
        <v>8312</v>
      </c>
      <c r="C94" s="44">
        <v>0</v>
      </c>
      <c r="D94" s="26"/>
      <c r="E94" s="26"/>
      <c r="F94" s="67" t="str">
        <f>IFERROR(VLOOKUP(D94,ErrorList!$A$1:$C$2305,3,FALSE),"-")</f>
        <v>-</v>
      </c>
      <c r="G94" s="68"/>
      <c r="H94" s="68"/>
      <c r="I94" s="68"/>
      <c r="J94" s="68"/>
      <c r="K94" s="68"/>
      <c r="L94" s="68"/>
      <c r="M94" s="68"/>
      <c r="N94" s="69"/>
      <c r="O94" s="70"/>
      <c r="P94" s="71"/>
      <c r="Q94" s="71"/>
      <c r="R94" s="71"/>
      <c r="S94" s="71"/>
      <c r="T94" s="71"/>
      <c r="U94" s="71"/>
      <c r="V94" s="72"/>
      <c r="W94" s="33"/>
      <c r="X94" s="65" t="str">
        <f>IFERROR(VLOOKUP(D94,ErrorList!$A$1:$C$2305,2,FALSE),"-")</f>
        <v>-</v>
      </c>
      <c r="Y94" s="66"/>
      <c r="Z94" s="46"/>
      <c r="AA94" s="47"/>
      <c r="AB94" s="31"/>
      <c r="AC94" s="46"/>
      <c r="AD94" s="47"/>
      <c r="AE94" s="48"/>
      <c r="AF94" s="48"/>
      <c r="AG94" s="48"/>
      <c r="AH94" s="48"/>
      <c r="AI94" s="22"/>
      <c r="AJ94" s="22"/>
      <c r="AK94" s="22"/>
      <c r="AL94" s="22"/>
      <c r="AM94" s="22"/>
      <c r="AN94" s="22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</row>
    <row r="95" spans="1:89" s="30" customFormat="1" ht="32.25" customHeight="1" x14ac:dyDescent="0.4">
      <c r="A95" s="54">
        <v>46165</v>
      </c>
      <c r="B95" s="44">
        <v>5206</v>
      </c>
      <c r="C95" s="44">
        <v>0</v>
      </c>
      <c r="D95" s="26"/>
      <c r="E95" s="26"/>
      <c r="F95" s="67" t="str">
        <f>IFERROR(VLOOKUP(D95,ErrorList!$A$1:$C$2305,3,FALSE),"-")</f>
        <v>-</v>
      </c>
      <c r="G95" s="68"/>
      <c r="H95" s="68"/>
      <c r="I95" s="68"/>
      <c r="J95" s="68"/>
      <c r="K95" s="68"/>
      <c r="L95" s="68"/>
      <c r="M95" s="68"/>
      <c r="N95" s="69"/>
      <c r="O95" s="70"/>
      <c r="P95" s="71"/>
      <c r="Q95" s="71"/>
      <c r="R95" s="71"/>
      <c r="S95" s="71"/>
      <c r="T95" s="71"/>
      <c r="U95" s="71"/>
      <c r="V95" s="72"/>
      <c r="W95" s="33"/>
      <c r="X95" s="65" t="str">
        <f>IFERROR(VLOOKUP(D95,ErrorList!$A$1:$C$2305,2,FALSE),"-")</f>
        <v>-</v>
      </c>
      <c r="Y95" s="66"/>
      <c r="Z95" s="46"/>
      <c r="AA95" s="47"/>
      <c r="AB95" s="31"/>
      <c r="AC95" s="46"/>
      <c r="AD95" s="47"/>
      <c r="AE95" s="48"/>
      <c r="AF95" s="48"/>
      <c r="AG95" s="48"/>
      <c r="AH95" s="48"/>
      <c r="AI95" s="22"/>
      <c r="AJ95" s="22"/>
      <c r="AK95" s="22"/>
      <c r="AL95" s="22"/>
      <c r="AM95" s="22"/>
      <c r="AN95" s="22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</row>
    <row r="96" spans="1:89" s="30" customFormat="1" ht="32.25" customHeight="1" x14ac:dyDescent="0.4">
      <c r="A96" s="54">
        <v>46164</v>
      </c>
      <c r="B96" s="44">
        <v>14291</v>
      </c>
      <c r="C96" s="44">
        <v>0</v>
      </c>
      <c r="D96" s="26"/>
      <c r="E96" s="26"/>
      <c r="F96" s="67" t="str">
        <f>IFERROR(VLOOKUP(D96,ErrorList!$A$1:$C$2305,3,FALSE),"-")</f>
        <v>-</v>
      </c>
      <c r="G96" s="68"/>
      <c r="H96" s="68"/>
      <c r="I96" s="68"/>
      <c r="J96" s="68"/>
      <c r="K96" s="68"/>
      <c r="L96" s="68"/>
      <c r="M96" s="68"/>
      <c r="N96" s="69"/>
      <c r="O96" s="70"/>
      <c r="P96" s="71"/>
      <c r="Q96" s="71"/>
      <c r="R96" s="71"/>
      <c r="S96" s="71"/>
      <c r="T96" s="71"/>
      <c r="U96" s="71"/>
      <c r="V96" s="72"/>
      <c r="W96" s="33"/>
      <c r="X96" s="65" t="str">
        <f>IFERROR(VLOOKUP(D96,ErrorList!$A$1:$C$2305,2,FALSE),"-")</f>
        <v>-</v>
      </c>
      <c r="Y96" s="66"/>
      <c r="Z96" s="46"/>
      <c r="AA96" s="47"/>
      <c r="AB96" s="31"/>
      <c r="AC96" s="46"/>
      <c r="AD96" s="47"/>
      <c r="AE96" s="48"/>
      <c r="AF96" s="48"/>
      <c r="AG96" s="48"/>
      <c r="AH96" s="48"/>
      <c r="AI96" s="22"/>
      <c r="AJ96" s="22"/>
      <c r="AK96" s="22"/>
      <c r="AL96" s="22"/>
      <c r="AM96" s="22"/>
      <c r="AN96" s="22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</row>
    <row r="97" spans="1:89" s="30" customFormat="1" ht="32.25" customHeight="1" x14ac:dyDescent="0.4">
      <c r="A97" s="54">
        <v>46163</v>
      </c>
      <c r="B97" s="44">
        <v>14201</v>
      </c>
      <c r="C97" s="44"/>
      <c r="D97" s="26">
        <v>2264</v>
      </c>
      <c r="E97" s="26">
        <v>1</v>
      </c>
      <c r="F97" s="67" t="str">
        <f>IFERROR(VLOOKUP(D97,ErrorList!$A$1:$C$2305,3,FALSE),"-")</f>
        <v xml:space="preserve"> ReJect Stacker C-Tray Bottom Base Input Check    센서가 감지되지 않았습니다.</v>
      </c>
      <c r="G97" s="68"/>
      <c r="H97" s="68"/>
      <c r="I97" s="68"/>
      <c r="J97" s="68"/>
      <c r="K97" s="68"/>
      <c r="L97" s="68"/>
      <c r="M97" s="68"/>
      <c r="N97" s="69"/>
      <c r="O97" s="70" t="s">
        <v>2331</v>
      </c>
      <c r="P97" s="71"/>
      <c r="Q97" s="71"/>
      <c r="R97" s="71"/>
      <c r="S97" s="71"/>
      <c r="T97" s="71"/>
      <c r="U97" s="71"/>
      <c r="V97" s="72"/>
      <c r="W97" s="33">
        <v>0.93194444444444446</v>
      </c>
      <c r="X97" s="65" t="str">
        <f>IFERROR(VLOOKUP(D97,ErrorList!$A$1:$C$2305,2,FALSE),"-")</f>
        <v>[STACKER]</v>
      </c>
      <c r="Y97" s="66"/>
      <c r="Z97" s="46"/>
      <c r="AA97" s="47"/>
      <c r="AB97" s="31"/>
      <c r="AC97" s="46"/>
      <c r="AD97" s="47"/>
      <c r="AE97" s="48"/>
      <c r="AF97" s="48"/>
      <c r="AG97" s="48"/>
      <c r="AH97" s="48"/>
      <c r="AI97" s="22"/>
      <c r="AJ97" s="22"/>
      <c r="AK97" s="22"/>
      <c r="AL97" s="22"/>
      <c r="AM97" s="22"/>
      <c r="AN97" s="22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</row>
    <row r="98" spans="1:89" s="30" customFormat="1" ht="32.25" customHeight="1" x14ac:dyDescent="0.4">
      <c r="A98" s="74">
        <v>46162</v>
      </c>
      <c r="B98" s="63">
        <v>8312</v>
      </c>
      <c r="C98" s="44"/>
      <c r="D98" s="26">
        <v>27025</v>
      </c>
      <c r="E98" s="26">
        <v>1</v>
      </c>
      <c r="F98" s="67" t="s">
        <v>2362</v>
      </c>
      <c r="G98" s="68"/>
      <c r="H98" s="68"/>
      <c r="I98" s="68"/>
      <c r="J98" s="68"/>
      <c r="K98" s="68"/>
      <c r="L98" s="68"/>
      <c r="M98" s="68"/>
      <c r="N98" s="69"/>
      <c r="O98" s="70" t="s">
        <v>2369</v>
      </c>
      <c r="P98" s="71"/>
      <c r="Q98" s="71"/>
      <c r="R98" s="71"/>
      <c r="S98" s="71"/>
      <c r="T98" s="71"/>
      <c r="U98" s="71"/>
      <c r="V98" s="72"/>
      <c r="W98" s="33">
        <v>0.38263888888888886</v>
      </c>
      <c r="X98" s="65" t="s">
        <v>2320</v>
      </c>
      <c r="Y98" s="66"/>
      <c r="Z98" s="46"/>
      <c r="AA98" s="47"/>
      <c r="AB98" s="31"/>
      <c r="AC98" s="46"/>
      <c r="AD98" s="47"/>
      <c r="AE98" s="48"/>
      <c r="AF98" s="48"/>
      <c r="AG98" s="48"/>
      <c r="AH98" s="48"/>
      <c r="AI98" s="22"/>
      <c r="AJ98" s="22"/>
      <c r="AK98" s="22"/>
      <c r="AL98" s="22"/>
      <c r="AM98" s="22"/>
      <c r="AN98" s="22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</row>
    <row r="99" spans="1:89" s="30" customFormat="1" ht="32.25" customHeight="1" x14ac:dyDescent="0.4">
      <c r="A99" s="75"/>
      <c r="B99" s="73"/>
      <c r="C99" s="44"/>
      <c r="D99" s="26">
        <v>44106</v>
      </c>
      <c r="E99" s="26">
        <v>4</v>
      </c>
      <c r="F99" s="67" t="str">
        <f>IFERROR(VLOOKUP(D99,ErrorList!$A$1:$C$2305,3,FALSE),"-")</f>
        <v xml:space="preserve"> In Buffer Tray Flow Forward Sol  동작이 실패 하였습니다.</v>
      </c>
      <c r="G99" s="68"/>
      <c r="H99" s="68"/>
      <c r="I99" s="68"/>
      <c r="J99" s="68"/>
      <c r="K99" s="68"/>
      <c r="L99" s="68"/>
      <c r="M99" s="68"/>
      <c r="N99" s="69"/>
      <c r="O99" s="70" t="s">
        <v>2366</v>
      </c>
      <c r="P99" s="71"/>
      <c r="Q99" s="71"/>
      <c r="R99" s="71"/>
      <c r="S99" s="71"/>
      <c r="T99" s="71"/>
      <c r="U99" s="71"/>
      <c r="V99" s="72"/>
      <c r="W99" s="53" t="s">
        <v>2363</v>
      </c>
      <c r="X99" s="65" t="str">
        <f>IFERROR(VLOOKUP(D99,ErrorList!$A$1:$C$2305,2,FALSE),"-")</f>
        <v>[SETPLATE_BUFFER]</v>
      </c>
      <c r="Y99" s="66"/>
      <c r="Z99" s="46"/>
      <c r="AA99" s="47"/>
      <c r="AB99" s="31"/>
      <c r="AC99" s="46"/>
      <c r="AD99" s="47"/>
      <c r="AE99" s="48"/>
      <c r="AF99" s="48"/>
      <c r="AG99" s="48"/>
      <c r="AH99" s="48"/>
      <c r="AI99" s="22"/>
      <c r="AJ99" s="22"/>
      <c r="AK99" s="22"/>
      <c r="AL99" s="22"/>
      <c r="AM99" s="22"/>
      <c r="AN99" s="22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</row>
    <row r="100" spans="1:89" s="30" customFormat="1" ht="32.25" customHeight="1" x14ac:dyDescent="0.4">
      <c r="A100" s="76"/>
      <c r="B100" s="64"/>
      <c r="C100" s="44"/>
      <c r="D100" s="26">
        <v>40615</v>
      </c>
      <c r="E100" s="26">
        <v>1</v>
      </c>
      <c r="F100" s="67" t="s">
        <v>2323</v>
      </c>
      <c r="G100" s="68"/>
      <c r="H100" s="68"/>
      <c r="I100" s="68"/>
      <c r="J100" s="68"/>
      <c r="K100" s="68"/>
      <c r="L100" s="68"/>
      <c r="M100" s="68"/>
      <c r="N100" s="69"/>
      <c r="O100" s="70" t="s">
        <v>2374</v>
      </c>
      <c r="P100" s="71"/>
      <c r="Q100" s="71"/>
      <c r="R100" s="71"/>
      <c r="S100" s="71"/>
      <c r="T100" s="71"/>
      <c r="U100" s="71"/>
      <c r="V100" s="72"/>
      <c r="W100" s="33">
        <v>0.97499999999999998</v>
      </c>
      <c r="X100" s="65" t="s">
        <v>2328</v>
      </c>
      <c r="Y100" s="66"/>
      <c r="Z100" s="46"/>
      <c r="AA100" s="47"/>
      <c r="AB100" s="31"/>
      <c r="AC100" s="46"/>
      <c r="AD100" s="47"/>
      <c r="AE100" s="48"/>
      <c r="AF100" s="48"/>
      <c r="AG100" s="48"/>
      <c r="AH100" s="48"/>
      <c r="AI100" s="22"/>
      <c r="AJ100" s="22"/>
      <c r="AK100" s="22"/>
      <c r="AL100" s="22"/>
      <c r="AM100" s="22"/>
      <c r="AN100" s="22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</row>
    <row r="101" spans="1:89" s="30" customFormat="1" ht="32.25" customHeight="1" x14ac:dyDescent="0.4">
      <c r="A101" s="74">
        <v>46161</v>
      </c>
      <c r="B101" s="63">
        <v>12128</v>
      </c>
      <c r="C101" s="44"/>
      <c r="D101" s="26">
        <v>70940</v>
      </c>
      <c r="E101" s="26">
        <v>1</v>
      </c>
      <c r="F101" s="67" t="s">
        <v>2372</v>
      </c>
      <c r="G101" s="68"/>
      <c r="H101" s="68"/>
      <c r="I101" s="68"/>
      <c r="J101" s="68"/>
      <c r="K101" s="68"/>
      <c r="L101" s="68"/>
      <c r="M101" s="68"/>
      <c r="N101" s="69"/>
      <c r="O101" s="70" t="s">
        <v>2371</v>
      </c>
      <c r="P101" s="71"/>
      <c r="Q101" s="71"/>
      <c r="R101" s="71"/>
      <c r="S101" s="71"/>
      <c r="T101" s="71"/>
      <c r="U101" s="71"/>
      <c r="V101" s="72"/>
      <c r="W101" s="33">
        <v>0.58888888888888891</v>
      </c>
      <c r="X101" s="65" t="str">
        <f>IFERROR(VLOOKUP(D101,ErrorList!$A$1:$C$2305,2,FALSE),"-")</f>
        <v>[TEST_SITE]</v>
      </c>
      <c r="Y101" s="66"/>
      <c r="Z101" s="46"/>
      <c r="AA101" s="47"/>
      <c r="AB101" s="31"/>
      <c r="AC101" s="46"/>
      <c r="AD101" s="47"/>
      <c r="AE101" s="48"/>
      <c r="AF101" s="48"/>
      <c r="AG101" s="48"/>
      <c r="AH101" s="48"/>
      <c r="AI101" s="22"/>
      <c r="AJ101" s="22"/>
      <c r="AK101" s="22"/>
      <c r="AL101" s="22"/>
      <c r="AM101" s="22"/>
      <c r="AN101" s="22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</row>
    <row r="102" spans="1:89" s="30" customFormat="1" ht="32.25" customHeight="1" x14ac:dyDescent="0.4">
      <c r="A102" s="75"/>
      <c r="B102" s="73"/>
      <c r="C102" s="44"/>
      <c r="D102" s="26">
        <v>44106</v>
      </c>
      <c r="E102" s="26">
        <v>1</v>
      </c>
      <c r="F102" s="67" t="str">
        <f>IFERROR(VLOOKUP(D102,ErrorList!$A$1:$C$2305,3,FALSE),"-")</f>
        <v xml:space="preserve"> In Buffer Tray Flow Forward Sol  동작이 실패 하였습니다.</v>
      </c>
      <c r="G102" s="68"/>
      <c r="H102" s="68"/>
      <c r="I102" s="68"/>
      <c r="J102" s="68"/>
      <c r="K102" s="68"/>
      <c r="L102" s="68"/>
      <c r="M102" s="68"/>
      <c r="N102" s="69"/>
      <c r="O102" s="70" t="s">
        <v>2368</v>
      </c>
      <c r="P102" s="71"/>
      <c r="Q102" s="71"/>
      <c r="R102" s="71"/>
      <c r="S102" s="71"/>
      <c r="T102" s="71"/>
      <c r="U102" s="71"/>
      <c r="V102" s="72"/>
      <c r="W102" s="33">
        <v>0.51249999999999996</v>
      </c>
      <c r="X102" s="65" t="str">
        <f>IFERROR(VLOOKUP(D102,ErrorList!$A$1:$C$2305,2,FALSE),"-")</f>
        <v>[SETPLATE_BUFFER]</v>
      </c>
      <c r="Y102" s="66"/>
      <c r="Z102" s="46"/>
      <c r="AA102" s="47"/>
      <c r="AB102" s="31"/>
      <c r="AC102" s="46"/>
      <c r="AD102" s="47"/>
      <c r="AE102" s="48"/>
      <c r="AF102" s="48"/>
      <c r="AG102" s="48"/>
      <c r="AH102" s="48"/>
      <c r="AI102" s="22"/>
      <c r="AJ102" s="22"/>
      <c r="AK102" s="22"/>
      <c r="AL102" s="22"/>
      <c r="AM102" s="22"/>
      <c r="AN102" s="22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</row>
    <row r="103" spans="1:89" s="30" customFormat="1" ht="32.25" customHeight="1" x14ac:dyDescent="0.4">
      <c r="A103" s="75"/>
      <c r="B103" s="73"/>
      <c r="C103" s="44"/>
      <c r="D103" s="26">
        <v>27025</v>
      </c>
      <c r="E103" s="26">
        <v>1</v>
      </c>
      <c r="F103" s="67" t="s">
        <v>2362</v>
      </c>
      <c r="G103" s="68"/>
      <c r="H103" s="68"/>
      <c r="I103" s="68"/>
      <c r="J103" s="68"/>
      <c r="K103" s="68"/>
      <c r="L103" s="68"/>
      <c r="M103" s="68"/>
      <c r="N103" s="69"/>
      <c r="O103" s="70" t="s">
        <v>2369</v>
      </c>
      <c r="P103" s="71"/>
      <c r="Q103" s="71"/>
      <c r="R103" s="71"/>
      <c r="S103" s="71"/>
      <c r="T103" s="71"/>
      <c r="U103" s="71"/>
      <c r="V103" s="72"/>
      <c r="W103" s="33">
        <v>0.93819444444444444</v>
      </c>
      <c r="X103" s="65" t="s">
        <v>2320</v>
      </c>
      <c r="Y103" s="66"/>
      <c r="Z103" s="46"/>
      <c r="AA103" s="47"/>
      <c r="AB103" s="31"/>
      <c r="AC103" s="46"/>
      <c r="AD103" s="47"/>
      <c r="AE103" s="48"/>
      <c r="AF103" s="48"/>
      <c r="AG103" s="48"/>
      <c r="AH103" s="48"/>
      <c r="AI103" s="22"/>
      <c r="AJ103" s="22"/>
      <c r="AK103" s="22"/>
      <c r="AL103" s="22"/>
      <c r="AM103" s="22"/>
      <c r="AN103" s="22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</row>
    <row r="104" spans="1:89" s="30" customFormat="1" ht="32.25" customHeight="1" x14ac:dyDescent="0.4">
      <c r="A104" s="76"/>
      <c r="B104" s="64"/>
      <c r="C104" s="44"/>
      <c r="D104" s="26">
        <v>27026</v>
      </c>
      <c r="E104" s="26">
        <v>1</v>
      </c>
      <c r="F104" s="67" t="s">
        <v>2354</v>
      </c>
      <c r="G104" s="68"/>
      <c r="H104" s="68"/>
      <c r="I104" s="68"/>
      <c r="J104" s="68"/>
      <c r="K104" s="68"/>
      <c r="L104" s="68"/>
      <c r="M104" s="68"/>
      <c r="N104" s="69"/>
      <c r="O104" s="70" t="s">
        <v>2370</v>
      </c>
      <c r="P104" s="71"/>
      <c r="Q104" s="71"/>
      <c r="R104" s="71"/>
      <c r="S104" s="71"/>
      <c r="T104" s="71"/>
      <c r="U104" s="71"/>
      <c r="V104" s="72"/>
      <c r="W104" s="33">
        <v>0.91805555555555551</v>
      </c>
      <c r="X104" s="65" t="s">
        <v>2320</v>
      </c>
      <c r="Y104" s="66"/>
      <c r="Z104" s="46"/>
      <c r="AA104" s="47"/>
      <c r="AB104" s="31"/>
      <c r="AC104" s="46"/>
      <c r="AD104" s="47"/>
      <c r="AE104" s="48"/>
      <c r="AF104" s="48"/>
      <c r="AG104" s="48"/>
      <c r="AH104" s="48"/>
      <c r="AI104" s="22"/>
      <c r="AJ104" s="22"/>
      <c r="AK104" s="22"/>
      <c r="AL104" s="22"/>
      <c r="AM104" s="22"/>
      <c r="AN104" s="22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</row>
    <row r="105" spans="1:89" s="30" customFormat="1" ht="32.25" customHeight="1" x14ac:dyDescent="0.4">
      <c r="A105" s="74">
        <v>46160</v>
      </c>
      <c r="B105" s="63">
        <v>5233</v>
      </c>
      <c r="C105" s="44"/>
      <c r="D105" s="26">
        <v>2264</v>
      </c>
      <c r="E105" s="26">
        <v>2</v>
      </c>
      <c r="F105" s="67" t="str">
        <f>IFERROR(VLOOKUP(D105,ErrorList!$A$1:$C$2305,3,FALSE),"-")</f>
        <v xml:space="preserve"> ReJect Stacker C-Tray Bottom Base Input Check    센서가 감지되지 않았습니다.</v>
      </c>
      <c r="G105" s="68"/>
      <c r="H105" s="68"/>
      <c r="I105" s="68"/>
      <c r="J105" s="68"/>
      <c r="K105" s="68"/>
      <c r="L105" s="68"/>
      <c r="M105" s="68"/>
      <c r="N105" s="69"/>
      <c r="O105" s="70" t="s">
        <v>2331</v>
      </c>
      <c r="P105" s="71"/>
      <c r="Q105" s="71"/>
      <c r="R105" s="71"/>
      <c r="S105" s="71"/>
      <c r="T105" s="71"/>
      <c r="U105" s="71"/>
      <c r="V105" s="72"/>
      <c r="W105" s="33" t="s">
        <v>2361</v>
      </c>
      <c r="X105" s="65" t="str">
        <f>IFERROR(VLOOKUP(D105,ErrorList!$A$1:$C$2305,2,FALSE),"-")</f>
        <v>[STACKER]</v>
      </c>
      <c r="Y105" s="66"/>
      <c r="Z105" s="46"/>
      <c r="AA105" s="47"/>
      <c r="AB105" s="31"/>
      <c r="AC105" s="46"/>
      <c r="AD105" s="47"/>
      <c r="AE105" s="48"/>
      <c r="AF105" s="48"/>
      <c r="AG105" s="48"/>
      <c r="AH105" s="48"/>
      <c r="AI105" s="22"/>
      <c r="AJ105" s="22"/>
      <c r="AK105" s="22"/>
      <c r="AL105" s="22"/>
      <c r="AM105" s="22"/>
      <c r="AN105" s="22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</row>
    <row r="106" spans="1:89" s="30" customFormat="1" ht="32.25" customHeight="1" x14ac:dyDescent="0.4">
      <c r="A106" s="76"/>
      <c r="B106" s="64"/>
      <c r="C106" s="44"/>
      <c r="D106" s="26">
        <v>70932</v>
      </c>
      <c r="E106" s="26">
        <v>1</v>
      </c>
      <c r="F106" s="67" t="s">
        <v>2367</v>
      </c>
      <c r="G106" s="68"/>
      <c r="H106" s="68"/>
      <c r="I106" s="68"/>
      <c r="J106" s="68"/>
      <c r="K106" s="68"/>
      <c r="L106" s="68"/>
      <c r="M106" s="68"/>
      <c r="N106" s="69"/>
      <c r="O106" s="70" t="s">
        <v>2373</v>
      </c>
      <c r="P106" s="71"/>
      <c r="Q106" s="71"/>
      <c r="R106" s="71"/>
      <c r="S106" s="71"/>
      <c r="T106" s="71"/>
      <c r="U106" s="71"/>
      <c r="V106" s="72"/>
      <c r="W106" s="33">
        <v>0.72499999999999998</v>
      </c>
      <c r="X106" s="65" t="str">
        <f>IFERROR(VLOOKUP(D106,ErrorList!$A$1:$C$2305,2,FALSE),"-")</f>
        <v>[TEST_SITE]</v>
      </c>
      <c r="Y106" s="66"/>
      <c r="Z106" s="46"/>
      <c r="AA106" s="47"/>
      <c r="AB106" s="31"/>
      <c r="AC106" s="46"/>
      <c r="AD106" s="47"/>
      <c r="AE106" s="48"/>
      <c r="AF106" s="48"/>
      <c r="AG106" s="48"/>
      <c r="AH106" s="48"/>
      <c r="AI106" s="22"/>
      <c r="AJ106" s="22"/>
      <c r="AK106" s="22"/>
      <c r="AL106" s="22"/>
      <c r="AM106" s="22"/>
      <c r="AN106" s="22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</row>
    <row r="107" spans="1:89" s="30" customFormat="1" ht="32.25" customHeight="1" x14ac:dyDescent="0.4">
      <c r="A107" s="74">
        <v>46159</v>
      </c>
      <c r="B107" s="63">
        <v>6160</v>
      </c>
      <c r="C107" s="63"/>
      <c r="D107" s="26">
        <v>42480</v>
      </c>
      <c r="E107" s="26">
        <v>1</v>
      </c>
      <c r="F107" s="67" t="str">
        <f>IFERROR(VLOOKUP(D107,ErrorList!$A$1:$C$2305,3,FALSE),"-")</f>
        <v xml:space="preserve"> Buffer Tray Flow T-Tray Check   센서가 감지되지 않았습니다.</v>
      </c>
      <c r="G107" s="68"/>
      <c r="H107" s="68"/>
      <c r="I107" s="68"/>
      <c r="J107" s="68"/>
      <c r="K107" s="68"/>
      <c r="L107" s="68"/>
      <c r="M107" s="68"/>
      <c r="N107" s="69"/>
      <c r="O107" s="70" t="s">
        <v>2360</v>
      </c>
      <c r="P107" s="71"/>
      <c r="Q107" s="71"/>
      <c r="R107" s="71"/>
      <c r="S107" s="71"/>
      <c r="T107" s="71"/>
      <c r="U107" s="71"/>
      <c r="V107" s="72"/>
      <c r="W107" s="33">
        <v>0.82847222222222228</v>
      </c>
      <c r="X107" s="65" t="str">
        <f>IFERROR(VLOOKUP(D107,ErrorList!$A$1:$C$2305,2,FALSE),"-")</f>
        <v>[SETPLATE_BUFFER]</v>
      </c>
      <c r="Y107" s="66"/>
      <c r="Z107" s="46"/>
      <c r="AA107" s="47"/>
      <c r="AB107" s="31"/>
      <c r="AC107" s="46"/>
      <c r="AD107" s="47"/>
      <c r="AE107" s="48"/>
      <c r="AF107" s="48"/>
      <c r="AG107" s="48"/>
      <c r="AH107" s="48"/>
      <c r="AI107" s="22"/>
      <c r="AJ107" s="22"/>
      <c r="AK107" s="22"/>
      <c r="AL107" s="22"/>
      <c r="AM107" s="22"/>
      <c r="AN107" s="22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</row>
    <row r="108" spans="1:89" s="30" customFormat="1" ht="32.25" customHeight="1" x14ac:dyDescent="0.4">
      <c r="A108" s="76"/>
      <c r="B108" s="64"/>
      <c r="C108" s="64"/>
      <c r="D108" s="26">
        <v>40615</v>
      </c>
      <c r="E108" s="26">
        <v>1</v>
      </c>
      <c r="F108" s="67" t="s">
        <v>2323</v>
      </c>
      <c r="G108" s="68"/>
      <c r="H108" s="68"/>
      <c r="I108" s="68"/>
      <c r="J108" s="68"/>
      <c r="K108" s="68"/>
      <c r="L108" s="68"/>
      <c r="M108" s="68"/>
      <c r="N108" s="69"/>
      <c r="O108" s="70" t="s">
        <v>2357</v>
      </c>
      <c r="P108" s="71"/>
      <c r="Q108" s="71"/>
      <c r="R108" s="71"/>
      <c r="S108" s="71"/>
      <c r="T108" s="71"/>
      <c r="U108" s="71"/>
      <c r="V108" s="72"/>
      <c r="W108" s="33">
        <v>0.7</v>
      </c>
      <c r="X108" s="65" t="s">
        <v>2327</v>
      </c>
      <c r="Y108" s="66"/>
      <c r="Z108" s="46"/>
      <c r="AA108" s="47"/>
      <c r="AB108" s="31"/>
      <c r="AC108" s="46"/>
      <c r="AD108" s="47"/>
      <c r="AE108" s="48"/>
      <c r="AF108" s="48"/>
      <c r="AG108" s="48"/>
      <c r="AH108" s="48"/>
      <c r="AI108" s="22"/>
      <c r="AJ108" s="22"/>
      <c r="AK108" s="22"/>
      <c r="AL108" s="22"/>
      <c r="AM108" s="22"/>
      <c r="AN108" s="22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</row>
    <row r="109" spans="1:89" s="30" customFormat="1" ht="32.25" customHeight="1" x14ac:dyDescent="0.4">
      <c r="A109" s="74">
        <v>46158</v>
      </c>
      <c r="B109" s="63">
        <v>10924</v>
      </c>
      <c r="C109" s="63"/>
      <c r="D109" s="26">
        <v>27026</v>
      </c>
      <c r="E109" s="26">
        <v>1</v>
      </c>
      <c r="F109" s="67" t="s">
        <v>2354</v>
      </c>
      <c r="G109" s="68"/>
      <c r="H109" s="68"/>
      <c r="I109" s="68"/>
      <c r="J109" s="68"/>
      <c r="K109" s="68"/>
      <c r="L109" s="68"/>
      <c r="M109" s="68"/>
      <c r="N109" s="69"/>
      <c r="O109" s="70" t="s">
        <v>2359</v>
      </c>
      <c r="P109" s="71"/>
      <c r="Q109" s="71"/>
      <c r="R109" s="71"/>
      <c r="S109" s="71"/>
      <c r="T109" s="71"/>
      <c r="U109" s="71"/>
      <c r="V109" s="72"/>
      <c r="W109" s="33">
        <v>0.29305555555555557</v>
      </c>
      <c r="X109" s="65" t="s">
        <v>2320</v>
      </c>
      <c r="Y109" s="66"/>
      <c r="Z109" s="46"/>
      <c r="AA109" s="47"/>
      <c r="AB109" s="31"/>
      <c r="AC109" s="46"/>
      <c r="AD109" s="47"/>
      <c r="AE109" s="48"/>
      <c r="AF109" s="48"/>
      <c r="AG109" s="48"/>
      <c r="AH109" s="48"/>
      <c r="AI109" s="22"/>
      <c r="AJ109" s="22"/>
      <c r="AK109" s="22"/>
      <c r="AL109" s="22"/>
      <c r="AM109" s="22"/>
      <c r="AN109" s="22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</row>
    <row r="110" spans="1:89" s="30" customFormat="1" ht="32.25" customHeight="1" x14ac:dyDescent="0.4">
      <c r="A110" s="76"/>
      <c r="B110" s="64"/>
      <c r="C110" s="64"/>
      <c r="D110" s="26">
        <v>2264</v>
      </c>
      <c r="E110" s="26">
        <v>3</v>
      </c>
      <c r="F110" s="67" t="str">
        <f>IFERROR(VLOOKUP(D110,ErrorList!$A$1:$C$2305,3,FALSE),"-")</f>
        <v xml:space="preserve"> ReJect Stacker C-Tray Bottom Base Input Check    센서가 감지되지 않았습니다.</v>
      </c>
      <c r="G110" s="68"/>
      <c r="H110" s="68"/>
      <c r="I110" s="68"/>
      <c r="J110" s="68"/>
      <c r="K110" s="68"/>
      <c r="L110" s="68"/>
      <c r="M110" s="68"/>
      <c r="N110" s="69"/>
      <c r="O110" s="70" t="s">
        <v>2331</v>
      </c>
      <c r="P110" s="71"/>
      <c r="Q110" s="71"/>
      <c r="R110" s="71"/>
      <c r="S110" s="71"/>
      <c r="T110" s="71"/>
      <c r="U110" s="71"/>
      <c r="V110" s="72"/>
      <c r="W110" s="53" t="s">
        <v>2355</v>
      </c>
      <c r="X110" s="65" t="str">
        <f>IFERROR(VLOOKUP(D110,ErrorList!$A$1:$C$2305,2,FALSE),"-")</f>
        <v>[STACKER]</v>
      </c>
      <c r="Y110" s="66"/>
      <c r="Z110" s="46"/>
      <c r="AA110" s="47"/>
      <c r="AB110" s="31"/>
      <c r="AC110" s="46"/>
      <c r="AD110" s="47"/>
      <c r="AE110" s="48"/>
      <c r="AF110" s="48"/>
      <c r="AG110" s="48"/>
      <c r="AH110" s="48"/>
      <c r="AI110" s="22"/>
      <c r="AJ110" s="22"/>
      <c r="AK110" s="22"/>
      <c r="AL110" s="22"/>
      <c r="AM110" s="22"/>
      <c r="AN110" s="22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</row>
    <row r="111" spans="1:89" s="30" customFormat="1" ht="32.25" customHeight="1" x14ac:dyDescent="0.4">
      <c r="A111" s="74">
        <v>46157</v>
      </c>
      <c r="B111" s="63">
        <v>7227</v>
      </c>
      <c r="C111" s="63"/>
      <c r="D111" s="26">
        <v>2264</v>
      </c>
      <c r="E111" s="26">
        <v>3</v>
      </c>
      <c r="F111" s="67" t="str">
        <f>IFERROR(VLOOKUP(D111,ErrorList!$A$1:$C$2305,3,FALSE),"-")</f>
        <v xml:space="preserve"> ReJect Stacker C-Tray Bottom Base Input Check    센서가 감지되지 않았습니다.</v>
      </c>
      <c r="G111" s="68"/>
      <c r="H111" s="68"/>
      <c r="I111" s="68"/>
      <c r="J111" s="68"/>
      <c r="K111" s="68"/>
      <c r="L111" s="68"/>
      <c r="M111" s="68"/>
      <c r="N111" s="69"/>
      <c r="O111" s="70" t="s">
        <v>2331</v>
      </c>
      <c r="P111" s="71"/>
      <c r="Q111" s="71"/>
      <c r="R111" s="71"/>
      <c r="S111" s="71"/>
      <c r="T111" s="71"/>
      <c r="U111" s="71"/>
      <c r="V111" s="72"/>
      <c r="W111" s="53" t="s">
        <v>2356</v>
      </c>
      <c r="X111" s="65" t="str">
        <f>IFERROR(VLOOKUP(D111,ErrorList!$A$1:$C$2305,2,FALSE),"-")</f>
        <v>[STACKER]</v>
      </c>
      <c r="Y111" s="66"/>
      <c r="Z111" s="46"/>
      <c r="AA111" s="47"/>
      <c r="AB111" s="31"/>
      <c r="AC111" s="46"/>
      <c r="AD111" s="47"/>
      <c r="AE111" s="48"/>
      <c r="AF111" s="48"/>
      <c r="AG111" s="48"/>
      <c r="AH111" s="48"/>
      <c r="AI111" s="22"/>
      <c r="AJ111" s="22"/>
      <c r="AK111" s="22"/>
      <c r="AL111" s="22"/>
      <c r="AM111" s="22"/>
      <c r="AN111" s="22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</row>
    <row r="112" spans="1:89" s="30" customFormat="1" ht="32.25" customHeight="1" x14ac:dyDescent="0.4">
      <c r="A112" s="76"/>
      <c r="B112" s="64"/>
      <c r="C112" s="64"/>
      <c r="D112" s="26">
        <v>27026</v>
      </c>
      <c r="E112" s="26">
        <v>1</v>
      </c>
      <c r="F112" s="67" t="s">
        <v>2354</v>
      </c>
      <c r="G112" s="68"/>
      <c r="H112" s="68"/>
      <c r="I112" s="68"/>
      <c r="J112" s="68"/>
      <c r="K112" s="68"/>
      <c r="L112" s="68"/>
      <c r="M112" s="68"/>
      <c r="N112" s="69"/>
      <c r="O112" s="70" t="s">
        <v>2358</v>
      </c>
      <c r="P112" s="71"/>
      <c r="Q112" s="71"/>
      <c r="R112" s="71"/>
      <c r="S112" s="71"/>
      <c r="T112" s="71"/>
      <c r="U112" s="71"/>
      <c r="V112" s="72"/>
      <c r="W112" s="33">
        <v>0.82708333333333328</v>
      </c>
      <c r="X112" s="65" t="s">
        <v>2320</v>
      </c>
      <c r="Y112" s="66"/>
      <c r="Z112" s="46"/>
      <c r="AA112" s="47"/>
      <c r="AB112" s="31"/>
      <c r="AC112" s="46"/>
      <c r="AD112" s="47"/>
      <c r="AE112" s="48"/>
      <c r="AF112" s="48"/>
      <c r="AG112" s="48"/>
      <c r="AH112" s="48"/>
      <c r="AI112" s="22"/>
      <c r="AJ112" s="22"/>
      <c r="AK112" s="22"/>
      <c r="AL112" s="22"/>
      <c r="AM112" s="22"/>
      <c r="AN112" s="22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</row>
    <row r="113" spans="1:89" s="30" customFormat="1" ht="32.25" customHeight="1" x14ac:dyDescent="0.4">
      <c r="A113" s="74">
        <v>46156</v>
      </c>
      <c r="B113" s="63">
        <v>7125</v>
      </c>
      <c r="C113" s="63"/>
      <c r="D113" s="26">
        <v>2243</v>
      </c>
      <c r="E113" s="26">
        <v>1</v>
      </c>
      <c r="F113" s="67" t="s">
        <v>2351</v>
      </c>
      <c r="G113" s="68"/>
      <c r="H113" s="68"/>
      <c r="I113" s="68"/>
      <c r="J113" s="68"/>
      <c r="K113" s="68"/>
      <c r="L113" s="68"/>
      <c r="M113" s="68"/>
      <c r="N113" s="69"/>
      <c r="O113" s="70" t="s">
        <v>2352</v>
      </c>
      <c r="P113" s="71"/>
      <c r="Q113" s="71"/>
      <c r="R113" s="71"/>
      <c r="S113" s="71"/>
      <c r="T113" s="71"/>
      <c r="U113" s="71"/>
      <c r="V113" s="72"/>
      <c r="W113" s="33">
        <v>0.24444444444444444</v>
      </c>
      <c r="X113" s="65" t="s">
        <v>2328</v>
      </c>
      <c r="Y113" s="66"/>
      <c r="Z113" s="46"/>
      <c r="AA113" s="47"/>
      <c r="AB113" s="31"/>
      <c r="AC113" s="46"/>
      <c r="AD113" s="47"/>
      <c r="AE113" s="48"/>
      <c r="AF113" s="48"/>
      <c r="AG113" s="48"/>
      <c r="AH113" s="48"/>
      <c r="AI113" s="22"/>
      <c r="AJ113" s="22"/>
      <c r="AK113" s="22"/>
      <c r="AL113" s="22"/>
      <c r="AM113" s="22"/>
      <c r="AN113" s="22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</row>
    <row r="114" spans="1:89" s="30" customFormat="1" ht="32.25" customHeight="1" x14ac:dyDescent="0.4">
      <c r="A114" s="76"/>
      <c r="B114" s="64"/>
      <c r="C114" s="64"/>
      <c r="D114" s="26">
        <v>2264</v>
      </c>
      <c r="E114" s="26">
        <v>1</v>
      </c>
      <c r="F114" s="67" t="str">
        <f>IFERROR(VLOOKUP(D114,ErrorList!$A$1:$C$2305,3,FALSE),"-")</f>
        <v xml:space="preserve"> ReJect Stacker C-Tray Bottom Base Input Check    센서가 감지되지 않았습니다.</v>
      </c>
      <c r="G114" s="68"/>
      <c r="H114" s="68"/>
      <c r="I114" s="68"/>
      <c r="J114" s="68"/>
      <c r="K114" s="68"/>
      <c r="L114" s="68"/>
      <c r="M114" s="68"/>
      <c r="N114" s="69"/>
      <c r="O114" s="70" t="s">
        <v>2353</v>
      </c>
      <c r="P114" s="71"/>
      <c r="Q114" s="71"/>
      <c r="R114" s="71"/>
      <c r="S114" s="71"/>
      <c r="T114" s="71"/>
      <c r="U114" s="71"/>
      <c r="V114" s="72"/>
      <c r="W114" s="33">
        <v>0.9555555555555556</v>
      </c>
      <c r="X114" s="65" t="str">
        <f>IFERROR(VLOOKUP(D114,ErrorList!$A$1:$C$2305,2,FALSE),"-")</f>
        <v>[STACKER]</v>
      </c>
      <c r="Y114" s="66"/>
      <c r="Z114" s="46"/>
      <c r="AA114" s="47"/>
      <c r="AB114" s="31"/>
      <c r="AC114" s="46"/>
      <c r="AD114" s="47"/>
      <c r="AE114" s="48"/>
      <c r="AF114" s="48"/>
      <c r="AG114" s="48"/>
      <c r="AH114" s="48"/>
      <c r="AI114" s="22"/>
      <c r="AJ114" s="22"/>
      <c r="AK114" s="22"/>
      <c r="AL114" s="22"/>
      <c r="AM114" s="22"/>
      <c r="AN114" s="22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</row>
    <row r="115" spans="1:89" s="30" customFormat="1" ht="32.25" customHeight="1" x14ac:dyDescent="0.4">
      <c r="A115" s="74">
        <v>46155</v>
      </c>
      <c r="B115" s="63">
        <v>11235</v>
      </c>
      <c r="C115" s="63"/>
      <c r="D115" s="26">
        <v>44106</v>
      </c>
      <c r="E115" s="26">
        <v>1</v>
      </c>
      <c r="F115" s="67" t="str">
        <f>IFERROR(VLOOKUP(D115,ErrorList!$A$1:$C$2305,3,FALSE),"-")</f>
        <v xml:space="preserve"> In Buffer Tray Flow Forward Sol  동작이 실패 하였습니다.</v>
      </c>
      <c r="G115" s="68"/>
      <c r="H115" s="68"/>
      <c r="I115" s="68"/>
      <c r="J115" s="68"/>
      <c r="K115" s="68"/>
      <c r="L115" s="68"/>
      <c r="M115" s="68"/>
      <c r="N115" s="69"/>
      <c r="O115" s="70" t="s">
        <v>2349</v>
      </c>
      <c r="P115" s="71"/>
      <c r="Q115" s="71"/>
      <c r="R115" s="71"/>
      <c r="S115" s="71"/>
      <c r="T115" s="71"/>
      <c r="U115" s="71"/>
      <c r="V115" s="72"/>
      <c r="W115" s="50">
        <v>0.96458333333333335</v>
      </c>
      <c r="X115" s="65" t="str">
        <f>IFERROR(VLOOKUP(D115,ErrorList!$A$1:$C$2305,2,FALSE),"-")</f>
        <v>[SETPLATE_BUFFER]</v>
      </c>
      <c r="Y115" s="66"/>
      <c r="Z115" s="46"/>
      <c r="AA115" s="47"/>
      <c r="AB115" s="31"/>
      <c r="AC115" s="46"/>
      <c r="AD115" s="47"/>
      <c r="AE115" s="48"/>
      <c r="AF115" s="48"/>
      <c r="AG115" s="48"/>
      <c r="AH115" s="48"/>
      <c r="AI115" s="22"/>
      <c r="AJ115" s="22"/>
      <c r="AK115" s="22"/>
      <c r="AL115" s="22"/>
      <c r="AM115" s="22"/>
      <c r="AN115" s="22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</row>
    <row r="116" spans="1:89" s="30" customFormat="1" ht="32.25" customHeight="1" x14ac:dyDescent="0.4">
      <c r="A116" s="76"/>
      <c r="B116" s="64"/>
      <c r="C116" s="64"/>
      <c r="D116" s="26">
        <v>2264</v>
      </c>
      <c r="E116" s="26">
        <v>1</v>
      </c>
      <c r="F116" s="67" t="str">
        <f>IFERROR(VLOOKUP(D116,ErrorList!$A$1:$C$2305,3,FALSE),"-")</f>
        <v xml:space="preserve"> ReJect Stacker C-Tray Bottom Base Input Check    센서가 감지되지 않았습니다.</v>
      </c>
      <c r="G116" s="68"/>
      <c r="H116" s="68"/>
      <c r="I116" s="68"/>
      <c r="J116" s="68"/>
      <c r="K116" s="68"/>
      <c r="L116" s="68"/>
      <c r="M116" s="68"/>
      <c r="N116" s="69"/>
      <c r="O116" s="70" t="s">
        <v>2331</v>
      </c>
      <c r="P116" s="71"/>
      <c r="Q116" s="71"/>
      <c r="R116" s="71"/>
      <c r="S116" s="71"/>
      <c r="T116" s="71"/>
      <c r="U116" s="71"/>
      <c r="V116" s="72"/>
      <c r="W116" s="50">
        <v>0.94930555555555551</v>
      </c>
      <c r="X116" s="65" t="str">
        <f>IFERROR(VLOOKUP(D116,ErrorList!$A$1:$C$2305,2,FALSE),"-")</f>
        <v>[STACKER]</v>
      </c>
      <c r="Y116" s="66"/>
      <c r="Z116" s="46"/>
      <c r="AA116" s="47"/>
      <c r="AB116" s="31"/>
      <c r="AC116" s="46"/>
      <c r="AD116" s="47"/>
      <c r="AE116" s="48"/>
      <c r="AF116" s="48"/>
      <c r="AG116" s="48"/>
      <c r="AH116" s="48"/>
      <c r="AI116" s="22"/>
      <c r="AJ116" s="22"/>
      <c r="AK116" s="22"/>
      <c r="AL116" s="22"/>
      <c r="AM116" s="22"/>
      <c r="AN116" s="22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</row>
    <row r="117" spans="1:89" s="30" customFormat="1" ht="61.2" customHeight="1" x14ac:dyDescent="0.4">
      <c r="A117" s="74">
        <v>46154</v>
      </c>
      <c r="B117" s="63">
        <v>11028</v>
      </c>
      <c r="C117" s="63"/>
      <c r="D117" s="26">
        <v>12384</v>
      </c>
      <c r="E117" s="26">
        <v>1</v>
      </c>
      <c r="F117" s="67" t="str">
        <f>IFERROR(VLOOKUP(D117,ErrorList!$A$1:$C$2305,3,FALSE),"-")</f>
        <v xml:space="preserve"> Loader Transfer Head Tray Check   센서가 감지되지 않았습니다.</v>
      </c>
      <c r="G117" s="68"/>
      <c r="H117" s="68"/>
      <c r="I117" s="68"/>
      <c r="J117" s="68"/>
      <c r="K117" s="68"/>
      <c r="L117" s="68"/>
      <c r="M117" s="68"/>
      <c r="N117" s="69"/>
      <c r="O117" s="70" t="s">
        <v>2350</v>
      </c>
      <c r="P117" s="71"/>
      <c r="Q117" s="71"/>
      <c r="R117" s="71"/>
      <c r="S117" s="71"/>
      <c r="T117" s="71"/>
      <c r="U117" s="71"/>
      <c r="V117" s="72"/>
      <c r="W117" s="50">
        <v>0.79166666666666663</v>
      </c>
      <c r="X117" s="65" t="str">
        <f>IFERROR(VLOOKUP(D117,ErrorList!$A$1:$C$2305,2,FALSE),"-")</f>
        <v>[TRANSFER]</v>
      </c>
      <c r="Y117" s="66"/>
      <c r="Z117" s="46"/>
      <c r="AA117" s="47"/>
      <c r="AB117" s="31"/>
      <c r="AC117" s="46"/>
      <c r="AD117" s="47"/>
      <c r="AE117" s="48"/>
      <c r="AF117" s="48"/>
      <c r="AG117" s="48"/>
      <c r="AH117" s="48"/>
      <c r="AI117" s="22"/>
      <c r="AJ117" s="22"/>
      <c r="AK117" s="22"/>
      <c r="AL117" s="22"/>
      <c r="AM117" s="22"/>
      <c r="AN117" s="22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</row>
    <row r="118" spans="1:89" s="30" customFormat="1" ht="32.25" customHeight="1" x14ac:dyDescent="0.4">
      <c r="A118" s="75"/>
      <c r="B118" s="73"/>
      <c r="C118" s="73"/>
      <c r="D118" s="26">
        <v>2264</v>
      </c>
      <c r="E118" s="26">
        <v>1</v>
      </c>
      <c r="F118" s="67" t="str">
        <f>IFERROR(VLOOKUP(D118,ErrorList!$A$1:$C$2305,3,FALSE),"-")</f>
        <v xml:space="preserve"> ReJect Stacker C-Tray Bottom Base Input Check    센서가 감지되지 않았습니다.</v>
      </c>
      <c r="G118" s="68"/>
      <c r="H118" s="68"/>
      <c r="I118" s="68"/>
      <c r="J118" s="68"/>
      <c r="K118" s="68"/>
      <c r="L118" s="68"/>
      <c r="M118" s="68"/>
      <c r="N118" s="69"/>
      <c r="O118" s="70" t="s">
        <v>2331</v>
      </c>
      <c r="P118" s="71"/>
      <c r="Q118" s="71"/>
      <c r="R118" s="71"/>
      <c r="S118" s="71"/>
      <c r="T118" s="71"/>
      <c r="U118" s="71"/>
      <c r="V118" s="72"/>
      <c r="W118" s="50">
        <v>0.45277777777777778</v>
      </c>
      <c r="X118" s="65" t="str">
        <f>IFERROR(VLOOKUP(D118,ErrorList!$A$1:$C$2305,2,FALSE),"-")</f>
        <v>[STACKER]</v>
      </c>
      <c r="Y118" s="66"/>
      <c r="Z118" s="46"/>
      <c r="AA118" s="47"/>
      <c r="AB118" s="31"/>
      <c r="AC118" s="46"/>
      <c r="AD118" s="47"/>
      <c r="AE118" s="48"/>
      <c r="AF118" s="48"/>
      <c r="AG118" s="48"/>
      <c r="AH118" s="48"/>
      <c r="AI118" s="22"/>
      <c r="AJ118" s="22"/>
      <c r="AK118" s="22"/>
      <c r="AL118" s="22"/>
      <c r="AM118" s="22"/>
      <c r="AN118" s="22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</row>
    <row r="119" spans="1:89" s="30" customFormat="1" ht="64.2" customHeight="1" x14ac:dyDescent="0.4">
      <c r="A119" s="75"/>
      <c r="B119" s="73"/>
      <c r="C119" s="73"/>
      <c r="D119" s="26">
        <v>44106</v>
      </c>
      <c r="E119" s="26">
        <v>7</v>
      </c>
      <c r="F119" s="67" t="str">
        <f>IFERROR(VLOOKUP(D119,ErrorList!$A$1:$C$2305,3,FALSE),"-")</f>
        <v xml:space="preserve"> In Buffer Tray Flow Forward Sol  동작이 실패 하였습니다.</v>
      </c>
      <c r="G119" s="68"/>
      <c r="H119" s="68"/>
      <c r="I119" s="68"/>
      <c r="J119" s="68"/>
      <c r="K119" s="68"/>
      <c r="L119" s="68"/>
      <c r="M119" s="68"/>
      <c r="N119" s="69"/>
      <c r="O119" s="70" t="s">
        <v>2349</v>
      </c>
      <c r="P119" s="71"/>
      <c r="Q119" s="71"/>
      <c r="R119" s="71"/>
      <c r="S119" s="71"/>
      <c r="T119" s="71"/>
      <c r="U119" s="71"/>
      <c r="V119" s="72"/>
      <c r="W119" s="51" t="s">
        <v>2348</v>
      </c>
      <c r="X119" s="65" t="str">
        <f>IFERROR(VLOOKUP(D119,ErrorList!$A$1:$C$2305,2,FALSE),"-")</f>
        <v>[SETPLATE_BUFFER]</v>
      </c>
      <c r="Y119" s="66"/>
      <c r="Z119" s="46"/>
      <c r="AA119" s="47"/>
      <c r="AB119" s="31"/>
      <c r="AC119" s="46"/>
      <c r="AD119" s="47"/>
      <c r="AE119" s="48"/>
      <c r="AF119" s="48"/>
      <c r="AG119" s="48"/>
      <c r="AH119" s="48"/>
      <c r="AI119" s="22"/>
      <c r="AJ119" s="22"/>
      <c r="AK119" s="22"/>
      <c r="AL119" s="22"/>
      <c r="AM119" s="22"/>
      <c r="AN119" s="22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</row>
    <row r="120" spans="1:89" s="30" customFormat="1" ht="32.25" customHeight="1" x14ac:dyDescent="0.4">
      <c r="A120" s="76"/>
      <c r="B120" s="64"/>
      <c r="C120" s="64"/>
      <c r="D120" s="26">
        <v>70941</v>
      </c>
      <c r="E120" s="52">
        <v>4</v>
      </c>
      <c r="F120" s="67" t="str">
        <f>IFERROR(VLOOKUP(D120,ErrorList!$A$1:$C$2305,3,FALSE),"-")</f>
        <v xml:space="preserve"> Rear Test Site Top Tray Lp-cam Insert Rear Rotation Check   센서가 감지되었습니다.</v>
      </c>
      <c r="G120" s="68"/>
      <c r="H120" s="68"/>
      <c r="I120" s="68"/>
      <c r="J120" s="68"/>
      <c r="K120" s="68"/>
      <c r="L120" s="68"/>
      <c r="M120" s="68"/>
      <c r="N120" s="69"/>
      <c r="O120" s="70" t="s">
        <v>2346</v>
      </c>
      <c r="P120" s="71"/>
      <c r="Q120" s="71"/>
      <c r="R120" s="71"/>
      <c r="S120" s="71"/>
      <c r="T120" s="71"/>
      <c r="U120" s="71"/>
      <c r="V120" s="72"/>
      <c r="W120" s="51" t="s">
        <v>2347</v>
      </c>
      <c r="X120" s="65" t="str">
        <f>IFERROR(VLOOKUP(D120,ErrorList!$A$1:$C$2305,2,FALSE),"-")</f>
        <v>[TEST_SITE]</v>
      </c>
      <c r="Y120" s="66"/>
      <c r="Z120" s="46"/>
      <c r="AA120" s="47"/>
      <c r="AB120" s="31"/>
      <c r="AC120" s="46"/>
      <c r="AD120" s="47"/>
      <c r="AE120" s="48"/>
      <c r="AF120" s="48"/>
      <c r="AG120" s="48"/>
      <c r="AH120" s="48"/>
      <c r="AI120" s="22"/>
      <c r="AJ120" s="22"/>
      <c r="AK120" s="22"/>
      <c r="AL120" s="22"/>
      <c r="AM120" s="22"/>
      <c r="AN120" s="22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</row>
    <row r="121" spans="1:89" s="30" customFormat="1" ht="32.25" customHeight="1" x14ac:dyDescent="0.4">
      <c r="A121" s="45">
        <v>46153</v>
      </c>
      <c r="B121" s="26">
        <v>8178</v>
      </c>
      <c r="C121" s="26"/>
      <c r="D121" s="26">
        <v>5179</v>
      </c>
      <c r="E121" s="26">
        <v>1</v>
      </c>
      <c r="F121" s="67" t="s">
        <v>2322</v>
      </c>
      <c r="G121" s="68"/>
      <c r="H121" s="68"/>
      <c r="I121" s="68"/>
      <c r="J121" s="68"/>
      <c r="K121" s="68"/>
      <c r="L121" s="68"/>
      <c r="M121" s="68"/>
      <c r="N121" s="69"/>
      <c r="O121" s="133" t="s">
        <v>2329</v>
      </c>
      <c r="P121" s="134"/>
      <c r="Q121" s="134"/>
      <c r="R121" s="134"/>
      <c r="S121" s="134"/>
      <c r="T121" s="134"/>
      <c r="U121" s="134"/>
      <c r="V121" s="135"/>
      <c r="W121" s="50">
        <v>0.63888888888888884</v>
      </c>
      <c r="X121" s="65" t="s">
        <v>2328</v>
      </c>
      <c r="Y121" s="66"/>
      <c r="Z121" s="46"/>
      <c r="AA121" s="47"/>
      <c r="AB121" s="31"/>
      <c r="AC121" s="46"/>
      <c r="AD121" s="47"/>
      <c r="AE121" s="48"/>
      <c r="AF121" s="48"/>
      <c r="AG121" s="48"/>
      <c r="AH121" s="48"/>
      <c r="AI121" s="22"/>
      <c r="AJ121" s="22"/>
      <c r="AK121" s="22"/>
      <c r="AL121" s="22"/>
      <c r="AM121" s="22"/>
      <c r="AN121" s="22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</row>
    <row r="122" spans="1:89" s="30" customFormat="1" ht="32.25" customHeight="1" x14ac:dyDescent="0.4">
      <c r="A122" s="45">
        <v>46152</v>
      </c>
      <c r="B122" s="26">
        <v>327</v>
      </c>
      <c r="C122" s="26">
        <v>0</v>
      </c>
      <c r="D122" s="26"/>
      <c r="E122" s="26"/>
      <c r="F122" s="67" t="str">
        <f>IFERROR(VLOOKUP(D122,ErrorList!$A$1:$C$2305,3,FALSE),"-")</f>
        <v>-</v>
      </c>
      <c r="G122" s="68"/>
      <c r="H122" s="68"/>
      <c r="I122" s="68"/>
      <c r="J122" s="68"/>
      <c r="K122" s="68"/>
      <c r="L122" s="68"/>
      <c r="M122" s="68"/>
      <c r="N122" s="69"/>
      <c r="O122" s="70"/>
      <c r="P122" s="71"/>
      <c r="Q122" s="71"/>
      <c r="R122" s="71"/>
      <c r="S122" s="71"/>
      <c r="T122" s="71"/>
      <c r="U122" s="71"/>
      <c r="V122" s="72"/>
      <c r="W122" s="50"/>
      <c r="X122" s="65" t="str">
        <f>IFERROR(VLOOKUP(D122,ErrorList!$A$1:$C$2305,2,FALSE),"-")</f>
        <v>-</v>
      </c>
      <c r="Y122" s="66"/>
      <c r="Z122" s="46"/>
      <c r="AA122" s="47"/>
      <c r="AB122" s="31"/>
      <c r="AC122" s="46"/>
      <c r="AD122" s="47"/>
      <c r="AE122" s="48"/>
      <c r="AF122" s="48"/>
      <c r="AG122" s="48"/>
      <c r="AH122" s="48"/>
      <c r="AI122" s="22"/>
      <c r="AJ122" s="22"/>
      <c r="AK122" s="22"/>
      <c r="AL122" s="22"/>
      <c r="AM122" s="22"/>
      <c r="AN122" s="22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</row>
    <row r="123" spans="1:89" s="30" customFormat="1" ht="32.25" customHeight="1" x14ac:dyDescent="0.4">
      <c r="A123" s="45">
        <v>46151</v>
      </c>
      <c r="B123" s="26">
        <v>0</v>
      </c>
      <c r="C123" s="26">
        <v>0</v>
      </c>
      <c r="D123" s="26"/>
      <c r="E123" s="26"/>
      <c r="F123" s="67" t="str">
        <f>IFERROR(VLOOKUP(D123,ErrorList!$A$1:$C$2305,3,FALSE),"-")</f>
        <v>-</v>
      </c>
      <c r="G123" s="68"/>
      <c r="H123" s="68"/>
      <c r="I123" s="68"/>
      <c r="J123" s="68"/>
      <c r="K123" s="68"/>
      <c r="L123" s="68"/>
      <c r="M123" s="68"/>
      <c r="N123" s="69"/>
      <c r="O123" s="70"/>
      <c r="P123" s="71"/>
      <c r="Q123" s="71"/>
      <c r="R123" s="71"/>
      <c r="S123" s="71"/>
      <c r="T123" s="71"/>
      <c r="U123" s="71"/>
      <c r="V123" s="72"/>
      <c r="W123" s="50"/>
      <c r="X123" s="65" t="str">
        <f>IFERROR(VLOOKUP(D123,ErrorList!$A$1:$C$2305,2,FALSE),"-")</f>
        <v>-</v>
      </c>
      <c r="Y123" s="66"/>
      <c r="Z123" s="46"/>
      <c r="AA123" s="47"/>
      <c r="AB123" s="31"/>
      <c r="AC123" s="46"/>
      <c r="AD123" s="47"/>
      <c r="AE123" s="48"/>
      <c r="AF123" s="48"/>
      <c r="AG123" s="48"/>
      <c r="AH123" s="48"/>
      <c r="AI123" s="22"/>
      <c r="AJ123" s="22"/>
      <c r="AK123" s="22"/>
      <c r="AL123" s="22"/>
      <c r="AM123" s="22"/>
      <c r="AN123" s="22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</row>
    <row r="124" spans="1:89" s="30" customFormat="1" ht="32.25" customHeight="1" x14ac:dyDescent="0.4">
      <c r="A124" s="45">
        <v>46150</v>
      </c>
      <c r="B124" s="26">
        <v>0</v>
      </c>
      <c r="C124" s="26">
        <v>0</v>
      </c>
      <c r="D124" s="26"/>
      <c r="E124" s="26"/>
      <c r="F124" s="67" t="str">
        <f>IFERROR(VLOOKUP(D124,ErrorList!$A$1:$C$2305,3,FALSE),"-")</f>
        <v>-</v>
      </c>
      <c r="G124" s="68"/>
      <c r="H124" s="68"/>
      <c r="I124" s="68"/>
      <c r="J124" s="68"/>
      <c r="K124" s="68"/>
      <c r="L124" s="68"/>
      <c r="M124" s="68"/>
      <c r="N124" s="69"/>
      <c r="O124" s="70"/>
      <c r="P124" s="71"/>
      <c r="Q124" s="71"/>
      <c r="R124" s="71"/>
      <c r="S124" s="71"/>
      <c r="T124" s="71"/>
      <c r="U124" s="71"/>
      <c r="V124" s="72"/>
      <c r="W124" s="50"/>
      <c r="X124" s="65" t="str">
        <f>IFERROR(VLOOKUP(D124,ErrorList!$A$1:$C$2305,2,FALSE),"-")</f>
        <v>-</v>
      </c>
      <c r="Y124" s="66"/>
      <c r="Z124" s="46"/>
      <c r="AA124" s="47"/>
      <c r="AB124" s="31"/>
      <c r="AC124" s="46"/>
      <c r="AD124" s="47"/>
      <c r="AE124" s="48"/>
      <c r="AF124" s="48"/>
      <c r="AG124" s="48"/>
      <c r="AH124" s="48"/>
      <c r="AI124" s="22"/>
      <c r="AJ124" s="22"/>
      <c r="AK124" s="22"/>
      <c r="AL124" s="22"/>
      <c r="AM124" s="22"/>
      <c r="AN124" s="22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</row>
    <row r="125" spans="1:89" s="30" customFormat="1" ht="32.25" customHeight="1" x14ac:dyDescent="0.4">
      <c r="A125" s="45">
        <v>46149</v>
      </c>
      <c r="B125" s="26">
        <v>0</v>
      </c>
      <c r="C125" s="26">
        <v>0</v>
      </c>
      <c r="D125" s="26"/>
      <c r="E125" s="26"/>
      <c r="F125" s="67" t="str">
        <f>IFERROR(VLOOKUP(D125,ErrorList!$A$1:$C$2305,3,FALSE),"-")</f>
        <v>-</v>
      </c>
      <c r="G125" s="68"/>
      <c r="H125" s="68"/>
      <c r="I125" s="68"/>
      <c r="J125" s="68"/>
      <c r="K125" s="68"/>
      <c r="L125" s="68"/>
      <c r="M125" s="68"/>
      <c r="N125" s="69"/>
      <c r="O125" s="70"/>
      <c r="P125" s="71"/>
      <c r="Q125" s="71"/>
      <c r="R125" s="71"/>
      <c r="S125" s="71"/>
      <c r="T125" s="71"/>
      <c r="U125" s="71"/>
      <c r="V125" s="72"/>
      <c r="W125" s="50"/>
      <c r="X125" s="65" t="str">
        <f>IFERROR(VLOOKUP(D125,ErrorList!$A$1:$C$2305,2,FALSE),"-")</f>
        <v>-</v>
      </c>
      <c r="Y125" s="66"/>
      <c r="Z125" s="46"/>
      <c r="AA125" s="47"/>
      <c r="AB125" s="31"/>
      <c r="AC125" s="46"/>
      <c r="AD125" s="47"/>
      <c r="AE125" s="48"/>
      <c r="AF125" s="48"/>
      <c r="AG125" s="48"/>
      <c r="AH125" s="48"/>
      <c r="AI125" s="22"/>
      <c r="AJ125" s="22"/>
      <c r="AK125" s="22"/>
      <c r="AL125" s="22"/>
      <c r="AM125" s="22"/>
      <c r="AN125" s="22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</row>
    <row r="126" spans="1:89" s="30" customFormat="1" ht="32.25" customHeight="1" x14ac:dyDescent="0.4">
      <c r="A126" s="74">
        <v>46148</v>
      </c>
      <c r="B126" s="63">
        <v>10612</v>
      </c>
      <c r="C126" s="63"/>
      <c r="D126" s="26">
        <v>2172</v>
      </c>
      <c r="E126" s="26">
        <v>1</v>
      </c>
      <c r="F126" s="67" t="str">
        <f>IFERROR(VLOOKUP(D126,ErrorList!$A$1:$C$2305,3,FALSE),"-")</f>
        <v xml:space="preserve"> LD#1 Stacker Manual C-Tray Front Stopper Check   센서가 감지되지 않았습니다.</v>
      </c>
      <c r="G126" s="68"/>
      <c r="H126" s="68"/>
      <c r="I126" s="68"/>
      <c r="J126" s="68"/>
      <c r="K126" s="68"/>
      <c r="L126" s="68"/>
      <c r="M126" s="68"/>
      <c r="N126" s="69"/>
      <c r="O126" s="70" t="s">
        <v>2342</v>
      </c>
      <c r="P126" s="71"/>
      <c r="Q126" s="71"/>
      <c r="R126" s="71"/>
      <c r="S126" s="71"/>
      <c r="T126" s="71"/>
      <c r="U126" s="71"/>
      <c r="V126" s="72"/>
      <c r="W126" s="50">
        <v>0.75624999999999998</v>
      </c>
      <c r="X126" s="65" t="str">
        <f>IFERROR(VLOOKUP(D126,ErrorList!$A$1:$C$2305,2,FALSE),"-")</f>
        <v>[STACKER]</v>
      </c>
      <c r="Y126" s="66"/>
      <c r="Z126" s="46"/>
      <c r="AA126" s="47"/>
      <c r="AB126" s="31"/>
      <c r="AC126" s="46"/>
      <c r="AD126" s="47"/>
      <c r="AE126" s="48"/>
      <c r="AF126" s="48"/>
      <c r="AG126" s="48"/>
      <c r="AH126" s="48"/>
      <c r="AI126" s="22"/>
      <c r="AJ126" s="22"/>
      <c r="AK126" s="22"/>
      <c r="AL126" s="22"/>
      <c r="AM126" s="22"/>
      <c r="AN126" s="22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</row>
    <row r="127" spans="1:89" s="30" customFormat="1" ht="32.25" customHeight="1" x14ac:dyDescent="0.4">
      <c r="A127" s="75"/>
      <c r="B127" s="73"/>
      <c r="C127" s="73"/>
      <c r="D127" s="26">
        <v>27026</v>
      </c>
      <c r="E127" s="26">
        <v>1</v>
      </c>
      <c r="F127" s="67" t="s">
        <v>2337</v>
      </c>
      <c r="G127" s="68"/>
      <c r="H127" s="68"/>
      <c r="I127" s="68"/>
      <c r="J127" s="68"/>
      <c r="K127" s="68"/>
      <c r="L127" s="68"/>
      <c r="M127" s="68"/>
      <c r="N127" s="69"/>
      <c r="O127" s="70" t="s">
        <v>2345</v>
      </c>
      <c r="P127" s="71"/>
      <c r="Q127" s="71"/>
      <c r="R127" s="71"/>
      <c r="S127" s="71"/>
      <c r="T127" s="71"/>
      <c r="U127" s="71"/>
      <c r="V127" s="72"/>
      <c r="W127" s="50">
        <v>0.62222222222222223</v>
      </c>
      <c r="X127" s="65" t="s">
        <v>2320</v>
      </c>
      <c r="Y127" s="66"/>
      <c r="Z127" s="46"/>
      <c r="AA127" s="47"/>
      <c r="AB127" s="31"/>
      <c r="AC127" s="46"/>
      <c r="AD127" s="47"/>
      <c r="AE127" s="48"/>
      <c r="AF127" s="48"/>
      <c r="AG127" s="48"/>
      <c r="AH127" s="48"/>
      <c r="AI127" s="22"/>
      <c r="AJ127" s="22"/>
      <c r="AK127" s="22"/>
      <c r="AL127" s="22"/>
      <c r="AM127" s="22"/>
      <c r="AN127" s="22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</row>
    <row r="128" spans="1:89" s="30" customFormat="1" ht="32.25" customHeight="1" x14ac:dyDescent="0.4">
      <c r="A128" s="76"/>
      <c r="B128" s="64"/>
      <c r="C128" s="64"/>
      <c r="D128" s="26">
        <v>77012</v>
      </c>
      <c r="E128" s="26">
        <v>1</v>
      </c>
      <c r="F128" s="67" t="s">
        <v>2343</v>
      </c>
      <c r="G128" s="68"/>
      <c r="H128" s="68"/>
      <c r="I128" s="68"/>
      <c r="J128" s="68"/>
      <c r="K128" s="68"/>
      <c r="L128" s="68"/>
      <c r="M128" s="68"/>
      <c r="N128" s="69"/>
      <c r="O128" s="70" t="s">
        <v>2344</v>
      </c>
      <c r="P128" s="71"/>
      <c r="Q128" s="71"/>
      <c r="R128" s="71"/>
      <c r="S128" s="71"/>
      <c r="T128" s="71"/>
      <c r="U128" s="71"/>
      <c r="V128" s="72"/>
      <c r="W128" s="50">
        <v>0.5229166666666667</v>
      </c>
      <c r="X128" s="65" t="s">
        <v>2335</v>
      </c>
      <c r="Y128" s="66"/>
      <c r="Z128" s="46"/>
      <c r="AA128" s="47"/>
      <c r="AB128" s="31"/>
      <c r="AC128" s="46"/>
      <c r="AD128" s="47"/>
      <c r="AE128" s="48"/>
      <c r="AF128" s="48"/>
      <c r="AG128" s="48"/>
      <c r="AH128" s="48"/>
      <c r="AI128" s="22"/>
      <c r="AJ128" s="22"/>
      <c r="AK128" s="22"/>
      <c r="AL128" s="22"/>
      <c r="AM128" s="22"/>
      <c r="AN128" s="22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</row>
    <row r="129" spans="1:89" s="30" customFormat="1" ht="31.8" customHeight="1" x14ac:dyDescent="0.4">
      <c r="A129" s="74">
        <v>46147</v>
      </c>
      <c r="B129" s="63">
        <v>9958</v>
      </c>
      <c r="C129" s="63"/>
      <c r="D129" s="26">
        <v>171</v>
      </c>
      <c r="E129" s="26">
        <v>1</v>
      </c>
      <c r="F129" s="67" t="str">
        <f>IFERROR(VLOOKUP(D129,ErrorList!$A$1:$C$2305,3,FALSE),"-")</f>
        <v xml:space="preserve"> LD#1 Stacker Manual C-Tray Input Check   센서가 감지되었습니다.</v>
      </c>
      <c r="G129" s="68"/>
      <c r="H129" s="68"/>
      <c r="I129" s="68"/>
      <c r="J129" s="68"/>
      <c r="K129" s="68"/>
      <c r="L129" s="68"/>
      <c r="M129" s="68"/>
      <c r="N129" s="69"/>
      <c r="O129" s="70" t="s">
        <v>2342</v>
      </c>
      <c r="P129" s="71"/>
      <c r="Q129" s="71"/>
      <c r="R129" s="71"/>
      <c r="S129" s="71"/>
      <c r="T129" s="71"/>
      <c r="U129" s="71"/>
      <c r="V129" s="72"/>
      <c r="W129" s="50">
        <v>0.45624999999999999</v>
      </c>
      <c r="X129" s="65" t="str">
        <f>IFERROR(VLOOKUP(D129,ErrorList!$A$1:$C$2305,2,FALSE),"-")</f>
        <v>[STACKER]</v>
      </c>
      <c r="Y129" s="66"/>
      <c r="Z129" s="46"/>
      <c r="AA129" s="47"/>
      <c r="AB129" s="31"/>
      <c r="AC129" s="46"/>
      <c r="AD129" s="47"/>
      <c r="AE129" s="48"/>
      <c r="AF129" s="48"/>
      <c r="AG129" s="48"/>
      <c r="AH129" s="48"/>
      <c r="AI129" s="22"/>
      <c r="AJ129" s="22"/>
      <c r="AK129" s="22"/>
      <c r="AL129" s="22"/>
      <c r="AM129" s="22"/>
      <c r="AN129" s="22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</row>
    <row r="130" spans="1:89" s="30" customFormat="1" ht="39.6" customHeight="1" x14ac:dyDescent="0.4">
      <c r="A130" s="75"/>
      <c r="B130" s="73"/>
      <c r="C130" s="73"/>
      <c r="D130" s="26">
        <v>27025</v>
      </c>
      <c r="E130" s="26">
        <v>1</v>
      </c>
      <c r="F130" s="136" t="s">
        <v>2339</v>
      </c>
      <c r="G130" s="68"/>
      <c r="H130" s="68"/>
      <c r="I130" s="68"/>
      <c r="J130" s="68"/>
      <c r="K130" s="68"/>
      <c r="L130" s="68"/>
      <c r="M130" s="68"/>
      <c r="N130" s="69"/>
      <c r="O130" s="70" t="s">
        <v>2340</v>
      </c>
      <c r="P130" s="71"/>
      <c r="Q130" s="71"/>
      <c r="R130" s="71"/>
      <c r="S130" s="71"/>
      <c r="T130" s="71"/>
      <c r="U130" s="71"/>
      <c r="V130" s="72"/>
      <c r="W130" s="50">
        <v>0.25</v>
      </c>
      <c r="X130" s="65" t="s">
        <v>2320</v>
      </c>
      <c r="Y130" s="66"/>
      <c r="Z130" s="46"/>
      <c r="AA130" s="47"/>
      <c r="AB130" s="31"/>
      <c r="AC130" s="46"/>
      <c r="AD130" s="47"/>
      <c r="AE130" s="48"/>
      <c r="AF130" s="48"/>
      <c r="AG130" s="48"/>
      <c r="AH130" s="48"/>
      <c r="AI130" s="22"/>
      <c r="AJ130" s="22"/>
      <c r="AK130" s="22"/>
      <c r="AL130" s="22"/>
      <c r="AM130" s="22"/>
      <c r="AN130" s="22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</row>
    <row r="131" spans="1:89" s="30" customFormat="1" ht="32.25" customHeight="1" x14ac:dyDescent="0.4">
      <c r="A131" s="76"/>
      <c r="B131" s="64"/>
      <c r="C131" s="64"/>
      <c r="D131" s="26">
        <v>27026</v>
      </c>
      <c r="E131" s="26">
        <v>3</v>
      </c>
      <c r="F131" s="67" t="s">
        <v>2337</v>
      </c>
      <c r="G131" s="68"/>
      <c r="H131" s="68"/>
      <c r="I131" s="68"/>
      <c r="J131" s="68"/>
      <c r="K131" s="68"/>
      <c r="L131" s="68"/>
      <c r="M131" s="68"/>
      <c r="N131" s="69"/>
      <c r="O131" s="70" t="s">
        <v>2338</v>
      </c>
      <c r="P131" s="71"/>
      <c r="Q131" s="71"/>
      <c r="R131" s="71"/>
      <c r="S131" s="71"/>
      <c r="T131" s="71"/>
      <c r="U131" s="71"/>
      <c r="V131" s="72"/>
      <c r="W131" s="51" t="s">
        <v>2341</v>
      </c>
      <c r="X131" s="65" t="s">
        <v>2320</v>
      </c>
      <c r="Y131" s="66"/>
      <c r="Z131" s="46"/>
      <c r="AA131" s="47"/>
      <c r="AB131" s="31"/>
      <c r="AC131" s="46"/>
      <c r="AD131" s="47"/>
      <c r="AE131" s="48"/>
      <c r="AF131" s="48"/>
      <c r="AG131" s="48"/>
      <c r="AH131" s="48"/>
      <c r="AI131" s="22"/>
      <c r="AJ131" s="22"/>
      <c r="AK131" s="22"/>
      <c r="AL131" s="22"/>
      <c r="AM131" s="22"/>
      <c r="AN131" s="22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</row>
    <row r="132" spans="1:89" s="30" customFormat="1" ht="32.25" customHeight="1" x14ac:dyDescent="0.4">
      <c r="A132" s="74">
        <v>46146</v>
      </c>
      <c r="B132" s="63">
        <v>9369</v>
      </c>
      <c r="C132" s="63"/>
      <c r="D132" s="26">
        <v>77010</v>
      </c>
      <c r="E132" s="26">
        <v>1</v>
      </c>
      <c r="F132" s="67" t="s">
        <v>2333</v>
      </c>
      <c r="G132" s="68"/>
      <c r="H132" s="68"/>
      <c r="I132" s="68"/>
      <c r="J132" s="68"/>
      <c r="K132" s="68"/>
      <c r="L132" s="68"/>
      <c r="M132" s="68"/>
      <c r="N132" s="69"/>
      <c r="O132" s="70" t="s">
        <v>2336</v>
      </c>
      <c r="P132" s="71"/>
      <c r="Q132" s="71"/>
      <c r="R132" s="71"/>
      <c r="S132" s="71"/>
      <c r="T132" s="71"/>
      <c r="U132" s="71"/>
      <c r="V132" s="72"/>
      <c r="W132" s="50">
        <v>0.82222222222222219</v>
      </c>
      <c r="X132" s="65" t="s">
        <v>2335</v>
      </c>
      <c r="Y132" s="66"/>
      <c r="Z132" s="46"/>
      <c r="AA132" s="47"/>
      <c r="AB132" s="31"/>
      <c r="AC132" s="46"/>
      <c r="AD132" s="47"/>
      <c r="AE132" s="48"/>
      <c r="AF132" s="48"/>
      <c r="AG132" s="48"/>
      <c r="AH132" s="48"/>
      <c r="AI132" s="22"/>
      <c r="AJ132" s="22"/>
      <c r="AK132" s="22"/>
      <c r="AL132" s="22"/>
      <c r="AM132" s="22"/>
      <c r="AN132" s="22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</row>
    <row r="133" spans="1:89" s="30" customFormat="1" ht="32.25" customHeight="1" x14ac:dyDescent="0.4">
      <c r="A133" s="75"/>
      <c r="B133" s="73"/>
      <c r="C133" s="73"/>
      <c r="D133" s="26">
        <v>77003</v>
      </c>
      <c r="E133" s="26">
        <v>1</v>
      </c>
      <c r="F133" s="67" t="s">
        <v>2332</v>
      </c>
      <c r="G133" s="68"/>
      <c r="H133" s="68"/>
      <c r="I133" s="68"/>
      <c r="J133" s="68"/>
      <c r="K133" s="68"/>
      <c r="L133" s="68"/>
      <c r="M133" s="68"/>
      <c r="N133" s="69"/>
      <c r="O133" s="70" t="s">
        <v>2336</v>
      </c>
      <c r="P133" s="71"/>
      <c r="Q133" s="71"/>
      <c r="R133" s="71"/>
      <c r="S133" s="71"/>
      <c r="T133" s="71"/>
      <c r="U133" s="71"/>
      <c r="V133" s="72"/>
      <c r="W133" s="50">
        <v>0.80972222222222223</v>
      </c>
      <c r="X133" s="65" t="s">
        <v>2335</v>
      </c>
      <c r="Y133" s="66"/>
      <c r="Z133" s="46"/>
      <c r="AA133" s="47"/>
      <c r="AB133" s="31"/>
      <c r="AC133" s="46"/>
      <c r="AD133" s="47"/>
      <c r="AE133" s="48"/>
      <c r="AF133" s="48"/>
      <c r="AG133" s="48"/>
      <c r="AH133" s="48"/>
      <c r="AI133" s="22"/>
      <c r="AJ133" s="22"/>
      <c r="AK133" s="22"/>
      <c r="AL133" s="22"/>
      <c r="AM133" s="22"/>
      <c r="AN133" s="22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</row>
    <row r="134" spans="1:89" s="30" customFormat="1" ht="32.25" customHeight="1" x14ac:dyDescent="0.4">
      <c r="A134" s="75"/>
      <c r="B134" s="64"/>
      <c r="C134" s="64"/>
      <c r="D134" s="26">
        <v>2264</v>
      </c>
      <c r="E134" s="26">
        <v>3</v>
      </c>
      <c r="F134" s="67" t="str">
        <f>IFERROR(VLOOKUP(D134,ErrorList!$A$1:$C$2305,3,FALSE),"-")</f>
        <v xml:space="preserve"> ReJect Stacker C-Tray Bottom Base Input Check    센서가 감지되지 않았습니다.</v>
      </c>
      <c r="G134" s="68"/>
      <c r="H134" s="68"/>
      <c r="I134" s="68"/>
      <c r="J134" s="68"/>
      <c r="K134" s="68"/>
      <c r="L134" s="68"/>
      <c r="M134" s="68"/>
      <c r="N134" s="69"/>
      <c r="O134" s="70" t="s">
        <v>2331</v>
      </c>
      <c r="P134" s="71"/>
      <c r="Q134" s="71"/>
      <c r="R134" s="71"/>
      <c r="S134" s="71"/>
      <c r="T134" s="71"/>
      <c r="U134" s="71"/>
      <c r="V134" s="72"/>
      <c r="W134" s="51" t="s">
        <v>2334</v>
      </c>
      <c r="X134" s="65" t="str">
        <f>IFERROR(VLOOKUP(D134,ErrorList!$A$1:$C$2305,2,FALSE),"-")</f>
        <v>[STACKER]</v>
      </c>
      <c r="Y134" s="66"/>
      <c r="Z134" s="46"/>
      <c r="AA134" s="47"/>
      <c r="AB134" s="31"/>
      <c r="AC134" s="46"/>
      <c r="AD134" s="47"/>
      <c r="AE134" s="48"/>
      <c r="AF134" s="48"/>
      <c r="AG134" s="48"/>
      <c r="AH134" s="48"/>
      <c r="AI134" s="22"/>
      <c r="AJ134" s="22"/>
      <c r="AK134" s="22"/>
      <c r="AL134" s="22"/>
      <c r="AM134" s="22"/>
      <c r="AN134" s="22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</row>
    <row r="135" spans="1:89" s="30" customFormat="1" ht="38.4" customHeight="1" x14ac:dyDescent="0.4">
      <c r="A135" s="75">
        <v>46145</v>
      </c>
      <c r="B135" s="63">
        <v>9736</v>
      </c>
      <c r="C135" s="63"/>
      <c r="D135" s="26">
        <v>40615</v>
      </c>
      <c r="E135" s="26">
        <v>1</v>
      </c>
      <c r="F135" s="67" t="s">
        <v>2323</v>
      </c>
      <c r="G135" s="68"/>
      <c r="H135" s="68"/>
      <c r="I135" s="68"/>
      <c r="J135" s="68"/>
      <c r="K135" s="68"/>
      <c r="L135" s="68"/>
      <c r="M135" s="68"/>
      <c r="N135" s="69"/>
      <c r="O135" s="133" t="s">
        <v>2330</v>
      </c>
      <c r="P135" s="134"/>
      <c r="Q135" s="134"/>
      <c r="R135" s="134"/>
      <c r="S135" s="134"/>
      <c r="T135" s="134"/>
      <c r="U135" s="134"/>
      <c r="V135" s="135"/>
      <c r="W135" s="50">
        <v>0.43333333333333335</v>
      </c>
      <c r="X135" s="65" t="s">
        <v>2327</v>
      </c>
      <c r="Y135" s="66"/>
      <c r="Z135" s="46"/>
      <c r="AA135" s="47"/>
      <c r="AB135" s="31"/>
      <c r="AC135" s="46"/>
      <c r="AD135" s="47"/>
      <c r="AE135" s="48"/>
      <c r="AF135" s="48"/>
      <c r="AG135" s="48"/>
      <c r="AH135" s="48"/>
      <c r="AI135" s="22"/>
      <c r="AJ135" s="22"/>
      <c r="AK135" s="22"/>
      <c r="AL135" s="22"/>
      <c r="AM135" s="22"/>
      <c r="AN135" s="22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</row>
    <row r="136" spans="1:89" s="30" customFormat="1" ht="33" customHeight="1" x14ac:dyDescent="0.4">
      <c r="A136" s="75"/>
      <c r="B136" s="73"/>
      <c r="C136" s="73"/>
      <c r="D136" s="26">
        <v>5179</v>
      </c>
      <c r="E136" s="26">
        <v>1</v>
      </c>
      <c r="F136" s="67" t="s">
        <v>2322</v>
      </c>
      <c r="G136" s="68"/>
      <c r="H136" s="68"/>
      <c r="I136" s="68"/>
      <c r="J136" s="68"/>
      <c r="K136" s="68"/>
      <c r="L136" s="68"/>
      <c r="M136" s="68"/>
      <c r="N136" s="69"/>
      <c r="O136" s="133" t="s">
        <v>2329</v>
      </c>
      <c r="P136" s="134"/>
      <c r="Q136" s="134"/>
      <c r="R136" s="134"/>
      <c r="S136" s="134"/>
      <c r="T136" s="134"/>
      <c r="U136" s="134"/>
      <c r="V136" s="135"/>
      <c r="W136" s="50">
        <v>0.29930555555555555</v>
      </c>
      <c r="X136" s="65" t="s">
        <v>2328</v>
      </c>
      <c r="Y136" s="66"/>
      <c r="Z136" s="46"/>
      <c r="AA136" s="47"/>
      <c r="AB136" s="31"/>
      <c r="AC136" s="46"/>
      <c r="AD136" s="47"/>
      <c r="AE136" s="48"/>
      <c r="AF136" s="48"/>
      <c r="AG136" s="48"/>
      <c r="AH136" s="48"/>
      <c r="AI136" s="22"/>
      <c r="AJ136" s="22"/>
      <c r="AK136" s="22"/>
      <c r="AL136" s="22"/>
      <c r="AM136" s="22"/>
      <c r="AN136" s="22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</row>
    <row r="137" spans="1:89" s="30" customFormat="1" ht="32.25" customHeight="1" x14ac:dyDescent="0.4">
      <c r="A137" s="75"/>
      <c r="B137" s="73"/>
      <c r="C137" s="73"/>
      <c r="D137" s="26">
        <v>104004</v>
      </c>
      <c r="E137" s="26">
        <v>1</v>
      </c>
      <c r="F137" s="67" t="str">
        <f>IFERROR(VLOOKUP(D137,ErrorList!$A$1:$C$2305,3,FALSE),"-")</f>
        <v xml:space="preserve"> UNLOAD_HAND_X 축이 모터 알람이 발생하였습니다. </v>
      </c>
      <c r="G137" s="68"/>
      <c r="H137" s="68"/>
      <c r="I137" s="68"/>
      <c r="J137" s="68"/>
      <c r="K137" s="68"/>
      <c r="L137" s="68"/>
      <c r="M137" s="68"/>
      <c r="N137" s="69"/>
      <c r="O137" s="70" t="s">
        <v>2325</v>
      </c>
      <c r="P137" s="71"/>
      <c r="Q137" s="71"/>
      <c r="R137" s="71"/>
      <c r="S137" s="71"/>
      <c r="T137" s="71"/>
      <c r="U137" s="71"/>
      <c r="V137" s="72"/>
      <c r="W137" s="50">
        <v>0.17152777777777778</v>
      </c>
      <c r="X137" s="65" t="str">
        <f>IFERROR(VLOOKUP(D137,ErrorList!$A$1:$C$2305,2,FALSE),"-")</f>
        <v>[MOTOR]</v>
      </c>
      <c r="Y137" s="66"/>
      <c r="Z137" s="46"/>
      <c r="AA137" s="47"/>
      <c r="AB137" s="31"/>
      <c r="AC137" s="46"/>
      <c r="AD137" s="47"/>
      <c r="AE137" s="48"/>
      <c r="AF137" s="48"/>
      <c r="AG137" s="48"/>
      <c r="AH137" s="48"/>
      <c r="AI137" s="22"/>
      <c r="AJ137" s="22"/>
      <c r="AK137" s="22"/>
      <c r="AL137" s="22"/>
      <c r="AM137" s="22"/>
      <c r="AN137" s="22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</row>
    <row r="138" spans="1:89" s="30" customFormat="1" ht="32.25" customHeight="1" x14ac:dyDescent="0.4">
      <c r="A138" s="75"/>
      <c r="B138" s="73"/>
      <c r="C138" s="73"/>
      <c r="D138" s="26">
        <v>44160</v>
      </c>
      <c r="E138" s="26">
        <v>2</v>
      </c>
      <c r="F138" s="67" t="s">
        <v>2321</v>
      </c>
      <c r="G138" s="68"/>
      <c r="H138" s="68"/>
      <c r="I138" s="68"/>
      <c r="J138" s="68"/>
      <c r="K138" s="68"/>
      <c r="L138" s="68"/>
      <c r="M138" s="68"/>
      <c r="N138" s="69"/>
      <c r="O138" s="70" t="s">
        <v>2324</v>
      </c>
      <c r="P138" s="71"/>
      <c r="Q138" s="71"/>
      <c r="R138" s="71"/>
      <c r="S138" s="71"/>
      <c r="T138" s="71"/>
      <c r="U138" s="71"/>
      <c r="V138" s="72"/>
      <c r="W138" s="50" t="s">
        <v>2326</v>
      </c>
      <c r="X138" s="65" t="s">
        <v>2327</v>
      </c>
      <c r="Y138" s="66"/>
      <c r="Z138" s="46"/>
      <c r="AA138" s="47"/>
      <c r="AB138" s="31"/>
      <c r="AC138" s="46"/>
      <c r="AD138" s="47"/>
      <c r="AE138" s="48"/>
      <c r="AF138" s="48"/>
      <c r="AG138" s="48"/>
      <c r="AH138" s="48"/>
      <c r="AI138" s="22"/>
      <c r="AJ138" s="22"/>
      <c r="AK138" s="22"/>
      <c r="AL138" s="22"/>
      <c r="AM138" s="22"/>
      <c r="AN138" s="22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</row>
    <row r="139" spans="1:89" s="30" customFormat="1" ht="37.200000000000003" customHeight="1" x14ac:dyDescent="0.4">
      <c r="A139" s="76"/>
      <c r="B139" s="64"/>
      <c r="C139" s="64"/>
      <c r="D139" s="26">
        <v>27014</v>
      </c>
      <c r="E139" s="26">
        <v>3</v>
      </c>
      <c r="F139" s="67" t="s">
        <v>2317</v>
      </c>
      <c r="G139" s="68"/>
      <c r="H139" s="68"/>
      <c r="I139" s="68"/>
      <c r="J139" s="68"/>
      <c r="K139" s="68"/>
      <c r="L139" s="68"/>
      <c r="M139" s="68"/>
      <c r="N139" s="69"/>
      <c r="O139" s="82" t="s">
        <v>2318</v>
      </c>
      <c r="P139" s="77"/>
      <c r="Q139" s="77"/>
      <c r="R139" s="77"/>
      <c r="S139" s="77"/>
      <c r="T139" s="77"/>
      <c r="U139" s="77"/>
      <c r="V139" s="78"/>
      <c r="W139" s="51" t="s">
        <v>2319</v>
      </c>
      <c r="X139" s="65" t="s">
        <v>2320</v>
      </c>
      <c r="Y139" s="66"/>
      <c r="Z139" s="79"/>
      <c r="AA139" s="80"/>
      <c r="AB139" s="31"/>
      <c r="AC139" s="79"/>
      <c r="AD139" s="80"/>
      <c r="AE139" s="81"/>
      <c r="AF139" s="81"/>
      <c r="AG139" s="81"/>
      <c r="AH139" s="81"/>
      <c r="AI139" s="22"/>
      <c r="AJ139" s="22"/>
      <c r="AK139" s="22"/>
      <c r="AL139" s="22"/>
      <c r="AM139" s="22"/>
      <c r="AN139" s="22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</row>
    <row r="140" spans="1:89" s="30" customFormat="1" ht="21" customHeight="1" x14ac:dyDescent="0.4">
      <c r="A140" s="45">
        <v>46144</v>
      </c>
      <c r="B140" s="26">
        <v>0</v>
      </c>
      <c r="C140" s="26">
        <v>0</v>
      </c>
      <c r="D140" s="26"/>
      <c r="E140" s="26">
        <v>0</v>
      </c>
      <c r="F140" s="67" t="str">
        <f>IFERROR(VLOOKUP(D140,ErrorList!$A$1:$C$2305,3,FALSE),"-")</f>
        <v>-</v>
      </c>
      <c r="G140" s="68"/>
      <c r="H140" s="68"/>
      <c r="I140" s="68"/>
      <c r="J140" s="68"/>
      <c r="K140" s="68"/>
      <c r="L140" s="68"/>
      <c r="M140" s="68"/>
      <c r="N140" s="69"/>
      <c r="O140" s="70"/>
      <c r="P140" s="77"/>
      <c r="Q140" s="77"/>
      <c r="R140" s="77"/>
      <c r="S140" s="77"/>
      <c r="T140" s="77"/>
      <c r="U140" s="77"/>
      <c r="V140" s="78"/>
      <c r="W140" s="50"/>
      <c r="X140" s="65" t="str">
        <f>IFERROR(VLOOKUP(D140,ErrorList!$A$1:$C$2305,2,FALSE),"-")</f>
        <v>-</v>
      </c>
      <c r="Y140" s="66"/>
      <c r="Z140" s="79"/>
      <c r="AA140" s="80"/>
      <c r="AB140" s="31"/>
      <c r="AC140" s="79"/>
      <c r="AD140" s="80"/>
      <c r="AE140" s="81"/>
      <c r="AF140" s="81"/>
      <c r="AG140" s="81"/>
      <c r="AH140" s="81"/>
      <c r="AI140" s="22"/>
      <c r="AJ140" s="22"/>
      <c r="AK140" s="22"/>
      <c r="AL140" s="22"/>
      <c r="AM140" s="22"/>
      <c r="AN140" s="22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</row>
    <row r="141" spans="1:89" s="30" customFormat="1" ht="16.5" customHeight="1" x14ac:dyDescent="0.4">
      <c r="A141" s="49">
        <v>46143</v>
      </c>
      <c r="B141" s="44">
        <v>0</v>
      </c>
      <c r="C141" s="26">
        <v>0</v>
      </c>
      <c r="D141" s="26"/>
      <c r="E141" s="26">
        <v>0</v>
      </c>
      <c r="F141" s="67" t="str">
        <f>IFERROR(VLOOKUP(D141,ErrorList!$A$1:$C$2305,3,FALSE),"-")</f>
        <v>-</v>
      </c>
      <c r="G141" s="68"/>
      <c r="H141" s="68"/>
      <c r="I141" s="68"/>
      <c r="J141" s="68"/>
      <c r="K141" s="68"/>
      <c r="L141" s="68"/>
      <c r="M141" s="68"/>
      <c r="N141" s="69"/>
      <c r="O141" s="82"/>
      <c r="P141" s="77"/>
      <c r="Q141" s="77"/>
      <c r="R141" s="77"/>
      <c r="S141" s="77"/>
      <c r="T141" s="77"/>
      <c r="U141" s="77"/>
      <c r="V141" s="78"/>
      <c r="W141" s="50"/>
      <c r="X141" s="65" t="str">
        <f>IFERROR(VLOOKUP(D141,ErrorList!$A$1:$C$2305,2,FALSE),"-")</f>
        <v>-</v>
      </c>
      <c r="Y141" s="66"/>
      <c r="Z141" s="79"/>
      <c r="AA141" s="80"/>
      <c r="AB141" s="31"/>
      <c r="AC141" s="79"/>
      <c r="AD141" s="80"/>
      <c r="AE141" s="81"/>
      <c r="AF141" s="81"/>
      <c r="AG141" s="81"/>
      <c r="AH141" s="81"/>
      <c r="AI141" s="22"/>
      <c r="AJ141" s="22"/>
      <c r="AK141" s="22"/>
      <c r="AL141" s="22"/>
      <c r="AM141" s="22"/>
      <c r="AN141" s="22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</row>
    <row r="142" spans="1:89" s="15" customFormat="1" x14ac:dyDescent="0.4">
      <c r="A142" s="5"/>
      <c r="B142" s="23"/>
      <c r="C142" s="23"/>
      <c r="D142" s="23"/>
      <c r="E142" s="23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42"/>
      <c r="X142" s="23"/>
      <c r="Y142" s="23"/>
      <c r="Z142" s="5"/>
      <c r="AA142" s="5"/>
      <c r="AB142" s="5"/>
      <c r="AC142" s="5"/>
      <c r="AD142" s="5"/>
      <c r="AE142" s="24"/>
      <c r="AF142" s="22"/>
      <c r="AG142" s="22"/>
      <c r="AH142" s="22"/>
      <c r="AI142" s="22"/>
      <c r="AJ142" s="22"/>
    </row>
    <row r="143" spans="1:89" s="15" customFormat="1" x14ac:dyDescent="0.4">
      <c r="A143" s="5"/>
      <c r="B143" s="2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3"/>
      <c r="Y143" s="23"/>
      <c r="Z143" s="5"/>
      <c r="AA143" s="5"/>
      <c r="AB143" s="5"/>
      <c r="AC143" s="5"/>
      <c r="AD143" s="5"/>
      <c r="AE143" s="24"/>
      <c r="AF143" s="22"/>
      <c r="AG143" s="22"/>
      <c r="AH143" s="22"/>
      <c r="AI143" s="22"/>
      <c r="AJ143" s="22"/>
    </row>
    <row r="144" spans="1:89" s="15" customFormat="1" x14ac:dyDescent="0.4">
      <c r="A144" s="5"/>
      <c r="B144" s="2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3"/>
      <c r="Y144" s="23"/>
      <c r="Z144" s="5"/>
      <c r="AA144" s="5"/>
      <c r="AB144" s="5"/>
      <c r="AC144" s="5"/>
      <c r="AD144" s="5"/>
      <c r="AE144" s="24"/>
      <c r="AF144" s="22"/>
      <c r="AG144" s="22"/>
      <c r="AH144" s="22"/>
      <c r="AI144" s="22"/>
      <c r="AJ144" s="22"/>
    </row>
    <row r="145" spans="1:36" s="15" customFormat="1" x14ac:dyDescent="0.4">
      <c r="A145" s="5"/>
      <c r="B145" s="2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3"/>
      <c r="Y145" s="23"/>
      <c r="Z145" s="5"/>
      <c r="AA145" s="5"/>
      <c r="AB145" s="5"/>
      <c r="AC145" s="5"/>
      <c r="AD145" s="5"/>
      <c r="AE145" s="24"/>
      <c r="AF145" s="22"/>
      <c r="AG145" s="22"/>
      <c r="AH145" s="22"/>
      <c r="AI145" s="22"/>
      <c r="AJ145" s="22"/>
    </row>
    <row r="146" spans="1:36" s="15" customFormat="1" x14ac:dyDescent="0.4">
      <c r="A146" s="5"/>
      <c r="B146" s="2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3"/>
      <c r="Y146" s="23"/>
      <c r="Z146" s="5"/>
      <c r="AA146" s="5"/>
      <c r="AB146" s="5"/>
      <c r="AC146" s="5"/>
      <c r="AD146" s="5"/>
      <c r="AE146" s="24"/>
      <c r="AF146" s="22"/>
      <c r="AG146" s="22"/>
      <c r="AH146" s="22"/>
      <c r="AI146" s="22"/>
      <c r="AJ146" s="22"/>
    </row>
    <row r="147" spans="1:36" s="15" customFormat="1" x14ac:dyDescent="0.4">
      <c r="A147" s="5"/>
      <c r="B147" s="2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3"/>
      <c r="Y147" s="23"/>
      <c r="Z147" s="5"/>
      <c r="AA147" s="5"/>
      <c r="AB147" s="5"/>
      <c r="AC147" s="5"/>
      <c r="AD147" s="5"/>
      <c r="AE147" s="24"/>
      <c r="AF147" s="22"/>
      <c r="AG147" s="22"/>
      <c r="AH147" s="22"/>
      <c r="AI147" s="22"/>
      <c r="AJ147" s="22"/>
    </row>
    <row r="148" spans="1:36" s="15" customFormat="1" x14ac:dyDescent="0.4">
      <c r="A148" s="5"/>
      <c r="B148" s="2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3"/>
      <c r="Y148" s="23"/>
      <c r="Z148" s="5"/>
      <c r="AA148" s="5"/>
      <c r="AB148" s="5"/>
      <c r="AC148" s="5"/>
      <c r="AD148" s="5"/>
      <c r="AE148" s="24"/>
      <c r="AF148" s="22"/>
      <c r="AG148" s="22"/>
      <c r="AH148" s="22"/>
      <c r="AI148" s="22"/>
      <c r="AJ148" s="22"/>
    </row>
    <row r="149" spans="1:36" s="15" customFormat="1" x14ac:dyDescent="0.4">
      <c r="A149" s="5"/>
      <c r="B149" s="2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3"/>
      <c r="Y149" s="23"/>
      <c r="Z149" s="5"/>
      <c r="AA149" s="5"/>
      <c r="AB149" s="5"/>
      <c r="AC149" s="5"/>
      <c r="AD149" s="5"/>
      <c r="AE149" s="24"/>
      <c r="AF149" s="22"/>
      <c r="AG149" s="22"/>
      <c r="AH149" s="22"/>
      <c r="AI149" s="22"/>
      <c r="AJ149" s="22"/>
    </row>
    <row r="150" spans="1:36" s="15" customFormat="1" x14ac:dyDescent="0.4">
      <c r="A150" s="5"/>
      <c r="B150" s="2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3"/>
      <c r="Y150" s="23"/>
      <c r="Z150" s="5"/>
      <c r="AA150" s="5"/>
      <c r="AB150" s="5"/>
      <c r="AC150" s="5"/>
      <c r="AD150" s="5"/>
      <c r="AE150" s="24"/>
      <c r="AF150" s="22"/>
      <c r="AG150" s="22"/>
      <c r="AH150" s="22"/>
      <c r="AI150" s="22"/>
      <c r="AJ150" s="22"/>
    </row>
    <row r="151" spans="1:36" s="15" customFormat="1" x14ac:dyDescent="0.4">
      <c r="A151" s="5"/>
      <c r="B151" s="2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3"/>
      <c r="Y151" s="23"/>
      <c r="Z151" s="5"/>
      <c r="AA151" s="5"/>
      <c r="AB151" s="5"/>
      <c r="AC151" s="5"/>
      <c r="AD151" s="5"/>
      <c r="AE151" s="24"/>
      <c r="AF151" s="22"/>
      <c r="AG151" s="22"/>
      <c r="AH151" s="22"/>
      <c r="AI151" s="22"/>
      <c r="AJ151" s="22"/>
    </row>
    <row r="152" spans="1:36" s="15" customFormat="1" x14ac:dyDescent="0.4">
      <c r="A152" s="5"/>
      <c r="B152" s="2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3"/>
      <c r="Y152" s="23"/>
      <c r="Z152" s="5"/>
      <c r="AA152" s="5"/>
      <c r="AB152" s="5"/>
      <c r="AC152" s="5"/>
      <c r="AD152" s="5"/>
      <c r="AE152" s="24"/>
      <c r="AF152" s="22"/>
      <c r="AG152" s="22"/>
      <c r="AH152" s="22"/>
      <c r="AI152" s="22"/>
      <c r="AJ152" s="22"/>
    </row>
    <row r="153" spans="1:36" s="15" customFormat="1" x14ac:dyDescent="0.4">
      <c r="A153" s="5"/>
      <c r="B153" s="2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3"/>
      <c r="Y153" s="23"/>
      <c r="Z153" s="5"/>
      <c r="AA153" s="5"/>
      <c r="AB153" s="5"/>
      <c r="AC153" s="5"/>
      <c r="AD153" s="5"/>
      <c r="AE153" s="24"/>
      <c r="AF153" s="22"/>
      <c r="AG153" s="22"/>
      <c r="AH153" s="22"/>
      <c r="AI153" s="22"/>
      <c r="AJ153" s="22"/>
    </row>
    <row r="154" spans="1:36" s="15" customFormat="1" x14ac:dyDescent="0.4">
      <c r="A154" s="5"/>
      <c r="B154" s="2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3"/>
      <c r="Y154" s="23"/>
      <c r="Z154" s="5"/>
      <c r="AA154" s="5"/>
      <c r="AB154" s="5"/>
      <c r="AC154" s="5"/>
      <c r="AD154" s="5"/>
      <c r="AE154" s="24"/>
      <c r="AF154" s="22"/>
      <c r="AG154" s="22"/>
      <c r="AH154" s="22"/>
      <c r="AI154" s="22"/>
      <c r="AJ154" s="22"/>
    </row>
    <row r="155" spans="1:36" s="15" customFormat="1" x14ac:dyDescent="0.4">
      <c r="A155" s="5"/>
      <c r="B155" s="2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3"/>
      <c r="Y155" s="23"/>
      <c r="Z155" s="5"/>
      <c r="AA155" s="5"/>
      <c r="AB155" s="5"/>
      <c r="AC155" s="5"/>
      <c r="AD155" s="5"/>
      <c r="AE155" s="24"/>
      <c r="AF155" s="22"/>
      <c r="AG155" s="22"/>
      <c r="AH155" s="22"/>
      <c r="AI155" s="22"/>
      <c r="AJ155" s="22"/>
    </row>
    <row r="156" spans="1:36" s="15" customFormat="1" x14ac:dyDescent="0.4">
      <c r="A156" s="5"/>
      <c r="B156" s="2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3"/>
      <c r="Y156" s="23"/>
      <c r="Z156" s="5"/>
      <c r="AA156" s="5"/>
      <c r="AB156" s="5"/>
      <c r="AC156" s="5"/>
      <c r="AD156" s="5"/>
      <c r="AE156" s="24"/>
      <c r="AF156" s="22"/>
      <c r="AG156" s="22"/>
      <c r="AH156" s="22"/>
      <c r="AI156" s="22"/>
      <c r="AJ156" s="22"/>
    </row>
    <row r="157" spans="1:36" s="15" customFormat="1" x14ac:dyDescent="0.4">
      <c r="A157" s="5"/>
      <c r="B157" s="2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3"/>
      <c r="Y157" s="23"/>
      <c r="Z157" s="5"/>
      <c r="AA157" s="5"/>
      <c r="AB157" s="5"/>
      <c r="AC157" s="5"/>
      <c r="AD157" s="5"/>
      <c r="AE157" s="24"/>
      <c r="AF157" s="22"/>
      <c r="AG157" s="22"/>
      <c r="AH157" s="22"/>
      <c r="AI157" s="22"/>
      <c r="AJ157" s="22"/>
    </row>
    <row r="158" spans="1:36" s="15" customFormat="1" x14ac:dyDescent="0.4">
      <c r="A158" s="5"/>
      <c r="B158" s="2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3"/>
      <c r="Y158" s="23"/>
      <c r="Z158" s="5"/>
      <c r="AA158" s="5"/>
      <c r="AB158" s="5"/>
      <c r="AC158" s="5"/>
      <c r="AD158" s="5"/>
      <c r="AE158" s="24"/>
      <c r="AF158" s="22"/>
      <c r="AG158" s="22"/>
      <c r="AH158" s="22"/>
      <c r="AI158" s="22"/>
      <c r="AJ158" s="22"/>
    </row>
    <row r="159" spans="1:36" s="15" customFormat="1" x14ac:dyDescent="0.4">
      <c r="A159" s="5"/>
      <c r="B159" s="2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3"/>
      <c r="Y159" s="23"/>
      <c r="Z159" s="5"/>
      <c r="AA159" s="5"/>
      <c r="AB159" s="5"/>
      <c r="AC159" s="5"/>
      <c r="AD159" s="5"/>
      <c r="AE159" s="24"/>
      <c r="AF159" s="22"/>
      <c r="AG159" s="22"/>
      <c r="AH159" s="22"/>
      <c r="AI159" s="22"/>
      <c r="AJ159" s="22"/>
    </row>
    <row r="160" spans="1:36" s="15" customFormat="1" x14ac:dyDescent="0.4">
      <c r="A160" s="5"/>
      <c r="B160" s="2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3"/>
      <c r="Y160" s="23"/>
      <c r="Z160" s="5"/>
      <c r="AA160" s="5"/>
      <c r="AB160" s="5"/>
      <c r="AC160" s="5"/>
      <c r="AD160" s="5"/>
      <c r="AE160" s="24"/>
      <c r="AF160" s="22"/>
      <c r="AG160" s="22"/>
      <c r="AH160" s="22"/>
      <c r="AI160" s="22"/>
      <c r="AJ160" s="22"/>
    </row>
    <row r="161" spans="1:36" s="15" customFormat="1" x14ac:dyDescent="0.4">
      <c r="A161" s="5"/>
      <c r="B161" s="2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3"/>
      <c r="Y161" s="23"/>
      <c r="Z161" s="5"/>
      <c r="AA161" s="5"/>
      <c r="AB161" s="5"/>
      <c r="AC161" s="5"/>
      <c r="AD161" s="5"/>
      <c r="AE161" s="24"/>
      <c r="AF161" s="22"/>
      <c r="AG161" s="22"/>
      <c r="AH161" s="22"/>
      <c r="AI161" s="22"/>
      <c r="AJ161" s="22"/>
    </row>
    <row r="162" spans="1:36" s="15" customFormat="1" x14ac:dyDescent="0.4">
      <c r="A162" s="5"/>
      <c r="B162" s="2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3"/>
      <c r="Y162" s="23"/>
      <c r="Z162" s="5"/>
      <c r="AA162" s="5"/>
      <c r="AB162" s="5"/>
      <c r="AC162" s="5"/>
      <c r="AD162" s="5"/>
      <c r="AE162" s="24"/>
      <c r="AF162" s="22"/>
      <c r="AG162" s="22"/>
      <c r="AH162" s="22"/>
      <c r="AI162" s="22"/>
      <c r="AJ162" s="22"/>
    </row>
    <row r="163" spans="1:36" s="15" customFormat="1" x14ac:dyDescent="0.4">
      <c r="A163" s="5"/>
      <c r="B163" s="2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3"/>
      <c r="Y163" s="23"/>
      <c r="Z163" s="5"/>
      <c r="AA163" s="5"/>
      <c r="AB163" s="5"/>
      <c r="AC163" s="5"/>
      <c r="AD163" s="5"/>
      <c r="AE163" s="24"/>
      <c r="AF163" s="22"/>
      <c r="AG163" s="22"/>
      <c r="AH163" s="22"/>
      <c r="AI163" s="22"/>
      <c r="AJ163" s="22"/>
    </row>
    <row r="164" spans="1:36" s="15" customFormat="1" x14ac:dyDescent="0.4">
      <c r="A164" s="5"/>
      <c r="B164" s="2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3"/>
      <c r="Y164" s="23"/>
      <c r="Z164" s="5"/>
      <c r="AA164" s="5"/>
      <c r="AB164" s="5"/>
      <c r="AC164" s="5"/>
      <c r="AD164" s="5"/>
      <c r="AE164" s="24"/>
      <c r="AF164" s="22"/>
      <c r="AG164" s="22"/>
      <c r="AH164" s="22"/>
      <c r="AI164" s="22"/>
      <c r="AJ164" s="22"/>
    </row>
    <row r="165" spans="1:36" s="15" customFormat="1" x14ac:dyDescent="0.4">
      <c r="A165" s="5"/>
      <c r="B165" s="2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3"/>
      <c r="Y165" s="23"/>
      <c r="Z165" s="5"/>
      <c r="AA165" s="5"/>
      <c r="AB165" s="5"/>
      <c r="AC165" s="5"/>
      <c r="AD165" s="5"/>
      <c r="AE165" s="24"/>
      <c r="AF165" s="22"/>
      <c r="AG165" s="22"/>
      <c r="AH165" s="22"/>
      <c r="AI165" s="22"/>
      <c r="AJ165" s="22"/>
    </row>
    <row r="166" spans="1:36" s="15" customFormat="1" x14ac:dyDescent="0.4">
      <c r="A166" s="5"/>
      <c r="B166" s="2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3"/>
      <c r="Y166" s="23"/>
      <c r="Z166" s="5"/>
      <c r="AA166" s="5"/>
      <c r="AB166" s="5"/>
      <c r="AC166" s="5"/>
      <c r="AD166" s="5"/>
      <c r="AE166" s="24"/>
      <c r="AF166" s="22"/>
      <c r="AG166" s="22"/>
      <c r="AH166" s="22"/>
      <c r="AI166" s="22"/>
      <c r="AJ166" s="22"/>
    </row>
    <row r="167" spans="1:36" s="15" customFormat="1" x14ac:dyDescent="0.4">
      <c r="A167" s="5"/>
      <c r="B167" s="2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3"/>
      <c r="Y167" s="23"/>
      <c r="Z167" s="5"/>
      <c r="AA167" s="5"/>
      <c r="AB167" s="5"/>
      <c r="AC167" s="5"/>
      <c r="AD167" s="5"/>
      <c r="AE167" s="24"/>
      <c r="AF167" s="22"/>
      <c r="AG167" s="22"/>
      <c r="AH167" s="22"/>
      <c r="AI167" s="22"/>
      <c r="AJ167" s="22"/>
    </row>
    <row r="168" spans="1:36" s="15" customFormat="1" x14ac:dyDescent="0.4">
      <c r="A168" s="5"/>
      <c r="B168" s="2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3"/>
      <c r="Y168" s="23"/>
      <c r="Z168" s="5"/>
      <c r="AA168" s="5"/>
      <c r="AB168" s="5"/>
      <c r="AC168" s="5"/>
      <c r="AD168" s="5"/>
      <c r="AE168" s="24"/>
      <c r="AF168" s="22"/>
      <c r="AG168" s="22"/>
      <c r="AH168" s="22"/>
      <c r="AI168" s="22"/>
      <c r="AJ168" s="22"/>
    </row>
    <row r="169" spans="1:36" s="15" customFormat="1" x14ac:dyDescent="0.4">
      <c r="A169" s="5"/>
      <c r="B169" s="2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3"/>
      <c r="Y169" s="23"/>
      <c r="Z169" s="5"/>
      <c r="AA169" s="5"/>
      <c r="AB169" s="5"/>
      <c r="AC169" s="5"/>
      <c r="AD169" s="5"/>
      <c r="AE169" s="24"/>
      <c r="AF169" s="22"/>
      <c r="AG169" s="22"/>
      <c r="AH169" s="22"/>
      <c r="AI169" s="22"/>
      <c r="AJ169" s="22"/>
    </row>
    <row r="170" spans="1:36" s="15" customFormat="1" x14ac:dyDescent="0.4">
      <c r="A170" s="5"/>
      <c r="B170" s="2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3"/>
      <c r="Y170" s="23"/>
      <c r="Z170" s="5"/>
      <c r="AA170" s="5"/>
      <c r="AB170" s="5"/>
      <c r="AC170" s="5"/>
      <c r="AD170" s="5"/>
      <c r="AE170" s="24"/>
      <c r="AF170" s="22"/>
      <c r="AG170" s="22"/>
      <c r="AH170" s="22"/>
      <c r="AI170" s="22"/>
      <c r="AJ170" s="22"/>
    </row>
    <row r="171" spans="1:36" s="15" customFormat="1" x14ac:dyDescent="0.4">
      <c r="A171" s="5"/>
      <c r="B171" s="2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3"/>
      <c r="Y171" s="23"/>
      <c r="Z171" s="5"/>
      <c r="AA171" s="5"/>
      <c r="AB171" s="5"/>
      <c r="AC171" s="5"/>
      <c r="AD171" s="5"/>
      <c r="AE171" s="24"/>
      <c r="AF171" s="22"/>
      <c r="AG171" s="22"/>
      <c r="AH171" s="22"/>
      <c r="AI171" s="22"/>
      <c r="AJ171" s="22"/>
    </row>
    <row r="172" spans="1:36" s="15" customFormat="1" x14ac:dyDescent="0.4">
      <c r="A172" s="5"/>
      <c r="B172" s="2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3"/>
      <c r="Y172" s="23"/>
      <c r="Z172" s="5"/>
      <c r="AA172" s="5"/>
      <c r="AB172" s="5"/>
      <c r="AC172" s="5"/>
      <c r="AD172" s="5"/>
      <c r="AE172" s="24"/>
      <c r="AF172" s="22"/>
      <c r="AG172" s="22"/>
      <c r="AH172" s="22"/>
      <c r="AI172" s="22"/>
      <c r="AJ172" s="22"/>
    </row>
    <row r="173" spans="1:36" s="15" customFormat="1" x14ac:dyDescent="0.4">
      <c r="A173" s="5"/>
      <c r="B173" s="2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3"/>
      <c r="Y173" s="23"/>
      <c r="Z173" s="5"/>
      <c r="AA173" s="5"/>
      <c r="AB173" s="5"/>
      <c r="AC173" s="5"/>
      <c r="AD173" s="5"/>
      <c r="AE173" s="24"/>
      <c r="AF173" s="22"/>
      <c r="AG173" s="22"/>
      <c r="AH173" s="22"/>
      <c r="AI173" s="22"/>
      <c r="AJ173" s="22"/>
    </row>
    <row r="174" spans="1:36" s="15" customFormat="1" x14ac:dyDescent="0.4">
      <c r="A174" s="5"/>
      <c r="B174" s="2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3"/>
      <c r="Y174" s="23"/>
      <c r="Z174" s="5"/>
      <c r="AA174" s="5"/>
      <c r="AB174" s="5"/>
      <c r="AC174" s="5"/>
      <c r="AD174" s="5"/>
      <c r="AE174" s="24"/>
      <c r="AF174" s="22"/>
      <c r="AG174" s="22"/>
      <c r="AH174" s="22"/>
      <c r="AI174" s="22"/>
      <c r="AJ174" s="22"/>
    </row>
    <row r="175" spans="1:36" s="15" customFormat="1" x14ac:dyDescent="0.4">
      <c r="A175" s="5"/>
      <c r="B175" s="2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3"/>
      <c r="Y175" s="23"/>
      <c r="Z175" s="5"/>
      <c r="AA175" s="5"/>
      <c r="AB175" s="5"/>
      <c r="AC175" s="5"/>
      <c r="AD175" s="5"/>
      <c r="AE175" s="24"/>
      <c r="AF175" s="22"/>
      <c r="AG175" s="22"/>
      <c r="AH175" s="22"/>
      <c r="AI175" s="22"/>
      <c r="AJ175" s="22"/>
    </row>
    <row r="176" spans="1:36" s="15" customFormat="1" x14ac:dyDescent="0.4">
      <c r="A176" s="5"/>
      <c r="B176" s="2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3"/>
      <c r="Y176" s="23"/>
      <c r="Z176" s="5"/>
      <c r="AA176" s="5"/>
      <c r="AB176" s="5"/>
      <c r="AC176" s="5"/>
      <c r="AD176" s="5"/>
      <c r="AE176" s="24"/>
      <c r="AF176" s="22"/>
      <c r="AG176" s="22"/>
      <c r="AH176" s="22"/>
      <c r="AI176" s="22"/>
      <c r="AJ176" s="22"/>
    </row>
    <row r="177" spans="1:36" s="15" customFormat="1" x14ac:dyDescent="0.4">
      <c r="A177" s="5"/>
      <c r="B177" s="2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3"/>
      <c r="Y177" s="23"/>
      <c r="Z177" s="5"/>
      <c r="AA177" s="5"/>
      <c r="AB177" s="5"/>
      <c r="AC177" s="5"/>
      <c r="AD177" s="5"/>
      <c r="AE177" s="24"/>
      <c r="AF177" s="22"/>
      <c r="AG177" s="22"/>
      <c r="AH177" s="22"/>
      <c r="AI177" s="22"/>
      <c r="AJ177" s="22"/>
    </row>
    <row r="178" spans="1:36" s="15" customFormat="1" x14ac:dyDescent="0.4">
      <c r="A178" s="5"/>
      <c r="B178" s="2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3"/>
      <c r="Y178" s="23"/>
      <c r="Z178" s="5"/>
      <c r="AA178" s="5"/>
      <c r="AB178" s="5"/>
      <c r="AC178" s="5"/>
      <c r="AD178" s="5"/>
      <c r="AE178" s="24"/>
      <c r="AF178" s="22"/>
      <c r="AG178" s="22"/>
      <c r="AH178" s="22"/>
      <c r="AI178" s="22"/>
      <c r="AJ178" s="22"/>
    </row>
    <row r="179" spans="1:36" s="15" customFormat="1" x14ac:dyDescent="0.4">
      <c r="A179" s="5"/>
      <c r="B179" s="2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3"/>
      <c r="Y179" s="23"/>
      <c r="Z179" s="5"/>
      <c r="AA179" s="5"/>
      <c r="AB179" s="5"/>
      <c r="AC179" s="5"/>
      <c r="AD179" s="5"/>
      <c r="AE179" s="24"/>
      <c r="AF179" s="22"/>
      <c r="AG179" s="22"/>
      <c r="AH179" s="22"/>
      <c r="AI179" s="22"/>
      <c r="AJ179" s="22"/>
    </row>
    <row r="180" spans="1:36" s="15" customFormat="1" x14ac:dyDescent="0.4">
      <c r="A180" s="5"/>
      <c r="B180" s="2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3"/>
      <c r="Y180" s="23"/>
      <c r="Z180" s="5"/>
      <c r="AA180" s="5"/>
      <c r="AB180" s="5"/>
      <c r="AC180" s="5"/>
      <c r="AD180" s="5"/>
      <c r="AE180" s="24"/>
      <c r="AF180" s="22"/>
      <c r="AG180" s="22"/>
      <c r="AH180" s="22"/>
      <c r="AI180" s="22"/>
      <c r="AJ180" s="22"/>
    </row>
    <row r="181" spans="1:36" s="15" customFormat="1" x14ac:dyDescent="0.4">
      <c r="A181" s="5"/>
      <c r="B181" s="2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3"/>
      <c r="Y181" s="23"/>
      <c r="Z181" s="5"/>
      <c r="AA181" s="5"/>
      <c r="AB181" s="5"/>
      <c r="AC181" s="5"/>
      <c r="AD181" s="5"/>
      <c r="AE181" s="24"/>
      <c r="AF181" s="22"/>
      <c r="AG181" s="22"/>
      <c r="AH181" s="22"/>
      <c r="AI181" s="22"/>
      <c r="AJ181" s="22"/>
    </row>
    <row r="182" spans="1:36" s="15" customFormat="1" x14ac:dyDescent="0.4">
      <c r="A182" s="5"/>
      <c r="B182" s="2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3"/>
      <c r="Y182" s="23"/>
      <c r="Z182" s="5"/>
      <c r="AA182" s="5"/>
      <c r="AB182" s="5"/>
      <c r="AC182" s="5"/>
      <c r="AD182" s="5"/>
      <c r="AE182" s="24"/>
      <c r="AF182" s="22"/>
      <c r="AG182" s="22"/>
      <c r="AH182" s="22"/>
      <c r="AI182" s="22"/>
      <c r="AJ182" s="22"/>
    </row>
    <row r="183" spans="1:36" s="15" customFormat="1" x14ac:dyDescent="0.4">
      <c r="A183" s="5"/>
      <c r="B183" s="2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3"/>
      <c r="Y183" s="23"/>
      <c r="Z183" s="5"/>
      <c r="AA183" s="5"/>
      <c r="AB183" s="5"/>
      <c r="AC183" s="5"/>
      <c r="AD183" s="5"/>
      <c r="AE183" s="24"/>
      <c r="AF183" s="22"/>
      <c r="AG183" s="22"/>
      <c r="AH183" s="22"/>
      <c r="AI183" s="22"/>
      <c r="AJ183" s="22"/>
    </row>
    <row r="184" spans="1:36" s="15" customFormat="1" x14ac:dyDescent="0.4">
      <c r="A184" s="5"/>
      <c r="B184" s="2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3"/>
      <c r="Y184" s="23"/>
      <c r="Z184" s="5"/>
      <c r="AA184" s="5"/>
      <c r="AB184" s="5"/>
      <c r="AC184" s="5"/>
      <c r="AD184" s="5"/>
      <c r="AE184" s="24"/>
      <c r="AF184" s="22"/>
      <c r="AG184" s="22"/>
      <c r="AH184" s="22"/>
      <c r="AI184" s="22"/>
      <c r="AJ184" s="22"/>
    </row>
    <row r="185" spans="1:36" s="15" customFormat="1" x14ac:dyDescent="0.4">
      <c r="A185" s="5"/>
      <c r="B185" s="2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3"/>
      <c r="Y185" s="23"/>
      <c r="Z185" s="5"/>
      <c r="AA185" s="5"/>
      <c r="AB185" s="5"/>
      <c r="AC185" s="5"/>
      <c r="AD185" s="5"/>
      <c r="AE185" s="24"/>
      <c r="AF185" s="22"/>
      <c r="AG185" s="22"/>
      <c r="AH185" s="22"/>
      <c r="AI185" s="22"/>
      <c r="AJ185" s="22"/>
    </row>
    <row r="186" spans="1:36" s="15" customFormat="1" x14ac:dyDescent="0.4">
      <c r="A186" s="5"/>
      <c r="B186" s="2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3"/>
      <c r="Y186" s="23"/>
      <c r="Z186" s="5"/>
      <c r="AA186" s="5"/>
      <c r="AB186" s="5"/>
      <c r="AC186" s="5"/>
      <c r="AD186" s="5"/>
      <c r="AE186" s="24"/>
      <c r="AF186" s="22"/>
      <c r="AG186" s="22"/>
      <c r="AH186" s="22"/>
      <c r="AI186" s="22"/>
      <c r="AJ186" s="22"/>
    </row>
    <row r="187" spans="1:36" s="15" customFormat="1" x14ac:dyDescent="0.4">
      <c r="A187" s="5"/>
      <c r="B187" s="2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3"/>
      <c r="Y187" s="23"/>
      <c r="Z187" s="5"/>
      <c r="AA187" s="5"/>
      <c r="AB187" s="5"/>
      <c r="AC187" s="5"/>
      <c r="AD187" s="5"/>
      <c r="AE187" s="24"/>
      <c r="AF187" s="22"/>
      <c r="AG187" s="22"/>
      <c r="AH187" s="22"/>
      <c r="AI187" s="22"/>
      <c r="AJ187" s="22"/>
    </row>
    <row r="188" spans="1:36" s="15" customFormat="1" x14ac:dyDescent="0.4">
      <c r="A188" s="5"/>
      <c r="B188" s="2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3"/>
      <c r="Y188" s="23"/>
      <c r="Z188" s="5"/>
      <c r="AA188" s="5"/>
      <c r="AB188" s="5"/>
      <c r="AC188" s="5"/>
      <c r="AD188" s="5"/>
      <c r="AE188" s="24"/>
      <c r="AF188" s="22"/>
      <c r="AG188" s="22"/>
      <c r="AH188" s="22"/>
      <c r="AI188" s="22"/>
      <c r="AJ188" s="22"/>
    </row>
    <row r="189" spans="1:36" s="15" customFormat="1" x14ac:dyDescent="0.4">
      <c r="A189" s="5"/>
      <c r="B189" s="2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3"/>
      <c r="Y189" s="23"/>
      <c r="Z189" s="5"/>
      <c r="AA189" s="5"/>
      <c r="AB189" s="5"/>
      <c r="AC189" s="5"/>
      <c r="AD189" s="5"/>
      <c r="AE189" s="24"/>
      <c r="AF189" s="22"/>
      <c r="AG189" s="22"/>
      <c r="AH189" s="22"/>
      <c r="AI189" s="22"/>
      <c r="AJ189" s="22"/>
    </row>
    <row r="190" spans="1:36" s="15" customFormat="1" x14ac:dyDescent="0.4">
      <c r="A190" s="5"/>
      <c r="B190" s="2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3"/>
      <c r="Y190" s="23"/>
      <c r="Z190" s="5"/>
      <c r="AA190" s="5"/>
      <c r="AB190" s="5"/>
      <c r="AC190" s="5"/>
      <c r="AD190" s="5"/>
      <c r="AE190" s="24"/>
      <c r="AF190" s="22"/>
      <c r="AG190" s="22"/>
      <c r="AH190" s="22"/>
      <c r="AI190" s="22"/>
      <c r="AJ190" s="22"/>
    </row>
    <row r="191" spans="1:36" s="15" customFormat="1" x14ac:dyDescent="0.4">
      <c r="A191" s="5"/>
      <c r="B191" s="2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3"/>
      <c r="Y191" s="23"/>
      <c r="Z191" s="5"/>
      <c r="AA191" s="5"/>
      <c r="AB191" s="5"/>
      <c r="AC191" s="5"/>
      <c r="AD191" s="5"/>
      <c r="AE191" s="24"/>
      <c r="AF191" s="22"/>
      <c r="AG191" s="22"/>
      <c r="AH191" s="22"/>
      <c r="AI191" s="22"/>
      <c r="AJ191" s="22"/>
    </row>
    <row r="192" spans="1:36" s="15" customFormat="1" x14ac:dyDescent="0.4">
      <c r="A192" s="5"/>
      <c r="B192" s="2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3"/>
      <c r="Y192" s="23"/>
      <c r="Z192" s="5"/>
      <c r="AA192" s="5"/>
      <c r="AB192" s="5"/>
      <c r="AC192" s="5"/>
      <c r="AD192" s="5"/>
      <c r="AE192" s="24"/>
      <c r="AF192" s="22"/>
      <c r="AG192" s="22"/>
      <c r="AH192" s="22"/>
      <c r="AI192" s="22"/>
      <c r="AJ192" s="22"/>
    </row>
    <row r="193" spans="1:36" s="15" customFormat="1" x14ac:dyDescent="0.4">
      <c r="A193" s="5"/>
      <c r="B193" s="2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3"/>
      <c r="Y193" s="23"/>
      <c r="Z193" s="5"/>
      <c r="AA193" s="5"/>
      <c r="AB193" s="5"/>
      <c r="AC193" s="5"/>
      <c r="AD193" s="5"/>
      <c r="AE193" s="24"/>
      <c r="AF193" s="22"/>
      <c r="AG193" s="22"/>
      <c r="AH193" s="22"/>
      <c r="AI193" s="22"/>
      <c r="AJ193" s="22"/>
    </row>
    <row r="194" spans="1:36" s="15" customFormat="1" x14ac:dyDescent="0.4">
      <c r="A194" s="5"/>
      <c r="B194" s="2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3"/>
      <c r="Y194" s="23"/>
      <c r="Z194" s="5"/>
      <c r="AA194" s="5"/>
      <c r="AB194" s="5"/>
      <c r="AC194" s="5"/>
      <c r="AD194" s="5"/>
      <c r="AE194" s="24"/>
      <c r="AF194" s="22"/>
      <c r="AG194" s="22"/>
      <c r="AH194" s="22"/>
      <c r="AI194" s="22"/>
      <c r="AJ194" s="22"/>
    </row>
    <row r="195" spans="1:36" s="15" customFormat="1" x14ac:dyDescent="0.4">
      <c r="A195" s="5"/>
      <c r="B195" s="2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3"/>
      <c r="Y195" s="23"/>
      <c r="Z195" s="5"/>
      <c r="AA195" s="5"/>
      <c r="AB195" s="5"/>
      <c r="AC195" s="5"/>
      <c r="AD195" s="5"/>
      <c r="AE195" s="24"/>
      <c r="AF195" s="22"/>
      <c r="AG195" s="22"/>
      <c r="AH195" s="22"/>
      <c r="AI195" s="22"/>
      <c r="AJ195" s="22"/>
    </row>
    <row r="196" spans="1:36" s="15" customFormat="1" x14ac:dyDescent="0.4">
      <c r="A196" s="5"/>
      <c r="B196" s="2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3"/>
      <c r="Y196" s="23"/>
      <c r="Z196" s="5"/>
      <c r="AA196" s="5"/>
      <c r="AB196" s="5"/>
      <c r="AC196" s="5"/>
      <c r="AD196" s="5"/>
      <c r="AE196" s="24"/>
      <c r="AF196" s="22"/>
      <c r="AG196" s="22"/>
      <c r="AH196" s="22"/>
      <c r="AI196" s="22"/>
      <c r="AJ196" s="22"/>
    </row>
    <row r="197" spans="1:36" s="15" customFormat="1" x14ac:dyDescent="0.4">
      <c r="A197" s="5"/>
      <c r="B197" s="2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3"/>
      <c r="Y197" s="23"/>
      <c r="Z197" s="5"/>
      <c r="AA197" s="5"/>
      <c r="AB197" s="5"/>
      <c r="AC197" s="5"/>
      <c r="AD197" s="5"/>
      <c r="AE197" s="24"/>
      <c r="AF197" s="22"/>
      <c r="AG197" s="22"/>
      <c r="AH197" s="22"/>
      <c r="AI197" s="22"/>
      <c r="AJ197" s="22"/>
    </row>
    <row r="198" spans="1:36" s="15" customFormat="1" x14ac:dyDescent="0.4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3"/>
      <c r="Y198" s="23"/>
      <c r="Z198" s="5"/>
      <c r="AA198" s="5"/>
      <c r="AB198" s="5"/>
      <c r="AC198" s="5"/>
      <c r="AD198" s="5"/>
      <c r="AE198" s="24"/>
      <c r="AF198" s="22"/>
      <c r="AG198" s="22"/>
      <c r="AH198" s="22"/>
      <c r="AI198" s="22"/>
      <c r="AJ198" s="22"/>
    </row>
    <row r="199" spans="1:36" s="15" customFormat="1" x14ac:dyDescent="0.4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3"/>
      <c r="Y199" s="23"/>
      <c r="Z199" s="5"/>
      <c r="AA199" s="5"/>
      <c r="AB199" s="5"/>
      <c r="AC199" s="5"/>
      <c r="AD199" s="5"/>
      <c r="AE199" s="24"/>
      <c r="AF199" s="22"/>
      <c r="AG199" s="22"/>
      <c r="AH199" s="22"/>
      <c r="AI199" s="22"/>
      <c r="AJ199" s="22"/>
    </row>
    <row r="200" spans="1:36" s="15" customFormat="1" x14ac:dyDescent="0.4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3"/>
      <c r="Y200" s="23"/>
      <c r="Z200" s="5"/>
      <c r="AA200" s="5"/>
      <c r="AB200" s="5"/>
      <c r="AC200" s="5"/>
      <c r="AD200" s="5"/>
      <c r="AE200" s="24"/>
      <c r="AF200" s="22"/>
      <c r="AG200" s="22"/>
      <c r="AH200" s="22"/>
      <c r="AI200" s="22"/>
      <c r="AJ200" s="22"/>
    </row>
    <row r="201" spans="1:36" s="15" customFormat="1" x14ac:dyDescent="0.4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3"/>
      <c r="Y201" s="23"/>
      <c r="Z201" s="5"/>
      <c r="AA201" s="5"/>
      <c r="AB201" s="5"/>
      <c r="AC201" s="5"/>
      <c r="AD201" s="5"/>
      <c r="AE201" s="24"/>
      <c r="AF201" s="22"/>
      <c r="AG201" s="22"/>
      <c r="AH201" s="22"/>
      <c r="AI201" s="22"/>
      <c r="AJ201" s="22"/>
    </row>
    <row r="202" spans="1:36" s="15" customFormat="1" x14ac:dyDescent="0.4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3"/>
      <c r="Y202" s="23"/>
      <c r="Z202" s="5"/>
      <c r="AA202" s="5"/>
      <c r="AB202" s="5"/>
      <c r="AC202" s="5"/>
      <c r="AD202" s="5"/>
      <c r="AE202" s="24"/>
      <c r="AF202" s="22"/>
      <c r="AG202" s="22"/>
      <c r="AH202" s="22"/>
      <c r="AI202" s="22"/>
      <c r="AJ202" s="22"/>
    </row>
    <row r="203" spans="1:36" s="15" customFormat="1" x14ac:dyDescent="0.4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3"/>
      <c r="Y203" s="23"/>
      <c r="Z203" s="5"/>
      <c r="AA203" s="5"/>
      <c r="AB203" s="5"/>
      <c r="AC203" s="5"/>
      <c r="AD203" s="5"/>
      <c r="AE203" s="24"/>
      <c r="AF203" s="22"/>
      <c r="AG203" s="22"/>
      <c r="AH203" s="22"/>
      <c r="AI203" s="22"/>
      <c r="AJ203" s="22"/>
    </row>
    <row r="204" spans="1:36" s="15" customFormat="1" x14ac:dyDescent="0.4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3"/>
      <c r="Y204" s="23"/>
      <c r="Z204" s="5"/>
      <c r="AA204" s="5"/>
      <c r="AB204" s="5"/>
      <c r="AC204" s="5"/>
      <c r="AD204" s="5"/>
      <c r="AE204" s="24"/>
      <c r="AF204" s="22"/>
      <c r="AG204" s="22"/>
      <c r="AH204" s="22"/>
      <c r="AI204" s="22"/>
      <c r="AJ204" s="22"/>
    </row>
    <row r="205" spans="1:36" s="15" customFormat="1" x14ac:dyDescent="0.4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3"/>
      <c r="Y205" s="23"/>
      <c r="Z205" s="5"/>
      <c r="AA205" s="5"/>
      <c r="AB205" s="5"/>
      <c r="AC205" s="5"/>
      <c r="AD205" s="5"/>
      <c r="AE205" s="24"/>
      <c r="AF205" s="22"/>
      <c r="AG205" s="22"/>
      <c r="AH205" s="22"/>
      <c r="AI205" s="22"/>
      <c r="AJ205" s="22"/>
    </row>
    <row r="206" spans="1:36" s="15" customFormat="1" x14ac:dyDescent="0.4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3"/>
      <c r="Y206" s="23"/>
      <c r="Z206" s="5"/>
      <c r="AA206" s="5"/>
      <c r="AB206" s="5"/>
      <c r="AC206" s="5"/>
      <c r="AD206" s="5"/>
      <c r="AE206" s="24"/>
      <c r="AF206" s="22"/>
      <c r="AG206" s="22"/>
      <c r="AH206" s="22"/>
      <c r="AI206" s="22"/>
      <c r="AJ206" s="22"/>
    </row>
    <row r="207" spans="1:36" s="15" customFormat="1" x14ac:dyDescent="0.4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3"/>
      <c r="Y207" s="23"/>
      <c r="Z207" s="5"/>
      <c r="AA207" s="5"/>
      <c r="AB207" s="5"/>
      <c r="AC207" s="5"/>
      <c r="AD207" s="5"/>
      <c r="AE207" s="24"/>
      <c r="AF207" s="22"/>
      <c r="AG207" s="22"/>
      <c r="AH207" s="22"/>
      <c r="AI207" s="22"/>
      <c r="AJ207" s="22"/>
    </row>
    <row r="208" spans="1:36" s="15" customFormat="1" x14ac:dyDescent="0.4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3"/>
      <c r="Y208" s="23"/>
      <c r="Z208" s="5"/>
      <c r="AA208" s="5"/>
      <c r="AB208" s="5"/>
      <c r="AC208" s="5"/>
      <c r="AD208" s="5"/>
      <c r="AE208" s="24"/>
      <c r="AF208" s="22"/>
      <c r="AG208" s="22"/>
      <c r="AH208" s="22"/>
      <c r="AI208" s="22"/>
      <c r="AJ208" s="22"/>
    </row>
    <row r="209" spans="1:36" s="15" customFormat="1" x14ac:dyDescent="0.4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3"/>
      <c r="Y209" s="23"/>
      <c r="Z209" s="5"/>
      <c r="AA209" s="5"/>
      <c r="AB209" s="5"/>
      <c r="AC209" s="5"/>
      <c r="AD209" s="5"/>
      <c r="AE209" s="24"/>
      <c r="AF209" s="22"/>
      <c r="AG209" s="22"/>
      <c r="AH209" s="22"/>
      <c r="AI209" s="22"/>
      <c r="AJ209" s="22"/>
    </row>
    <row r="210" spans="1:36" s="15" customFormat="1" x14ac:dyDescent="0.4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3"/>
      <c r="Y210" s="23"/>
      <c r="Z210" s="5"/>
      <c r="AA210" s="5"/>
      <c r="AB210" s="5"/>
      <c r="AC210" s="5"/>
      <c r="AD210" s="5"/>
      <c r="AE210" s="24"/>
      <c r="AF210" s="22"/>
      <c r="AG210" s="22"/>
      <c r="AH210" s="22"/>
      <c r="AI210" s="22"/>
      <c r="AJ210" s="22"/>
    </row>
    <row r="211" spans="1:36" s="15" customFormat="1" x14ac:dyDescent="0.4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3"/>
      <c r="Y211" s="23"/>
      <c r="Z211" s="5"/>
      <c r="AA211" s="5"/>
      <c r="AB211" s="5"/>
      <c r="AC211" s="5"/>
      <c r="AD211" s="5"/>
      <c r="AE211" s="24"/>
      <c r="AF211" s="22"/>
      <c r="AG211" s="22"/>
      <c r="AH211" s="22"/>
      <c r="AI211" s="22"/>
      <c r="AJ211" s="22"/>
    </row>
    <row r="212" spans="1:36" s="15" customFormat="1" x14ac:dyDescent="0.4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3"/>
      <c r="Y212" s="23"/>
      <c r="Z212" s="5"/>
      <c r="AA212" s="5"/>
      <c r="AB212" s="5"/>
      <c r="AC212" s="5"/>
      <c r="AD212" s="5"/>
      <c r="AE212" s="24"/>
      <c r="AF212" s="22"/>
      <c r="AG212" s="22"/>
      <c r="AH212" s="22"/>
      <c r="AI212" s="22"/>
      <c r="AJ212" s="22"/>
    </row>
    <row r="213" spans="1:36" s="15" customFormat="1" x14ac:dyDescent="0.4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3"/>
      <c r="Y213" s="23"/>
      <c r="Z213" s="5"/>
      <c r="AA213" s="5"/>
      <c r="AB213" s="5"/>
      <c r="AC213" s="5"/>
      <c r="AD213" s="5"/>
      <c r="AE213" s="24"/>
      <c r="AF213" s="22"/>
      <c r="AG213" s="22"/>
      <c r="AH213" s="22"/>
      <c r="AI213" s="22"/>
      <c r="AJ213" s="22"/>
    </row>
    <row r="214" spans="1:36" s="15" customFormat="1" x14ac:dyDescent="0.4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3"/>
      <c r="Y214" s="23"/>
      <c r="Z214" s="5"/>
      <c r="AA214" s="5"/>
      <c r="AB214" s="5"/>
      <c r="AC214" s="5"/>
      <c r="AD214" s="5"/>
      <c r="AE214" s="24"/>
      <c r="AF214" s="22"/>
      <c r="AG214" s="22"/>
      <c r="AH214" s="22"/>
      <c r="AI214" s="22"/>
      <c r="AJ214" s="22"/>
    </row>
    <row r="215" spans="1:36" s="15" customFormat="1" x14ac:dyDescent="0.4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3"/>
      <c r="Y215" s="23"/>
      <c r="Z215" s="5"/>
      <c r="AA215" s="5"/>
      <c r="AB215" s="5"/>
      <c r="AC215" s="5"/>
      <c r="AD215" s="5"/>
      <c r="AE215" s="24"/>
      <c r="AF215" s="22"/>
      <c r="AG215" s="22"/>
      <c r="AH215" s="22"/>
      <c r="AI215" s="22"/>
      <c r="AJ215" s="22"/>
    </row>
    <row r="216" spans="1:36" s="15" customFormat="1" x14ac:dyDescent="0.4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3"/>
      <c r="Y216" s="23"/>
      <c r="Z216" s="5"/>
      <c r="AA216" s="5"/>
      <c r="AB216" s="5"/>
      <c r="AC216" s="5"/>
      <c r="AD216" s="5"/>
      <c r="AE216" s="24"/>
      <c r="AF216" s="22"/>
      <c r="AG216" s="22"/>
      <c r="AH216" s="22"/>
      <c r="AI216" s="22"/>
      <c r="AJ216" s="22"/>
    </row>
    <row r="217" spans="1:36" s="15" customFormat="1" x14ac:dyDescent="0.4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3"/>
      <c r="Y217" s="23"/>
      <c r="Z217" s="5"/>
      <c r="AA217" s="5"/>
      <c r="AB217" s="5"/>
      <c r="AC217" s="5"/>
      <c r="AD217" s="5"/>
      <c r="AE217" s="24"/>
      <c r="AF217" s="22"/>
      <c r="AG217" s="22"/>
      <c r="AH217" s="22"/>
      <c r="AI217" s="22"/>
      <c r="AJ217" s="22"/>
    </row>
    <row r="218" spans="1:36" s="15" customFormat="1" x14ac:dyDescent="0.4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3"/>
      <c r="Y218" s="23"/>
      <c r="Z218" s="5"/>
      <c r="AA218" s="5"/>
      <c r="AB218" s="5"/>
      <c r="AC218" s="5"/>
      <c r="AD218" s="5"/>
      <c r="AE218" s="24"/>
      <c r="AF218" s="22"/>
      <c r="AG218" s="22"/>
      <c r="AH218" s="22"/>
      <c r="AI218" s="22"/>
      <c r="AJ218" s="22"/>
    </row>
    <row r="219" spans="1:36" s="15" customFormat="1" x14ac:dyDescent="0.4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3"/>
      <c r="Y219" s="23"/>
      <c r="Z219" s="5"/>
      <c r="AA219" s="5"/>
      <c r="AB219" s="5"/>
      <c r="AC219" s="5"/>
      <c r="AD219" s="5"/>
      <c r="AE219" s="24"/>
      <c r="AF219" s="22"/>
      <c r="AG219" s="22"/>
      <c r="AH219" s="22"/>
      <c r="AI219" s="22"/>
      <c r="AJ219" s="22"/>
    </row>
    <row r="220" spans="1:36" s="15" customFormat="1" x14ac:dyDescent="0.4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3"/>
      <c r="Y220" s="23"/>
      <c r="Z220" s="5"/>
      <c r="AA220" s="5"/>
      <c r="AB220" s="5"/>
      <c r="AC220" s="5"/>
      <c r="AD220" s="5"/>
      <c r="AE220" s="24"/>
      <c r="AF220" s="22"/>
      <c r="AG220" s="22"/>
      <c r="AH220" s="22"/>
      <c r="AI220" s="22"/>
      <c r="AJ220" s="22"/>
    </row>
    <row r="221" spans="1:36" s="15" customFormat="1" x14ac:dyDescent="0.4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3"/>
      <c r="Y221" s="23"/>
      <c r="Z221" s="5"/>
      <c r="AA221" s="5"/>
      <c r="AB221" s="5"/>
      <c r="AC221" s="5"/>
      <c r="AD221" s="5"/>
      <c r="AE221" s="24"/>
      <c r="AF221" s="22"/>
      <c r="AG221" s="22"/>
      <c r="AH221" s="22"/>
      <c r="AI221" s="22"/>
      <c r="AJ221" s="22"/>
    </row>
    <row r="222" spans="1:36" s="15" customFormat="1" x14ac:dyDescent="0.4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3"/>
      <c r="Y222" s="23"/>
      <c r="Z222" s="5"/>
      <c r="AA222" s="5"/>
      <c r="AB222" s="5"/>
      <c r="AC222" s="5"/>
      <c r="AD222" s="5"/>
      <c r="AE222" s="24"/>
      <c r="AF222" s="22"/>
      <c r="AG222" s="22"/>
      <c r="AH222" s="22"/>
      <c r="AI222" s="22"/>
      <c r="AJ222" s="22"/>
    </row>
    <row r="223" spans="1:36" s="15" customFormat="1" x14ac:dyDescent="0.4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3"/>
      <c r="Y223" s="23"/>
      <c r="Z223" s="5"/>
      <c r="AA223" s="5"/>
      <c r="AB223" s="5"/>
      <c r="AC223" s="5"/>
      <c r="AD223" s="5"/>
      <c r="AE223" s="24"/>
      <c r="AF223" s="22"/>
      <c r="AG223" s="22"/>
      <c r="AH223" s="22"/>
      <c r="AI223" s="22"/>
      <c r="AJ223" s="22"/>
    </row>
    <row r="224" spans="1:36" s="15" customFormat="1" x14ac:dyDescent="0.4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3"/>
      <c r="Y224" s="23"/>
      <c r="Z224" s="5"/>
      <c r="AA224" s="5"/>
      <c r="AB224" s="5"/>
      <c r="AC224" s="5"/>
      <c r="AD224" s="5"/>
      <c r="AE224" s="24"/>
      <c r="AF224" s="22"/>
      <c r="AG224" s="22"/>
      <c r="AH224" s="22"/>
      <c r="AI224" s="22"/>
      <c r="AJ224" s="22"/>
    </row>
    <row r="225" spans="1:36" s="15" customFormat="1" x14ac:dyDescent="0.4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3"/>
      <c r="Y225" s="23"/>
      <c r="Z225" s="5"/>
      <c r="AA225" s="5"/>
      <c r="AB225" s="5"/>
      <c r="AC225" s="5"/>
      <c r="AD225" s="5"/>
      <c r="AE225" s="24"/>
      <c r="AF225" s="22"/>
      <c r="AG225" s="22"/>
      <c r="AH225" s="22"/>
      <c r="AI225" s="22"/>
      <c r="AJ225" s="22"/>
    </row>
    <row r="226" spans="1:36" s="15" customFormat="1" x14ac:dyDescent="0.4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3"/>
      <c r="Y226" s="23"/>
      <c r="Z226" s="5"/>
      <c r="AA226" s="5"/>
      <c r="AB226" s="5"/>
      <c r="AC226" s="5"/>
      <c r="AD226" s="5"/>
      <c r="AE226" s="24"/>
      <c r="AF226" s="22"/>
      <c r="AG226" s="22"/>
      <c r="AH226" s="22"/>
      <c r="AI226" s="22"/>
      <c r="AJ226" s="22"/>
    </row>
    <row r="227" spans="1:36" s="15" customFormat="1" x14ac:dyDescent="0.4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3"/>
      <c r="Y227" s="23"/>
      <c r="Z227" s="5"/>
      <c r="AA227" s="5"/>
      <c r="AB227" s="5"/>
      <c r="AC227" s="5"/>
      <c r="AD227" s="5"/>
      <c r="AE227" s="24"/>
      <c r="AF227" s="22"/>
      <c r="AG227" s="22"/>
      <c r="AH227" s="22"/>
      <c r="AI227" s="22"/>
      <c r="AJ227" s="22"/>
    </row>
    <row r="228" spans="1:36" s="15" customFormat="1" x14ac:dyDescent="0.4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3"/>
      <c r="Y228" s="23"/>
      <c r="Z228" s="5"/>
      <c r="AA228" s="5"/>
      <c r="AB228" s="5"/>
      <c r="AC228" s="5"/>
      <c r="AD228" s="5"/>
      <c r="AE228" s="24"/>
      <c r="AF228" s="22"/>
      <c r="AG228" s="22"/>
      <c r="AH228" s="22"/>
      <c r="AI228" s="22"/>
      <c r="AJ228" s="22"/>
    </row>
    <row r="229" spans="1:36" s="15" customFormat="1" x14ac:dyDescent="0.4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3"/>
      <c r="Y229" s="23"/>
      <c r="Z229" s="5"/>
      <c r="AA229" s="5"/>
      <c r="AB229" s="5"/>
      <c r="AC229" s="5"/>
      <c r="AD229" s="5"/>
      <c r="AE229" s="24"/>
      <c r="AF229" s="22"/>
      <c r="AG229" s="22"/>
      <c r="AH229" s="22"/>
      <c r="AI229" s="22"/>
      <c r="AJ229" s="22"/>
    </row>
    <row r="230" spans="1:36" s="15" customFormat="1" x14ac:dyDescent="0.4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3"/>
      <c r="Y230" s="23"/>
      <c r="Z230" s="5"/>
      <c r="AA230" s="5"/>
      <c r="AB230" s="5"/>
      <c r="AC230" s="5"/>
      <c r="AD230" s="5"/>
      <c r="AE230" s="24"/>
      <c r="AF230" s="22"/>
      <c r="AG230" s="22"/>
      <c r="AH230" s="22"/>
      <c r="AI230" s="22"/>
      <c r="AJ230" s="22"/>
    </row>
    <row r="231" spans="1:36" s="15" customFormat="1" x14ac:dyDescent="0.4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3"/>
      <c r="Y231" s="23"/>
      <c r="Z231" s="5"/>
      <c r="AA231" s="5"/>
      <c r="AB231" s="5"/>
      <c r="AC231" s="5"/>
      <c r="AD231" s="5"/>
      <c r="AE231" s="24"/>
      <c r="AF231" s="22"/>
      <c r="AG231" s="22"/>
      <c r="AH231" s="22"/>
      <c r="AI231" s="22"/>
      <c r="AJ231" s="22"/>
    </row>
    <row r="232" spans="1:36" s="15" customFormat="1" x14ac:dyDescent="0.4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3"/>
      <c r="Y232" s="23"/>
      <c r="Z232" s="5"/>
      <c r="AA232" s="5"/>
      <c r="AB232" s="5"/>
      <c r="AC232" s="5"/>
      <c r="AD232" s="5"/>
      <c r="AE232" s="24"/>
      <c r="AF232" s="22"/>
      <c r="AG232" s="22"/>
      <c r="AH232" s="22"/>
      <c r="AI232" s="22"/>
      <c r="AJ232" s="22"/>
    </row>
    <row r="233" spans="1:36" s="15" customFormat="1" x14ac:dyDescent="0.4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3"/>
      <c r="Y233" s="23"/>
      <c r="Z233" s="5"/>
      <c r="AA233" s="5"/>
      <c r="AB233" s="5"/>
      <c r="AC233" s="5"/>
      <c r="AD233" s="5"/>
      <c r="AE233" s="24"/>
      <c r="AF233" s="22"/>
      <c r="AG233" s="22"/>
      <c r="AH233" s="22"/>
      <c r="AI233" s="22"/>
      <c r="AJ233" s="22"/>
    </row>
    <row r="234" spans="1:36" s="15" customFormat="1" x14ac:dyDescent="0.4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3"/>
      <c r="Y234" s="23"/>
      <c r="Z234" s="5"/>
      <c r="AA234" s="5"/>
      <c r="AB234" s="5"/>
      <c r="AC234" s="5"/>
      <c r="AD234" s="5"/>
      <c r="AE234" s="24"/>
      <c r="AF234" s="22"/>
      <c r="AG234" s="22"/>
      <c r="AH234" s="22"/>
      <c r="AI234" s="22"/>
      <c r="AJ234" s="22"/>
    </row>
    <row r="235" spans="1:36" s="15" customFormat="1" x14ac:dyDescent="0.4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3"/>
      <c r="Y235" s="23"/>
      <c r="Z235" s="5"/>
      <c r="AA235" s="5"/>
      <c r="AB235" s="5"/>
      <c r="AC235" s="5"/>
      <c r="AD235" s="5"/>
      <c r="AE235" s="24"/>
      <c r="AF235" s="22"/>
      <c r="AG235" s="22"/>
      <c r="AH235" s="22"/>
      <c r="AI235" s="22"/>
      <c r="AJ235" s="22"/>
    </row>
    <row r="236" spans="1:36" s="15" customFormat="1" x14ac:dyDescent="0.4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3"/>
      <c r="Y236" s="23"/>
      <c r="Z236" s="5"/>
      <c r="AA236" s="5"/>
      <c r="AB236" s="5"/>
      <c r="AC236" s="5"/>
      <c r="AD236" s="5"/>
      <c r="AE236" s="24"/>
      <c r="AF236" s="22"/>
      <c r="AG236" s="22"/>
      <c r="AH236" s="22"/>
      <c r="AI236" s="22"/>
      <c r="AJ236" s="22"/>
    </row>
    <row r="237" spans="1:36" s="15" customFormat="1" x14ac:dyDescent="0.4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3"/>
      <c r="Y237" s="23"/>
      <c r="Z237" s="5"/>
      <c r="AA237" s="5"/>
      <c r="AB237" s="5"/>
      <c r="AC237" s="5"/>
      <c r="AD237" s="5"/>
      <c r="AE237" s="24"/>
      <c r="AF237" s="22"/>
      <c r="AG237" s="22"/>
      <c r="AH237" s="22"/>
      <c r="AI237" s="22"/>
      <c r="AJ237" s="22"/>
    </row>
    <row r="238" spans="1:36" s="15" customFormat="1" x14ac:dyDescent="0.4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3"/>
      <c r="Y238" s="23"/>
      <c r="Z238" s="5"/>
      <c r="AA238" s="5"/>
      <c r="AB238" s="5"/>
      <c r="AC238" s="5"/>
      <c r="AD238" s="5"/>
      <c r="AE238" s="24"/>
      <c r="AF238" s="22"/>
      <c r="AG238" s="22"/>
      <c r="AH238" s="22"/>
      <c r="AI238" s="22"/>
      <c r="AJ238" s="22"/>
    </row>
    <row r="239" spans="1:36" s="15" customFormat="1" x14ac:dyDescent="0.4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3"/>
      <c r="Y239" s="23"/>
      <c r="Z239" s="5"/>
      <c r="AA239" s="5"/>
      <c r="AB239" s="5"/>
      <c r="AC239" s="5"/>
      <c r="AD239" s="5"/>
      <c r="AE239" s="24"/>
      <c r="AF239" s="22"/>
      <c r="AG239" s="22"/>
      <c r="AH239" s="22"/>
      <c r="AI239" s="22"/>
      <c r="AJ239" s="22"/>
    </row>
    <row r="240" spans="1:36" s="15" customFormat="1" x14ac:dyDescent="0.4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3"/>
      <c r="Y240" s="23"/>
      <c r="Z240" s="5"/>
      <c r="AA240" s="5"/>
      <c r="AB240" s="5"/>
      <c r="AC240" s="5"/>
      <c r="AD240" s="5"/>
      <c r="AE240" s="24"/>
      <c r="AF240" s="22"/>
      <c r="AG240" s="22"/>
      <c r="AH240" s="22"/>
      <c r="AI240" s="22"/>
      <c r="AJ240" s="22"/>
    </row>
    <row r="241" spans="1:36" s="15" customFormat="1" x14ac:dyDescent="0.4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3"/>
      <c r="Y241" s="23"/>
      <c r="Z241" s="5"/>
      <c r="AA241" s="5"/>
      <c r="AB241" s="5"/>
      <c r="AC241" s="5"/>
      <c r="AD241" s="5"/>
      <c r="AE241" s="24"/>
      <c r="AF241" s="22"/>
      <c r="AG241" s="22"/>
      <c r="AH241" s="22"/>
      <c r="AI241" s="22"/>
      <c r="AJ241" s="22"/>
    </row>
    <row r="242" spans="1:36" s="15" customFormat="1" x14ac:dyDescent="0.4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3"/>
      <c r="Y242" s="23"/>
      <c r="Z242" s="5"/>
      <c r="AA242" s="5"/>
      <c r="AB242" s="5"/>
      <c r="AC242" s="5"/>
      <c r="AD242" s="5"/>
      <c r="AE242" s="24"/>
      <c r="AF242" s="22"/>
      <c r="AG242" s="22"/>
      <c r="AH242" s="22"/>
      <c r="AI242" s="22"/>
      <c r="AJ242" s="22"/>
    </row>
    <row r="243" spans="1:36" s="15" customFormat="1" x14ac:dyDescent="0.4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3"/>
      <c r="Y243" s="23"/>
      <c r="Z243" s="5"/>
      <c r="AA243" s="5"/>
      <c r="AB243" s="5"/>
      <c r="AC243" s="5"/>
      <c r="AD243" s="5"/>
      <c r="AE243" s="24"/>
      <c r="AF243" s="22"/>
      <c r="AG243" s="22"/>
      <c r="AH243" s="22"/>
      <c r="AI243" s="22"/>
      <c r="AJ243" s="22"/>
    </row>
    <row r="244" spans="1:36" s="15" customFormat="1" x14ac:dyDescent="0.4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3"/>
      <c r="Y244" s="23"/>
      <c r="Z244" s="5"/>
      <c r="AA244" s="5"/>
      <c r="AB244" s="5"/>
      <c r="AC244" s="5"/>
      <c r="AD244" s="5"/>
      <c r="AE244" s="24"/>
      <c r="AF244" s="22"/>
      <c r="AG244" s="22"/>
      <c r="AH244" s="22"/>
      <c r="AI244" s="22"/>
      <c r="AJ244" s="22"/>
    </row>
    <row r="245" spans="1:36" s="15" customFormat="1" x14ac:dyDescent="0.4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3"/>
      <c r="Y245" s="23"/>
      <c r="Z245" s="5"/>
      <c r="AA245" s="5"/>
      <c r="AB245" s="5"/>
      <c r="AC245" s="5"/>
      <c r="AD245" s="5"/>
      <c r="AE245" s="24"/>
      <c r="AF245" s="22"/>
      <c r="AG245" s="22"/>
      <c r="AH245" s="22"/>
      <c r="AI245" s="22"/>
      <c r="AJ245" s="22"/>
    </row>
    <row r="246" spans="1:36" s="15" customFormat="1" x14ac:dyDescent="0.4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3"/>
      <c r="Y246" s="23"/>
      <c r="Z246" s="5"/>
      <c r="AA246" s="5"/>
      <c r="AB246" s="5"/>
      <c r="AC246" s="5"/>
      <c r="AD246" s="5"/>
      <c r="AE246" s="24"/>
      <c r="AF246" s="22"/>
      <c r="AG246" s="22"/>
      <c r="AH246" s="22"/>
      <c r="AI246" s="22"/>
      <c r="AJ246" s="22"/>
    </row>
    <row r="247" spans="1:36" s="15" customFormat="1" x14ac:dyDescent="0.4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3"/>
      <c r="Y247" s="23"/>
      <c r="Z247" s="5"/>
      <c r="AA247" s="5"/>
      <c r="AB247" s="5"/>
      <c r="AC247" s="5"/>
      <c r="AD247" s="5"/>
      <c r="AE247" s="24"/>
      <c r="AF247" s="22"/>
      <c r="AG247" s="22"/>
      <c r="AH247" s="22"/>
      <c r="AI247" s="22"/>
      <c r="AJ247" s="22"/>
    </row>
    <row r="248" spans="1:36" s="15" customFormat="1" x14ac:dyDescent="0.4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3"/>
      <c r="Y248" s="23"/>
      <c r="Z248" s="5"/>
      <c r="AA248" s="5"/>
      <c r="AB248" s="5"/>
      <c r="AC248" s="5"/>
      <c r="AD248" s="5"/>
      <c r="AE248" s="24"/>
      <c r="AF248" s="22"/>
      <c r="AG248" s="22"/>
      <c r="AH248" s="22"/>
      <c r="AI248" s="22"/>
      <c r="AJ248" s="22"/>
    </row>
    <row r="249" spans="1:36" s="15" customFormat="1" x14ac:dyDescent="0.4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3"/>
      <c r="Y249" s="23"/>
      <c r="Z249" s="5"/>
      <c r="AA249" s="5"/>
      <c r="AB249" s="5"/>
      <c r="AC249" s="5"/>
      <c r="AD249" s="5"/>
      <c r="AE249" s="24"/>
      <c r="AF249" s="22"/>
      <c r="AG249" s="22"/>
      <c r="AH249" s="22"/>
      <c r="AI249" s="22"/>
      <c r="AJ249" s="22"/>
    </row>
    <row r="250" spans="1:36" s="15" customFormat="1" x14ac:dyDescent="0.4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3"/>
      <c r="Y250" s="23"/>
      <c r="Z250" s="5"/>
      <c r="AA250" s="5"/>
      <c r="AB250" s="5"/>
      <c r="AC250" s="5"/>
      <c r="AD250" s="5"/>
      <c r="AE250" s="24"/>
      <c r="AF250" s="22"/>
      <c r="AG250" s="22"/>
      <c r="AH250" s="22"/>
      <c r="AI250" s="22"/>
      <c r="AJ250" s="22"/>
    </row>
    <row r="251" spans="1:36" s="15" customFormat="1" x14ac:dyDescent="0.4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3"/>
      <c r="Y251" s="23"/>
      <c r="Z251" s="5"/>
      <c r="AA251" s="5"/>
      <c r="AB251" s="5"/>
      <c r="AC251" s="5"/>
      <c r="AD251" s="5"/>
      <c r="AE251" s="24"/>
      <c r="AF251" s="22"/>
      <c r="AG251" s="22"/>
      <c r="AH251" s="22"/>
      <c r="AI251" s="22"/>
      <c r="AJ251" s="22"/>
    </row>
    <row r="252" spans="1:36" s="15" customFormat="1" x14ac:dyDescent="0.4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3"/>
      <c r="Y252" s="23"/>
      <c r="Z252" s="5"/>
      <c r="AA252" s="5"/>
      <c r="AB252" s="5"/>
      <c r="AC252" s="5"/>
      <c r="AD252" s="5"/>
      <c r="AE252" s="24"/>
      <c r="AF252" s="22"/>
      <c r="AG252" s="22"/>
      <c r="AH252" s="22"/>
      <c r="AI252" s="22"/>
      <c r="AJ252" s="22"/>
    </row>
    <row r="253" spans="1:36" s="15" customFormat="1" x14ac:dyDescent="0.4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3"/>
      <c r="Y253" s="23"/>
      <c r="Z253" s="5"/>
      <c r="AA253" s="5"/>
      <c r="AB253" s="5"/>
      <c r="AC253" s="5"/>
      <c r="AD253" s="5"/>
      <c r="AE253" s="24"/>
      <c r="AF253" s="22"/>
      <c r="AG253" s="22"/>
      <c r="AH253" s="22"/>
      <c r="AI253" s="22"/>
      <c r="AJ253" s="22"/>
    </row>
    <row r="254" spans="1:36" s="15" customFormat="1" x14ac:dyDescent="0.4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3"/>
      <c r="Y254" s="23"/>
      <c r="Z254" s="5"/>
      <c r="AA254" s="5"/>
      <c r="AB254" s="5"/>
      <c r="AC254" s="5"/>
      <c r="AD254" s="5"/>
      <c r="AE254" s="24"/>
      <c r="AF254" s="22"/>
      <c r="AG254" s="22"/>
      <c r="AH254" s="22"/>
      <c r="AI254" s="22"/>
      <c r="AJ254" s="22"/>
    </row>
    <row r="255" spans="1:36" s="15" customFormat="1" x14ac:dyDescent="0.4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3"/>
      <c r="Y255" s="23"/>
      <c r="Z255" s="5"/>
      <c r="AA255" s="5"/>
      <c r="AB255" s="5"/>
      <c r="AC255" s="5"/>
      <c r="AD255" s="5"/>
      <c r="AE255" s="24"/>
      <c r="AF255" s="22"/>
      <c r="AG255" s="22"/>
      <c r="AH255" s="22"/>
      <c r="AI255" s="22"/>
      <c r="AJ255" s="22"/>
    </row>
    <row r="256" spans="1:36" s="15" customFormat="1" x14ac:dyDescent="0.4">
      <c r="A256" s="5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3"/>
      <c r="Y256" s="23"/>
      <c r="Z256" s="5"/>
      <c r="AA256" s="5"/>
      <c r="AB256" s="5"/>
      <c r="AC256" s="5"/>
      <c r="AD256" s="5"/>
      <c r="AE256" s="24"/>
      <c r="AF256" s="22"/>
      <c r="AG256" s="22"/>
      <c r="AH256" s="22"/>
      <c r="AI256" s="22"/>
      <c r="AJ256" s="22"/>
    </row>
    <row r="257" spans="1:36" s="15" customFormat="1" x14ac:dyDescent="0.4">
      <c r="A257" s="5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3"/>
      <c r="Y257" s="23"/>
      <c r="Z257" s="5"/>
      <c r="AA257" s="5"/>
      <c r="AB257" s="5"/>
      <c r="AC257" s="5"/>
      <c r="AD257" s="5"/>
      <c r="AE257" s="24"/>
      <c r="AF257" s="22"/>
      <c r="AG257" s="22"/>
      <c r="AH257" s="22"/>
      <c r="AI257" s="22"/>
      <c r="AJ257" s="22"/>
    </row>
    <row r="258" spans="1:36" s="15" customFormat="1" x14ac:dyDescent="0.4">
      <c r="A258" s="5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3"/>
      <c r="Y258" s="23"/>
      <c r="Z258" s="5"/>
      <c r="AA258" s="5"/>
      <c r="AB258" s="5"/>
      <c r="AC258" s="5"/>
      <c r="AD258" s="5"/>
      <c r="AE258" s="24"/>
      <c r="AF258" s="22"/>
      <c r="AG258" s="22"/>
      <c r="AH258" s="22"/>
      <c r="AI258" s="22"/>
      <c r="AJ258" s="22"/>
    </row>
    <row r="259" spans="1:36" s="15" customFormat="1" x14ac:dyDescent="0.4">
      <c r="A259" s="5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3"/>
      <c r="Y259" s="23"/>
      <c r="Z259" s="5"/>
      <c r="AA259" s="5"/>
      <c r="AB259" s="5"/>
      <c r="AC259" s="5"/>
      <c r="AD259" s="5"/>
      <c r="AE259" s="24"/>
      <c r="AF259" s="22"/>
      <c r="AG259" s="22"/>
      <c r="AH259" s="22"/>
      <c r="AI259" s="22"/>
      <c r="AJ259" s="22"/>
    </row>
    <row r="260" spans="1:36" s="15" customFormat="1" x14ac:dyDescent="0.4">
      <c r="A260" s="5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3"/>
      <c r="Y260" s="23"/>
      <c r="Z260" s="5"/>
      <c r="AA260" s="5"/>
      <c r="AB260" s="5"/>
      <c r="AC260" s="5"/>
      <c r="AD260" s="5"/>
      <c r="AE260" s="24"/>
      <c r="AF260" s="22"/>
      <c r="AG260" s="22"/>
      <c r="AH260" s="22"/>
      <c r="AI260" s="22"/>
      <c r="AJ260" s="22"/>
    </row>
    <row r="261" spans="1:36" s="15" customFormat="1" x14ac:dyDescent="0.4">
      <c r="A261" s="5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3"/>
      <c r="Y261" s="23"/>
      <c r="Z261" s="5"/>
      <c r="AA261" s="5"/>
      <c r="AB261" s="5"/>
      <c r="AC261" s="5"/>
      <c r="AD261" s="5"/>
      <c r="AE261" s="24"/>
      <c r="AF261" s="22"/>
      <c r="AG261" s="22"/>
      <c r="AH261" s="22"/>
      <c r="AI261" s="22"/>
      <c r="AJ261" s="22"/>
    </row>
    <row r="262" spans="1:36" s="15" customFormat="1" x14ac:dyDescent="0.4">
      <c r="A262" s="5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3"/>
      <c r="Y262" s="23"/>
      <c r="Z262" s="5"/>
      <c r="AA262" s="5"/>
      <c r="AB262" s="5"/>
      <c r="AC262" s="5"/>
      <c r="AD262" s="5"/>
      <c r="AE262" s="24"/>
      <c r="AF262" s="22"/>
      <c r="AG262" s="22"/>
      <c r="AH262" s="22"/>
      <c r="AI262" s="22"/>
      <c r="AJ262" s="22"/>
    </row>
    <row r="263" spans="1:36" s="15" customFormat="1" x14ac:dyDescent="0.4">
      <c r="A263" s="5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3"/>
      <c r="Y263" s="23"/>
      <c r="Z263" s="5"/>
      <c r="AA263" s="5"/>
      <c r="AB263" s="5"/>
      <c r="AC263" s="5"/>
      <c r="AD263" s="5"/>
      <c r="AE263" s="24"/>
      <c r="AF263" s="22"/>
      <c r="AG263" s="22"/>
      <c r="AH263" s="22"/>
      <c r="AI263" s="22"/>
      <c r="AJ263" s="22"/>
    </row>
    <row r="264" spans="1:36" s="15" customFormat="1" x14ac:dyDescent="0.4">
      <c r="A264" s="5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3"/>
      <c r="Y264" s="23"/>
      <c r="Z264" s="5"/>
      <c r="AA264" s="5"/>
      <c r="AB264" s="5"/>
      <c r="AC264" s="5"/>
      <c r="AD264" s="5"/>
      <c r="AE264" s="24"/>
      <c r="AF264" s="22"/>
      <c r="AG264" s="22"/>
      <c r="AH264" s="22"/>
      <c r="AI264" s="22"/>
      <c r="AJ264" s="22"/>
    </row>
    <row r="265" spans="1:36" s="15" customFormat="1" x14ac:dyDescent="0.4">
      <c r="A265" s="5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3"/>
      <c r="Y265" s="23"/>
      <c r="Z265" s="5"/>
      <c r="AA265" s="5"/>
      <c r="AB265" s="5"/>
      <c r="AC265" s="5"/>
      <c r="AD265" s="5"/>
      <c r="AE265" s="24"/>
      <c r="AF265" s="22"/>
      <c r="AG265" s="22"/>
      <c r="AH265" s="22"/>
      <c r="AI265" s="22"/>
      <c r="AJ265" s="22"/>
    </row>
    <row r="266" spans="1:36" s="15" customFormat="1" x14ac:dyDescent="0.4">
      <c r="A266" s="5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3"/>
      <c r="Y266" s="23"/>
      <c r="Z266" s="5"/>
      <c r="AA266" s="5"/>
      <c r="AB266" s="5"/>
      <c r="AC266" s="5"/>
      <c r="AD266" s="5"/>
      <c r="AE266" s="24"/>
      <c r="AF266" s="22"/>
      <c r="AG266" s="22"/>
      <c r="AH266" s="22"/>
      <c r="AI266" s="22"/>
      <c r="AJ266" s="22"/>
    </row>
    <row r="267" spans="1:36" s="15" customFormat="1" x14ac:dyDescent="0.4">
      <c r="A267" s="5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3"/>
      <c r="Y267" s="23"/>
      <c r="Z267" s="5"/>
      <c r="AA267" s="5"/>
      <c r="AB267" s="5"/>
      <c r="AC267" s="5"/>
      <c r="AD267" s="5"/>
      <c r="AE267" s="24"/>
      <c r="AF267" s="22"/>
      <c r="AG267" s="22"/>
      <c r="AH267" s="22"/>
      <c r="AI267" s="22"/>
      <c r="AJ267" s="22"/>
    </row>
    <row r="268" spans="1:36" s="15" customFormat="1" x14ac:dyDescent="0.4">
      <c r="A268" s="5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23"/>
      <c r="Y268" s="23"/>
      <c r="Z268" s="5"/>
      <c r="AA268" s="5"/>
      <c r="AB268" s="5"/>
      <c r="AC268" s="5"/>
      <c r="AD268" s="5"/>
      <c r="AE268" s="24"/>
      <c r="AF268" s="22"/>
      <c r="AG268" s="22"/>
      <c r="AH268" s="22"/>
      <c r="AI268" s="22"/>
      <c r="AJ268" s="22"/>
    </row>
    <row r="269" spans="1:36" s="15" customFormat="1" x14ac:dyDescent="0.4">
      <c r="A269" s="5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23"/>
      <c r="Y269" s="23"/>
      <c r="Z269" s="5"/>
      <c r="AA269" s="5"/>
      <c r="AB269" s="5"/>
      <c r="AC269" s="5"/>
      <c r="AD269" s="5"/>
      <c r="AE269" s="24"/>
      <c r="AF269" s="22"/>
      <c r="AG269" s="22"/>
      <c r="AH269" s="22"/>
      <c r="AI269" s="22"/>
      <c r="AJ269" s="22"/>
    </row>
    <row r="270" spans="1:36" s="15" customFormat="1" x14ac:dyDescent="0.4">
      <c r="A270" s="5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23"/>
      <c r="Y270" s="23"/>
      <c r="Z270" s="5"/>
      <c r="AA270" s="5"/>
      <c r="AB270" s="5"/>
      <c r="AC270" s="5"/>
      <c r="AD270" s="5"/>
      <c r="AE270" s="24"/>
      <c r="AF270" s="22"/>
      <c r="AG270" s="22"/>
      <c r="AH270" s="22"/>
      <c r="AI270" s="22"/>
      <c r="AJ270" s="22"/>
    </row>
    <row r="271" spans="1:36" s="15" customFormat="1" x14ac:dyDescent="0.4">
      <c r="A271" s="5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3"/>
      <c r="Y271" s="23"/>
      <c r="Z271" s="5"/>
      <c r="AA271" s="5"/>
      <c r="AB271" s="5"/>
      <c r="AC271" s="5"/>
      <c r="AD271" s="5"/>
      <c r="AE271" s="24"/>
      <c r="AF271" s="22"/>
      <c r="AG271" s="22"/>
      <c r="AH271" s="22"/>
      <c r="AI271" s="22"/>
      <c r="AJ271" s="22"/>
    </row>
    <row r="272" spans="1:36" s="15" customFormat="1" x14ac:dyDescent="0.4">
      <c r="A272" s="5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23"/>
      <c r="Y272" s="23"/>
      <c r="Z272" s="5"/>
      <c r="AA272" s="5"/>
      <c r="AB272" s="5"/>
      <c r="AC272" s="5"/>
      <c r="AD272" s="5"/>
      <c r="AE272" s="24"/>
      <c r="AF272" s="22"/>
      <c r="AG272" s="22"/>
      <c r="AH272" s="22"/>
      <c r="AI272" s="22"/>
      <c r="AJ272" s="22"/>
    </row>
    <row r="273" spans="1:36" s="15" customFormat="1" x14ac:dyDescent="0.4">
      <c r="A273" s="5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23"/>
      <c r="Y273" s="23"/>
      <c r="Z273" s="5"/>
      <c r="AA273" s="5"/>
      <c r="AB273" s="5"/>
      <c r="AC273" s="5"/>
      <c r="AD273" s="5"/>
      <c r="AE273" s="24"/>
      <c r="AF273" s="22"/>
      <c r="AG273" s="22"/>
      <c r="AH273" s="22"/>
      <c r="AI273" s="22"/>
      <c r="AJ273" s="22"/>
    </row>
    <row r="274" spans="1:36" s="15" customFormat="1" x14ac:dyDescent="0.4">
      <c r="A274" s="5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23"/>
      <c r="Y274" s="23"/>
      <c r="Z274" s="5"/>
      <c r="AA274" s="5"/>
      <c r="AB274" s="5"/>
      <c r="AC274" s="5"/>
      <c r="AD274" s="5"/>
      <c r="AE274" s="24"/>
      <c r="AF274" s="22"/>
      <c r="AG274" s="22"/>
      <c r="AH274" s="22"/>
      <c r="AI274" s="22"/>
      <c r="AJ274" s="22"/>
    </row>
    <row r="275" spans="1:36" s="15" customFormat="1" x14ac:dyDescent="0.4">
      <c r="A275" s="5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23"/>
      <c r="Y275" s="23"/>
      <c r="Z275" s="5"/>
      <c r="AA275" s="5"/>
      <c r="AB275" s="5"/>
      <c r="AC275" s="5"/>
      <c r="AD275" s="5"/>
      <c r="AE275" s="24"/>
      <c r="AF275" s="22"/>
      <c r="AG275" s="22"/>
      <c r="AH275" s="22"/>
      <c r="AI275" s="22"/>
      <c r="AJ275" s="22"/>
    </row>
    <row r="276" spans="1:36" s="15" customFormat="1" x14ac:dyDescent="0.4">
      <c r="A276" s="5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23"/>
      <c r="Y276" s="23"/>
      <c r="Z276" s="5"/>
      <c r="AA276" s="5"/>
      <c r="AB276" s="5"/>
      <c r="AC276" s="5"/>
      <c r="AD276" s="5"/>
      <c r="AE276" s="24"/>
      <c r="AF276" s="22"/>
      <c r="AG276" s="22"/>
      <c r="AH276" s="22"/>
      <c r="AI276" s="22"/>
      <c r="AJ276" s="22"/>
    </row>
    <row r="277" spans="1:36" s="15" customFormat="1" x14ac:dyDescent="0.4">
      <c r="A277" s="5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23"/>
      <c r="Y277" s="23"/>
      <c r="Z277" s="5"/>
      <c r="AA277" s="5"/>
      <c r="AB277" s="5"/>
      <c r="AC277" s="5"/>
      <c r="AD277" s="5"/>
      <c r="AE277" s="24"/>
      <c r="AF277" s="22"/>
      <c r="AG277" s="22"/>
      <c r="AH277" s="22"/>
      <c r="AI277" s="22"/>
      <c r="AJ277" s="22"/>
    </row>
    <row r="278" spans="1:36" s="15" customFormat="1" x14ac:dyDescent="0.4">
      <c r="A278" s="5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3"/>
      <c r="Y278" s="23"/>
      <c r="Z278" s="5"/>
      <c r="AA278" s="5"/>
      <c r="AB278" s="5"/>
      <c r="AC278" s="5"/>
      <c r="AD278" s="5"/>
      <c r="AE278" s="24"/>
      <c r="AF278" s="22"/>
      <c r="AG278" s="22"/>
      <c r="AH278" s="22"/>
      <c r="AI278" s="22"/>
      <c r="AJ278" s="22"/>
    </row>
    <row r="279" spans="1:36" s="15" customFormat="1" x14ac:dyDescent="0.4">
      <c r="A279" s="5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3"/>
      <c r="Y279" s="23"/>
      <c r="Z279" s="5"/>
      <c r="AA279" s="5"/>
      <c r="AB279" s="5"/>
      <c r="AC279" s="5"/>
      <c r="AD279" s="5"/>
      <c r="AE279" s="24"/>
      <c r="AF279" s="22"/>
      <c r="AG279" s="22"/>
      <c r="AH279" s="22"/>
      <c r="AI279" s="22"/>
      <c r="AJ279" s="22"/>
    </row>
    <row r="280" spans="1:36" s="15" customFormat="1" x14ac:dyDescent="0.4">
      <c r="A280" s="5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3"/>
      <c r="Y280" s="23"/>
      <c r="Z280" s="5"/>
      <c r="AA280" s="5"/>
      <c r="AB280" s="5"/>
      <c r="AC280" s="5"/>
      <c r="AD280" s="5"/>
      <c r="AE280" s="24"/>
      <c r="AF280" s="22"/>
      <c r="AG280" s="22"/>
      <c r="AH280" s="22"/>
      <c r="AI280" s="22"/>
      <c r="AJ280" s="22"/>
    </row>
    <row r="281" spans="1:36" s="15" customFormat="1" x14ac:dyDescent="0.4">
      <c r="A281" s="5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23"/>
      <c r="Y281" s="23"/>
      <c r="Z281" s="5"/>
      <c r="AA281" s="5"/>
      <c r="AB281" s="5"/>
      <c r="AC281" s="5"/>
      <c r="AD281" s="5"/>
      <c r="AE281" s="24"/>
      <c r="AF281" s="22"/>
      <c r="AG281" s="22"/>
      <c r="AH281" s="22"/>
      <c r="AI281" s="22"/>
      <c r="AJ281" s="22"/>
    </row>
    <row r="282" spans="1:36" s="15" customFormat="1" x14ac:dyDescent="0.4">
      <c r="A282" s="5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3"/>
      <c r="Y282" s="23"/>
      <c r="Z282" s="5"/>
      <c r="AA282" s="5"/>
      <c r="AB282" s="5"/>
      <c r="AC282" s="5"/>
      <c r="AD282" s="5"/>
      <c r="AE282" s="24"/>
      <c r="AF282" s="22"/>
      <c r="AG282" s="22"/>
      <c r="AH282" s="22"/>
      <c r="AI282" s="22"/>
      <c r="AJ282" s="22"/>
    </row>
    <row r="283" spans="1:36" s="15" customFormat="1" x14ac:dyDescent="0.4">
      <c r="A283" s="5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23"/>
      <c r="Y283" s="23"/>
      <c r="Z283" s="5"/>
      <c r="AA283" s="5"/>
      <c r="AB283" s="5"/>
      <c r="AC283" s="5"/>
      <c r="AD283" s="5"/>
      <c r="AE283" s="24"/>
      <c r="AF283" s="22"/>
      <c r="AG283" s="22"/>
      <c r="AH283" s="22"/>
      <c r="AI283" s="22"/>
      <c r="AJ283" s="22"/>
    </row>
    <row r="284" spans="1:36" s="15" customFormat="1" x14ac:dyDescent="0.4">
      <c r="A284" s="5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3"/>
      <c r="Y284" s="23"/>
      <c r="Z284" s="5"/>
      <c r="AA284" s="5"/>
      <c r="AB284" s="5"/>
      <c r="AC284" s="5"/>
      <c r="AD284" s="5"/>
      <c r="AE284" s="24"/>
      <c r="AF284" s="22"/>
      <c r="AG284" s="22"/>
      <c r="AH284" s="22"/>
      <c r="AI284" s="22"/>
      <c r="AJ284" s="22"/>
    </row>
    <row r="285" spans="1:36" s="15" customFormat="1" x14ac:dyDescent="0.4">
      <c r="A285" s="5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23"/>
      <c r="Y285" s="23"/>
      <c r="Z285" s="5"/>
      <c r="AA285" s="5"/>
      <c r="AB285" s="5"/>
      <c r="AC285" s="5"/>
      <c r="AD285" s="5"/>
      <c r="AE285" s="24"/>
      <c r="AF285" s="22"/>
      <c r="AG285" s="22"/>
      <c r="AH285" s="22"/>
      <c r="AI285" s="22"/>
      <c r="AJ285" s="22"/>
    </row>
    <row r="286" spans="1:36" s="15" customFormat="1" x14ac:dyDescent="0.4">
      <c r="A286" s="5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23"/>
      <c r="Y286" s="23"/>
      <c r="Z286" s="5"/>
      <c r="AA286" s="5"/>
      <c r="AB286" s="5"/>
      <c r="AC286" s="5"/>
      <c r="AD286" s="5"/>
      <c r="AE286" s="24"/>
      <c r="AF286" s="22"/>
      <c r="AG286" s="22"/>
      <c r="AH286" s="22"/>
      <c r="AI286" s="22"/>
      <c r="AJ286" s="22"/>
    </row>
    <row r="287" spans="1:36" s="15" customFormat="1" x14ac:dyDescent="0.4">
      <c r="A287" s="5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3"/>
      <c r="Y287" s="23"/>
      <c r="Z287" s="5"/>
      <c r="AA287" s="5"/>
      <c r="AB287" s="5"/>
      <c r="AC287" s="5"/>
      <c r="AD287" s="5"/>
      <c r="AE287" s="24"/>
      <c r="AF287" s="22"/>
      <c r="AG287" s="22"/>
      <c r="AH287" s="22"/>
      <c r="AI287" s="22"/>
      <c r="AJ287" s="22"/>
    </row>
    <row r="288" spans="1:36" s="15" customFormat="1" x14ac:dyDescent="0.4">
      <c r="A288" s="5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3"/>
      <c r="Y288" s="23"/>
      <c r="Z288" s="5"/>
      <c r="AA288" s="5"/>
      <c r="AB288" s="5"/>
      <c r="AC288" s="5"/>
      <c r="AD288" s="5"/>
      <c r="AE288" s="24"/>
      <c r="AF288" s="22"/>
      <c r="AG288" s="22"/>
      <c r="AH288" s="22"/>
      <c r="AI288" s="22"/>
      <c r="AJ288" s="22"/>
    </row>
    <row r="289" spans="1:36" s="15" customFormat="1" x14ac:dyDescent="0.4">
      <c r="A289" s="5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3"/>
      <c r="Y289" s="23"/>
      <c r="Z289" s="5"/>
      <c r="AA289" s="5"/>
      <c r="AB289" s="5"/>
      <c r="AC289" s="5"/>
      <c r="AD289" s="5"/>
      <c r="AE289" s="24"/>
      <c r="AF289" s="22"/>
      <c r="AG289" s="22"/>
      <c r="AH289" s="22"/>
      <c r="AI289" s="22"/>
      <c r="AJ289" s="22"/>
    </row>
    <row r="290" spans="1:36" s="15" customFormat="1" x14ac:dyDescent="0.4">
      <c r="A290" s="5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3"/>
      <c r="Y290" s="23"/>
      <c r="Z290" s="5"/>
      <c r="AA290" s="5"/>
      <c r="AB290" s="5"/>
      <c r="AC290" s="5"/>
      <c r="AD290" s="5"/>
      <c r="AE290" s="24"/>
      <c r="AF290" s="22"/>
      <c r="AG290" s="22"/>
      <c r="AH290" s="22"/>
      <c r="AI290" s="22"/>
      <c r="AJ290" s="22"/>
    </row>
    <row r="291" spans="1:36" s="15" customFormat="1" x14ac:dyDescent="0.4">
      <c r="A291" s="5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23"/>
      <c r="Y291" s="23"/>
      <c r="Z291" s="5"/>
      <c r="AA291" s="5"/>
      <c r="AB291" s="5"/>
      <c r="AC291" s="5"/>
      <c r="AD291" s="5"/>
      <c r="AE291" s="24"/>
      <c r="AF291" s="22"/>
      <c r="AG291" s="22"/>
      <c r="AH291" s="22"/>
      <c r="AI291" s="22"/>
      <c r="AJ291" s="22"/>
    </row>
    <row r="292" spans="1:36" s="15" customFormat="1" x14ac:dyDescent="0.4">
      <c r="A292" s="5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23"/>
      <c r="Y292" s="23"/>
      <c r="Z292" s="5"/>
      <c r="AA292" s="5"/>
      <c r="AB292" s="5"/>
      <c r="AC292" s="5"/>
      <c r="AD292" s="5"/>
      <c r="AE292" s="24"/>
      <c r="AF292" s="22"/>
      <c r="AG292" s="22"/>
      <c r="AH292" s="22"/>
      <c r="AI292" s="22"/>
      <c r="AJ292" s="22"/>
    </row>
    <row r="293" spans="1:36" s="15" customFormat="1" x14ac:dyDescent="0.4">
      <c r="A293" s="5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3"/>
      <c r="Y293" s="23"/>
      <c r="Z293" s="5"/>
      <c r="AA293" s="5"/>
      <c r="AB293" s="5"/>
      <c r="AC293" s="5"/>
      <c r="AD293" s="5"/>
      <c r="AE293" s="24"/>
      <c r="AF293" s="22"/>
      <c r="AG293" s="22"/>
      <c r="AH293" s="22"/>
      <c r="AI293" s="22"/>
      <c r="AJ293" s="22"/>
    </row>
    <row r="294" spans="1:36" s="15" customFormat="1" x14ac:dyDescent="0.4">
      <c r="A294" s="5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3"/>
      <c r="Y294" s="23"/>
      <c r="Z294" s="5"/>
      <c r="AA294" s="5"/>
      <c r="AB294" s="5"/>
      <c r="AC294" s="5"/>
      <c r="AD294" s="5"/>
      <c r="AE294" s="24"/>
      <c r="AF294" s="22"/>
      <c r="AG294" s="22"/>
      <c r="AH294" s="22"/>
      <c r="AI294" s="22"/>
      <c r="AJ294" s="22"/>
    </row>
    <row r="295" spans="1:36" s="15" customFormat="1" x14ac:dyDescent="0.4">
      <c r="A295" s="5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23"/>
      <c r="Y295" s="23"/>
      <c r="Z295" s="5"/>
      <c r="AA295" s="5"/>
      <c r="AB295" s="5"/>
      <c r="AC295" s="5"/>
      <c r="AD295" s="5"/>
      <c r="AE295" s="24"/>
      <c r="AF295" s="22"/>
      <c r="AG295" s="22"/>
      <c r="AH295" s="22"/>
      <c r="AI295" s="22"/>
      <c r="AJ295" s="22"/>
    </row>
    <row r="296" spans="1:36" s="15" customFormat="1" x14ac:dyDescent="0.4">
      <c r="A296" s="5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3"/>
      <c r="Y296" s="23"/>
      <c r="Z296" s="5"/>
      <c r="AA296" s="5"/>
      <c r="AB296" s="5"/>
      <c r="AC296" s="5"/>
      <c r="AD296" s="5"/>
      <c r="AE296" s="24"/>
      <c r="AF296" s="22"/>
      <c r="AG296" s="22"/>
      <c r="AH296" s="22"/>
      <c r="AI296" s="22"/>
      <c r="AJ296" s="22"/>
    </row>
    <row r="297" spans="1:36" s="15" customFormat="1" x14ac:dyDescent="0.4">
      <c r="A297" s="5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23"/>
      <c r="Y297" s="23"/>
      <c r="Z297" s="5"/>
      <c r="AA297" s="5"/>
      <c r="AB297" s="5"/>
      <c r="AC297" s="5"/>
      <c r="AD297" s="5"/>
      <c r="AE297" s="24"/>
      <c r="AF297" s="22"/>
      <c r="AG297" s="22"/>
      <c r="AH297" s="22"/>
      <c r="AI297" s="22"/>
      <c r="AJ297" s="22"/>
    </row>
    <row r="298" spans="1:36" s="15" customFormat="1" x14ac:dyDescent="0.4">
      <c r="A298" s="5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23"/>
      <c r="Y298" s="23"/>
      <c r="Z298" s="5"/>
      <c r="AA298" s="5"/>
      <c r="AB298" s="5"/>
      <c r="AC298" s="5"/>
      <c r="AD298" s="5"/>
      <c r="AE298" s="24"/>
      <c r="AF298" s="22"/>
      <c r="AG298" s="22"/>
      <c r="AH298" s="22"/>
      <c r="AI298" s="22"/>
      <c r="AJ298" s="22"/>
    </row>
    <row r="299" spans="1:36" s="15" customFormat="1" x14ac:dyDescent="0.4">
      <c r="A299" s="5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23"/>
      <c r="Y299" s="23"/>
      <c r="Z299" s="5"/>
      <c r="AA299" s="5"/>
      <c r="AB299" s="5"/>
      <c r="AC299" s="5"/>
      <c r="AD299" s="5"/>
      <c r="AE299" s="24"/>
      <c r="AF299" s="22"/>
      <c r="AG299" s="22"/>
      <c r="AH299" s="22"/>
      <c r="AI299" s="22"/>
      <c r="AJ299" s="22"/>
    </row>
    <row r="300" spans="1:36" s="15" customFormat="1" x14ac:dyDescent="0.4">
      <c r="A300" s="5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3"/>
      <c r="Y300" s="23"/>
      <c r="Z300" s="5"/>
      <c r="AA300" s="5"/>
      <c r="AB300" s="5"/>
      <c r="AC300" s="5"/>
      <c r="AD300" s="5"/>
      <c r="AE300" s="24"/>
      <c r="AF300" s="22"/>
      <c r="AG300" s="22"/>
      <c r="AH300" s="22"/>
      <c r="AI300" s="22"/>
      <c r="AJ300" s="22"/>
    </row>
    <row r="301" spans="1:36" s="15" customFormat="1" x14ac:dyDescent="0.4">
      <c r="A301" s="5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3"/>
      <c r="Y301" s="23"/>
      <c r="Z301" s="5"/>
      <c r="AA301" s="5"/>
      <c r="AB301" s="5"/>
      <c r="AC301" s="5"/>
      <c r="AD301" s="5"/>
      <c r="AE301" s="24"/>
      <c r="AF301" s="22"/>
      <c r="AG301" s="22"/>
      <c r="AH301" s="22"/>
      <c r="AI301" s="22"/>
      <c r="AJ301" s="22"/>
    </row>
    <row r="302" spans="1:36" s="15" customFormat="1" x14ac:dyDescent="0.4">
      <c r="A302" s="5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3"/>
      <c r="Y302" s="23"/>
      <c r="Z302" s="5"/>
      <c r="AA302" s="5"/>
      <c r="AB302" s="5"/>
      <c r="AC302" s="5"/>
      <c r="AD302" s="5"/>
      <c r="AE302" s="24"/>
      <c r="AF302" s="22"/>
      <c r="AG302" s="22"/>
      <c r="AH302" s="22"/>
      <c r="AI302" s="22"/>
      <c r="AJ302" s="22"/>
    </row>
    <row r="303" spans="1:36" s="15" customFormat="1" x14ac:dyDescent="0.4">
      <c r="A303" s="5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23"/>
      <c r="Y303" s="23"/>
      <c r="Z303" s="5"/>
      <c r="AA303" s="5"/>
      <c r="AB303" s="5"/>
      <c r="AC303" s="5"/>
      <c r="AD303" s="5"/>
      <c r="AE303" s="24"/>
      <c r="AF303" s="22"/>
      <c r="AG303" s="22"/>
      <c r="AH303" s="22"/>
      <c r="AI303" s="22"/>
      <c r="AJ303" s="22"/>
    </row>
    <row r="304" spans="1:36" s="15" customFormat="1" x14ac:dyDescent="0.4">
      <c r="A304" s="5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3"/>
      <c r="Y304" s="23"/>
      <c r="Z304" s="5"/>
      <c r="AA304" s="5"/>
      <c r="AB304" s="5"/>
      <c r="AC304" s="5"/>
      <c r="AD304" s="5"/>
      <c r="AE304" s="24"/>
      <c r="AF304" s="22"/>
      <c r="AG304" s="22"/>
      <c r="AH304" s="22"/>
      <c r="AI304" s="22"/>
      <c r="AJ304" s="22"/>
    </row>
    <row r="305" spans="1:36" s="15" customFormat="1" x14ac:dyDescent="0.4">
      <c r="A305" s="5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23"/>
      <c r="Y305" s="23"/>
      <c r="Z305" s="5"/>
      <c r="AA305" s="5"/>
      <c r="AB305" s="5"/>
      <c r="AC305" s="5"/>
      <c r="AD305" s="5"/>
      <c r="AE305" s="24"/>
      <c r="AF305" s="22"/>
      <c r="AG305" s="22"/>
      <c r="AH305" s="22"/>
      <c r="AI305" s="22"/>
      <c r="AJ305" s="22"/>
    </row>
    <row r="306" spans="1:36" s="15" customFormat="1" x14ac:dyDescent="0.4">
      <c r="A306" s="5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3"/>
      <c r="Y306" s="23"/>
      <c r="Z306" s="5"/>
      <c r="AA306" s="5"/>
      <c r="AB306" s="5"/>
      <c r="AC306" s="5"/>
      <c r="AD306" s="5"/>
      <c r="AE306" s="24"/>
      <c r="AF306" s="22"/>
      <c r="AG306" s="22"/>
      <c r="AH306" s="22"/>
      <c r="AI306" s="22"/>
      <c r="AJ306" s="22"/>
    </row>
    <row r="307" spans="1:36" s="15" customFormat="1" x14ac:dyDescent="0.4">
      <c r="A307" s="5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23"/>
      <c r="Y307" s="23"/>
      <c r="Z307" s="5"/>
      <c r="AA307" s="5"/>
      <c r="AB307" s="5"/>
      <c r="AC307" s="5"/>
      <c r="AD307" s="5"/>
      <c r="AE307" s="24"/>
      <c r="AF307" s="22"/>
      <c r="AG307" s="22"/>
      <c r="AH307" s="22"/>
      <c r="AI307" s="22"/>
      <c r="AJ307" s="22"/>
    </row>
    <row r="308" spans="1:36" s="15" customFormat="1" x14ac:dyDescent="0.4">
      <c r="A308" s="5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23"/>
      <c r="Y308" s="23"/>
      <c r="Z308" s="5"/>
      <c r="AA308" s="5"/>
      <c r="AB308" s="5"/>
      <c r="AC308" s="5"/>
      <c r="AD308" s="5"/>
      <c r="AE308" s="24"/>
      <c r="AF308" s="22"/>
      <c r="AG308" s="22"/>
      <c r="AH308" s="22"/>
      <c r="AI308" s="22"/>
      <c r="AJ308" s="22"/>
    </row>
    <row r="309" spans="1:36" s="15" customFormat="1" x14ac:dyDescent="0.4">
      <c r="A309" s="5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23"/>
      <c r="Y309" s="23"/>
      <c r="Z309" s="5"/>
      <c r="AA309" s="5"/>
      <c r="AB309" s="5"/>
      <c r="AC309" s="5"/>
      <c r="AD309" s="5"/>
      <c r="AE309" s="24"/>
      <c r="AF309" s="22"/>
      <c r="AG309" s="22"/>
      <c r="AH309" s="22"/>
      <c r="AI309" s="22"/>
      <c r="AJ309" s="22"/>
    </row>
    <row r="310" spans="1:36" s="15" customFormat="1" x14ac:dyDescent="0.4">
      <c r="A310" s="5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3"/>
      <c r="Y310" s="23"/>
      <c r="Z310" s="5"/>
      <c r="AA310" s="5"/>
      <c r="AB310" s="5"/>
      <c r="AC310" s="5"/>
      <c r="AD310" s="5"/>
      <c r="AE310" s="24"/>
      <c r="AF310" s="22"/>
      <c r="AG310" s="22"/>
      <c r="AH310" s="22"/>
      <c r="AI310" s="22"/>
      <c r="AJ310" s="22"/>
    </row>
    <row r="311" spans="1:36" s="15" customFormat="1" x14ac:dyDescent="0.4">
      <c r="A311" s="5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23"/>
      <c r="Y311" s="23"/>
      <c r="Z311" s="5"/>
      <c r="AA311" s="5"/>
      <c r="AB311" s="5"/>
      <c r="AC311" s="5"/>
      <c r="AD311" s="5"/>
      <c r="AE311" s="24"/>
      <c r="AF311" s="22"/>
      <c r="AG311" s="22"/>
      <c r="AH311" s="22"/>
      <c r="AI311" s="22"/>
      <c r="AJ311" s="22"/>
    </row>
    <row r="312" spans="1:36" s="15" customFormat="1" x14ac:dyDescent="0.4">
      <c r="A312" s="5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23"/>
      <c r="Y312" s="23"/>
      <c r="Z312" s="5"/>
      <c r="AA312" s="5"/>
      <c r="AB312" s="5"/>
      <c r="AC312" s="5"/>
      <c r="AD312" s="5"/>
      <c r="AE312" s="24"/>
      <c r="AF312" s="22"/>
      <c r="AG312" s="22"/>
      <c r="AH312" s="22"/>
      <c r="AI312" s="22"/>
      <c r="AJ312" s="22"/>
    </row>
    <row r="313" spans="1:36" s="15" customFormat="1" x14ac:dyDescent="0.4">
      <c r="A313" s="5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23"/>
      <c r="Y313" s="23"/>
      <c r="Z313" s="5"/>
      <c r="AA313" s="5"/>
      <c r="AB313" s="5"/>
      <c r="AC313" s="5"/>
      <c r="AD313" s="5"/>
      <c r="AE313" s="24"/>
      <c r="AF313" s="22"/>
      <c r="AG313" s="22"/>
      <c r="AH313" s="22"/>
      <c r="AI313" s="22"/>
      <c r="AJ313" s="22"/>
    </row>
    <row r="314" spans="1:36" s="15" customFormat="1" x14ac:dyDescent="0.4">
      <c r="A314" s="5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23"/>
      <c r="Y314" s="23"/>
      <c r="Z314" s="5"/>
      <c r="AA314" s="5"/>
      <c r="AB314" s="5"/>
      <c r="AC314" s="5"/>
      <c r="AD314" s="5"/>
      <c r="AE314" s="24"/>
      <c r="AF314" s="22"/>
      <c r="AG314" s="22"/>
      <c r="AH314" s="22"/>
      <c r="AI314" s="22"/>
      <c r="AJ314" s="22"/>
    </row>
    <row r="315" spans="1:36" s="15" customFormat="1" x14ac:dyDescent="0.4">
      <c r="A315" s="5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23"/>
      <c r="Y315" s="23"/>
      <c r="Z315" s="5"/>
      <c r="AA315" s="5"/>
      <c r="AB315" s="5"/>
      <c r="AC315" s="5"/>
      <c r="AD315" s="5"/>
      <c r="AE315" s="24"/>
      <c r="AF315" s="22"/>
      <c r="AG315" s="22"/>
      <c r="AH315" s="22"/>
      <c r="AI315" s="22"/>
      <c r="AJ315" s="22"/>
    </row>
    <row r="316" spans="1:36" s="15" customFormat="1" x14ac:dyDescent="0.4">
      <c r="A316" s="5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23"/>
      <c r="Y316" s="23"/>
      <c r="Z316" s="5"/>
      <c r="AA316" s="5"/>
      <c r="AB316" s="5"/>
      <c r="AC316" s="5"/>
      <c r="AD316" s="5"/>
      <c r="AE316" s="24"/>
      <c r="AF316" s="22"/>
      <c r="AG316" s="22"/>
      <c r="AH316" s="22"/>
      <c r="AI316" s="22"/>
      <c r="AJ316" s="22"/>
    </row>
    <row r="317" spans="1:36" s="15" customFormat="1" x14ac:dyDescent="0.4">
      <c r="A317" s="5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3"/>
      <c r="Y317" s="23"/>
      <c r="Z317" s="5"/>
      <c r="AA317" s="5"/>
      <c r="AB317" s="5"/>
      <c r="AC317" s="5"/>
      <c r="AD317" s="5"/>
      <c r="AE317" s="24"/>
      <c r="AF317" s="22"/>
      <c r="AG317" s="22"/>
      <c r="AH317" s="22"/>
      <c r="AI317" s="22"/>
      <c r="AJ317" s="22"/>
    </row>
    <row r="318" spans="1:36" s="15" customFormat="1" x14ac:dyDescent="0.4">
      <c r="A318" s="5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23"/>
      <c r="Y318" s="23"/>
      <c r="Z318" s="5"/>
      <c r="AA318" s="5"/>
      <c r="AB318" s="5"/>
      <c r="AC318" s="5"/>
      <c r="AD318" s="5"/>
      <c r="AE318" s="24"/>
      <c r="AF318" s="22"/>
      <c r="AG318" s="22"/>
      <c r="AH318" s="22"/>
      <c r="AI318" s="22"/>
      <c r="AJ318" s="22"/>
    </row>
    <row r="319" spans="1:36" s="15" customFormat="1" x14ac:dyDescent="0.4">
      <c r="A319" s="5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23"/>
      <c r="Y319" s="23"/>
      <c r="Z319" s="5"/>
      <c r="AA319" s="5"/>
      <c r="AB319" s="5"/>
      <c r="AC319" s="5"/>
      <c r="AD319" s="5"/>
      <c r="AE319" s="24"/>
      <c r="AF319" s="22"/>
      <c r="AG319" s="22"/>
      <c r="AH319" s="22"/>
      <c r="AI319" s="22"/>
      <c r="AJ319" s="22"/>
    </row>
    <row r="320" spans="1:36" s="15" customFormat="1" x14ac:dyDescent="0.4">
      <c r="A320" s="5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23"/>
      <c r="Y320" s="23"/>
      <c r="Z320" s="5"/>
      <c r="AA320" s="5"/>
      <c r="AB320" s="5"/>
      <c r="AC320" s="5"/>
      <c r="AD320" s="5"/>
      <c r="AE320" s="24"/>
      <c r="AF320" s="22"/>
      <c r="AG320" s="22"/>
      <c r="AH320" s="22"/>
      <c r="AI320" s="22"/>
      <c r="AJ320" s="22"/>
    </row>
    <row r="321" spans="1:36" s="15" customFormat="1" x14ac:dyDescent="0.4">
      <c r="A321" s="5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23"/>
      <c r="Y321" s="23"/>
      <c r="Z321" s="5"/>
      <c r="AA321" s="5"/>
      <c r="AB321" s="5"/>
      <c r="AC321" s="5"/>
      <c r="AD321" s="5"/>
      <c r="AE321" s="24"/>
      <c r="AF321" s="22"/>
      <c r="AG321" s="22"/>
      <c r="AH321" s="22"/>
      <c r="AI321" s="22"/>
      <c r="AJ321" s="22"/>
    </row>
    <row r="322" spans="1:36" s="15" customFormat="1" x14ac:dyDescent="0.4">
      <c r="A322" s="5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3"/>
      <c r="Y322" s="23"/>
      <c r="Z322" s="5"/>
      <c r="AA322" s="5"/>
      <c r="AB322" s="5"/>
      <c r="AC322" s="5"/>
      <c r="AD322" s="5"/>
      <c r="AE322" s="24"/>
      <c r="AF322" s="22"/>
      <c r="AG322" s="22"/>
      <c r="AH322" s="22"/>
      <c r="AI322" s="22"/>
      <c r="AJ322" s="22"/>
    </row>
    <row r="323" spans="1:36" s="15" customFormat="1" x14ac:dyDescent="0.4">
      <c r="A323" s="5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3"/>
      <c r="Y323" s="23"/>
      <c r="Z323" s="5"/>
      <c r="AA323" s="5"/>
      <c r="AB323" s="5"/>
      <c r="AC323" s="5"/>
      <c r="AD323" s="5"/>
      <c r="AE323" s="24"/>
      <c r="AF323" s="22"/>
      <c r="AG323" s="22"/>
      <c r="AH323" s="22"/>
      <c r="AI323" s="22"/>
      <c r="AJ323" s="22"/>
    </row>
    <row r="324" spans="1:36" s="15" customFormat="1" x14ac:dyDescent="0.4">
      <c r="A324" s="5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23"/>
      <c r="Y324" s="23"/>
      <c r="Z324" s="5"/>
      <c r="AA324" s="5"/>
      <c r="AB324" s="5"/>
      <c r="AC324" s="5"/>
      <c r="AD324" s="5"/>
      <c r="AE324" s="24"/>
      <c r="AF324" s="22"/>
      <c r="AG324" s="22"/>
      <c r="AH324" s="22"/>
      <c r="AI324" s="22"/>
      <c r="AJ324" s="22"/>
    </row>
    <row r="325" spans="1:36" s="15" customFormat="1" x14ac:dyDescent="0.4">
      <c r="A325" s="5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23"/>
      <c r="Y325" s="23"/>
      <c r="Z325" s="5"/>
      <c r="AA325" s="5"/>
      <c r="AB325" s="5"/>
      <c r="AC325" s="5"/>
      <c r="AD325" s="5"/>
      <c r="AE325" s="24"/>
      <c r="AF325" s="22"/>
      <c r="AG325" s="22"/>
      <c r="AH325" s="22"/>
      <c r="AI325" s="22"/>
      <c r="AJ325" s="22"/>
    </row>
    <row r="326" spans="1:36" s="15" customFormat="1" x14ac:dyDescent="0.4">
      <c r="A326" s="5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23"/>
      <c r="Y326" s="23"/>
      <c r="Z326" s="5"/>
      <c r="AA326" s="5"/>
      <c r="AB326" s="5"/>
      <c r="AC326" s="5"/>
      <c r="AD326" s="5"/>
      <c r="AE326" s="24"/>
      <c r="AF326" s="22"/>
      <c r="AG326" s="22"/>
      <c r="AH326" s="22"/>
      <c r="AI326" s="22"/>
      <c r="AJ326" s="22"/>
    </row>
    <row r="327" spans="1:36" s="15" customFormat="1" x14ac:dyDescent="0.4">
      <c r="A327" s="5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23"/>
      <c r="Y327" s="23"/>
      <c r="Z327" s="5"/>
      <c r="AA327" s="5"/>
      <c r="AB327" s="5"/>
      <c r="AC327" s="5"/>
      <c r="AD327" s="5"/>
      <c r="AE327" s="24"/>
      <c r="AF327" s="22"/>
      <c r="AG327" s="22"/>
      <c r="AH327" s="22"/>
      <c r="AI327" s="22"/>
      <c r="AJ327" s="22"/>
    </row>
    <row r="328" spans="1:36" s="15" customFormat="1" x14ac:dyDescent="0.4">
      <c r="A328" s="5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23"/>
      <c r="Y328" s="23"/>
      <c r="Z328" s="5"/>
      <c r="AA328" s="5"/>
      <c r="AB328" s="5"/>
      <c r="AC328" s="5"/>
      <c r="AD328" s="5"/>
      <c r="AE328" s="24"/>
      <c r="AF328" s="22"/>
      <c r="AG328" s="22"/>
      <c r="AH328" s="22"/>
      <c r="AI328" s="22"/>
      <c r="AJ328" s="22"/>
    </row>
    <row r="329" spans="1:36" s="15" customFormat="1" x14ac:dyDescent="0.4">
      <c r="A329" s="5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23"/>
      <c r="Y329" s="23"/>
      <c r="Z329" s="5"/>
      <c r="AA329" s="5"/>
      <c r="AB329" s="5"/>
      <c r="AC329" s="5"/>
      <c r="AD329" s="5"/>
      <c r="AE329" s="24"/>
      <c r="AF329" s="22"/>
      <c r="AG329" s="22"/>
      <c r="AH329" s="22"/>
      <c r="AI329" s="22"/>
      <c r="AJ329" s="22"/>
    </row>
    <row r="330" spans="1:36" s="15" customFormat="1" x14ac:dyDescent="0.4">
      <c r="A330" s="5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23"/>
      <c r="Y330" s="23"/>
      <c r="Z330" s="5"/>
      <c r="AA330" s="5"/>
      <c r="AB330" s="5"/>
      <c r="AC330" s="5"/>
      <c r="AD330" s="5"/>
      <c r="AE330" s="24"/>
      <c r="AF330" s="22"/>
      <c r="AG330" s="22"/>
      <c r="AH330" s="22"/>
      <c r="AI330" s="22"/>
      <c r="AJ330" s="22"/>
    </row>
    <row r="331" spans="1:36" s="15" customFormat="1" x14ac:dyDescent="0.4">
      <c r="A331" s="5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23"/>
      <c r="Y331" s="23"/>
      <c r="Z331" s="5"/>
      <c r="AA331" s="5"/>
      <c r="AB331" s="5"/>
      <c r="AC331" s="5"/>
      <c r="AD331" s="5"/>
      <c r="AE331" s="24"/>
      <c r="AF331" s="22"/>
      <c r="AG331" s="22"/>
      <c r="AH331" s="22"/>
      <c r="AI331" s="22"/>
      <c r="AJ331" s="22"/>
    </row>
    <row r="332" spans="1:36" s="15" customFormat="1" x14ac:dyDescent="0.4">
      <c r="A332" s="5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23"/>
      <c r="Y332" s="23"/>
      <c r="Z332" s="5"/>
      <c r="AA332" s="5"/>
      <c r="AB332" s="5"/>
      <c r="AC332" s="5"/>
      <c r="AD332" s="5"/>
      <c r="AE332" s="24"/>
      <c r="AF332" s="22"/>
      <c r="AG332" s="22"/>
      <c r="AH332" s="22"/>
      <c r="AI332" s="22"/>
      <c r="AJ332" s="22"/>
    </row>
    <row r="333" spans="1:36" s="15" customFormat="1" x14ac:dyDescent="0.4">
      <c r="A333" s="5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3"/>
      <c r="Y333" s="23"/>
      <c r="Z333" s="5"/>
      <c r="AA333" s="5"/>
      <c r="AB333" s="5"/>
      <c r="AC333" s="5"/>
      <c r="AD333" s="5"/>
      <c r="AE333" s="24"/>
      <c r="AF333" s="22"/>
      <c r="AG333" s="22"/>
      <c r="AH333" s="22"/>
      <c r="AI333" s="22"/>
      <c r="AJ333" s="22"/>
    </row>
    <row r="334" spans="1:36" s="15" customFormat="1" x14ac:dyDescent="0.4">
      <c r="A334" s="5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23"/>
      <c r="Y334" s="23"/>
      <c r="Z334" s="5"/>
      <c r="AA334" s="5"/>
      <c r="AB334" s="5"/>
      <c r="AC334" s="5"/>
      <c r="AD334" s="5"/>
      <c r="AE334" s="24"/>
      <c r="AF334" s="22"/>
      <c r="AG334" s="22"/>
      <c r="AH334" s="22"/>
      <c r="AI334" s="22"/>
      <c r="AJ334" s="22"/>
    </row>
    <row r="335" spans="1:36" s="15" customFormat="1" x14ac:dyDescent="0.4">
      <c r="A335" s="5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23"/>
      <c r="Y335" s="23"/>
      <c r="Z335" s="5"/>
      <c r="AA335" s="5"/>
      <c r="AB335" s="5"/>
      <c r="AC335" s="5"/>
      <c r="AD335" s="5"/>
      <c r="AE335" s="24"/>
      <c r="AF335" s="22"/>
      <c r="AG335" s="22"/>
      <c r="AH335" s="22"/>
      <c r="AI335" s="22"/>
      <c r="AJ335" s="22"/>
    </row>
    <row r="336" spans="1:36" s="15" customFormat="1" x14ac:dyDescent="0.4">
      <c r="A336" s="5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23"/>
      <c r="Y336" s="23"/>
      <c r="Z336" s="5"/>
      <c r="AA336" s="5"/>
      <c r="AB336" s="5"/>
      <c r="AC336" s="5"/>
      <c r="AD336" s="5"/>
      <c r="AE336" s="24"/>
      <c r="AF336" s="22"/>
      <c r="AG336" s="22"/>
      <c r="AH336" s="22"/>
      <c r="AI336" s="22"/>
      <c r="AJ336" s="22"/>
    </row>
    <row r="337" spans="1:36" s="15" customFormat="1" x14ac:dyDescent="0.4">
      <c r="A337" s="5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23"/>
      <c r="Y337" s="23"/>
      <c r="Z337" s="5"/>
      <c r="AA337" s="5"/>
      <c r="AB337" s="5"/>
      <c r="AC337" s="5"/>
      <c r="AD337" s="5"/>
      <c r="AE337" s="24"/>
      <c r="AF337" s="22"/>
      <c r="AG337" s="22"/>
      <c r="AH337" s="22"/>
      <c r="AI337" s="22"/>
      <c r="AJ337" s="22"/>
    </row>
    <row r="338" spans="1:36" s="15" customFormat="1" x14ac:dyDescent="0.4">
      <c r="A338" s="5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23"/>
      <c r="Y338" s="23"/>
      <c r="Z338" s="5"/>
      <c r="AA338" s="5"/>
      <c r="AB338" s="5"/>
      <c r="AC338" s="5"/>
      <c r="AD338" s="5"/>
      <c r="AE338" s="24"/>
      <c r="AF338" s="22"/>
      <c r="AG338" s="22"/>
      <c r="AH338" s="22"/>
      <c r="AI338" s="22"/>
      <c r="AJ338" s="22"/>
    </row>
    <row r="339" spans="1:36" s="15" customFormat="1" x14ac:dyDescent="0.4">
      <c r="A339" s="5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23"/>
      <c r="Y339" s="23"/>
      <c r="Z339" s="5"/>
      <c r="AA339" s="5"/>
      <c r="AB339" s="5"/>
      <c r="AC339" s="5"/>
      <c r="AD339" s="5"/>
      <c r="AE339" s="24"/>
      <c r="AF339" s="22"/>
      <c r="AG339" s="22"/>
      <c r="AH339" s="22"/>
      <c r="AI339" s="22"/>
      <c r="AJ339" s="22"/>
    </row>
    <row r="340" spans="1:36" s="15" customFormat="1" x14ac:dyDescent="0.4">
      <c r="A340" s="5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23"/>
      <c r="Y340" s="23"/>
      <c r="Z340" s="5"/>
      <c r="AA340" s="5"/>
      <c r="AB340" s="5"/>
      <c r="AC340" s="5"/>
      <c r="AD340" s="5"/>
      <c r="AE340" s="24"/>
      <c r="AF340" s="22"/>
      <c r="AG340" s="22"/>
      <c r="AH340" s="22"/>
      <c r="AI340" s="22"/>
      <c r="AJ340" s="22"/>
    </row>
    <row r="341" spans="1:36" s="15" customFormat="1" x14ac:dyDescent="0.4">
      <c r="A341" s="5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23"/>
      <c r="Y341" s="23"/>
      <c r="Z341" s="5"/>
      <c r="AA341" s="5"/>
      <c r="AB341" s="5"/>
      <c r="AC341" s="5"/>
      <c r="AD341" s="5"/>
      <c r="AE341" s="24"/>
      <c r="AF341" s="22"/>
      <c r="AG341" s="22"/>
      <c r="AH341" s="22"/>
      <c r="AI341" s="22"/>
      <c r="AJ341" s="22"/>
    </row>
    <row r="342" spans="1:36" s="15" customFormat="1" x14ac:dyDescent="0.4">
      <c r="A342" s="5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3"/>
      <c r="Y342" s="23"/>
      <c r="Z342" s="5"/>
      <c r="AA342" s="5"/>
      <c r="AB342" s="5"/>
      <c r="AC342" s="5"/>
      <c r="AD342" s="5"/>
      <c r="AE342" s="24"/>
      <c r="AF342" s="22"/>
      <c r="AG342" s="22"/>
      <c r="AH342" s="22"/>
      <c r="AI342" s="22"/>
      <c r="AJ342" s="22"/>
    </row>
    <row r="343" spans="1:36" s="15" customFormat="1" x14ac:dyDescent="0.4">
      <c r="A343" s="5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3"/>
      <c r="Y343" s="23"/>
      <c r="Z343" s="5"/>
      <c r="AA343" s="5"/>
      <c r="AB343" s="5"/>
      <c r="AC343" s="5"/>
      <c r="AD343" s="5"/>
      <c r="AE343" s="24"/>
      <c r="AF343" s="22"/>
      <c r="AG343" s="22"/>
      <c r="AH343" s="22"/>
      <c r="AI343" s="22"/>
      <c r="AJ343" s="22"/>
    </row>
    <row r="344" spans="1:36" s="15" customFormat="1" x14ac:dyDescent="0.4">
      <c r="A344" s="5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23"/>
      <c r="Y344" s="23"/>
      <c r="Z344" s="5"/>
      <c r="AA344" s="5"/>
      <c r="AB344" s="5"/>
      <c r="AC344" s="5"/>
      <c r="AD344" s="5"/>
      <c r="AE344" s="24"/>
      <c r="AF344" s="22"/>
      <c r="AG344" s="22"/>
      <c r="AH344" s="22"/>
      <c r="AI344" s="22"/>
      <c r="AJ344" s="22"/>
    </row>
    <row r="345" spans="1:36" s="15" customFormat="1" x14ac:dyDescent="0.4">
      <c r="A345" s="5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23"/>
      <c r="Y345" s="23"/>
      <c r="Z345" s="5"/>
      <c r="AA345" s="5"/>
      <c r="AB345" s="5"/>
      <c r="AC345" s="5"/>
      <c r="AD345" s="5"/>
      <c r="AE345" s="24"/>
      <c r="AF345" s="22"/>
      <c r="AG345" s="22"/>
      <c r="AH345" s="22"/>
      <c r="AI345" s="22"/>
      <c r="AJ345" s="22"/>
    </row>
    <row r="346" spans="1:36" s="15" customFormat="1" x14ac:dyDescent="0.4">
      <c r="A346" s="5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23"/>
      <c r="Y346" s="23"/>
      <c r="Z346" s="5"/>
      <c r="AA346" s="5"/>
      <c r="AB346" s="5"/>
      <c r="AC346" s="5"/>
      <c r="AD346" s="5"/>
      <c r="AE346" s="24"/>
      <c r="AF346" s="22"/>
      <c r="AG346" s="22"/>
      <c r="AH346" s="22"/>
      <c r="AI346" s="22"/>
      <c r="AJ346" s="22"/>
    </row>
    <row r="347" spans="1:36" s="15" customFormat="1" x14ac:dyDescent="0.4">
      <c r="A347" s="5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23"/>
      <c r="Y347" s="23"/>
      <c r="Z347" s="5"/>
      <c r="AA347" s="5"/>
      <c r="AB347" s="5"/>
      <c r="AC347" s="5"/>
      <c r="AD347" s="5"/>
      <c r="AE347" s="24"/>
      <c r="AF347" s="22"/>
      <c r="AG347" s="22"/>
      <c r="AH347" s="22"/>
      <c r="AI347" s="22"/>
      <c r="AJ347" s="22"/>
    </row>
    <row r="348" spans="1:36" s="15" customFormat="1" x14ac:dyDescent="0.4">
      <c r="A348" s="5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3"/>
      <c r="Y348" s="23"/>
      <c r="Z348" s="5"/>
      <c r="AA348" s="5"/>
      <c r="AB348" s="5"/>
      <c r="AC348" s="5"/>
      <c r="AD348" s="5"/>
      <c r="AE348" s="24"/>
      <c r="AF348" s="22"/>
      <c r="AG348" s="22"/>
      <c r="AH348" s="22"/>
      <c r="AI348" s="22"/>
      <c r="AJ348" s="22"/>
    </row>
    <row r="349" spans="1:36" s="15" customFormat="1" x14ac:dyDescent="0.4">
      <c r="A349" s="5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3"/>
      <c r="Y349" s="23"/>
      <c r="Z349" s="5"/>
      <c r="AA349" s="5"/>
      <c r="AB349" s="5"/>
      <c r="AC349" s="5"/>
      <c r="AD349" s="5"/>
      <c r="AE349" s="24"/>
      <c r="AF349" s="22"/>
      <c r="AG349" s="22"/>
      <c r="AH349" s="22"/>
      <c r="AI349" s="22"/>
      <c r="AJ349" s="22"/>
    </row>
    <row r="350" spans="1:36" s="15" customFormat="1" x14ac:dyDescent="0.4">
      <c r="A350" s="5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3"/>
      <c r="Y350" s="23"/>
      <c r="Z350" s="5"/>
      <c r="AA350" s="5"/>
      <c r="AB350" s="5"/>
      <c r="AC350" s="5"/>
      <c r="AD350" s="5"/>
      <c r="AE350" s="24"/>
      <c r="AF350" s="22"/>
      <c r="AG350" s="22"/>
      <c r="AH350" s="22"/>
      <c r="AI350" s="22"/>
      <c r="AJ350" s="22"/>
    </row>
    <row r="351" spans="1:36" s="15" customFormat="1" x14ac:dyDescent="0.4">
      <c r="A351" s="5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3"/>
      <c r="Y351" s="23"/>
      <c r="Z351" s="5"/>
      <c r="AA351" s="5"/>
      <c r="AB351" s="5"/>
      <c r="AC351" s="5"/>
      <c r="AD351" s="5"/>
      <c r="AE351" s="24"/>
      <c r="AF351" s="22"/>
      <c r="AG351" s="22"/>
      <c r="AH351" s="22"/>
      <c r="AI351" s="22"/>
      <c r="AJ351" s="22"/>
    </row>
    <row r="352" spans="1:36" s="15" customFormat="1" x14ac:dyDescent="0.4">
      <c r="A352" s="5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23"/>
      <c r="Y352" s="23"/>
      <c r="Z352" s="5"/>
      <c r="AA352" s="5"/>
      <c r="AB352" s="5"/>
      <c r="AC352" s="5"/>
      <c r="AD352" s="5"/>
      <c r="AE352" s="24"/>
      <c r="AF352" s="22"/>
      <c r="AG352" s="22"/>
      <c r="AH352" s="22"/>
      <c r="AI352" s="22"/>
      <c r="AJ352" s="22"/>
    </row>
    <row r="353" spans="1:36" s="15" customFormat="1" x14ac:dyDescent="0.4">
      <c r="A353" s="5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3"/>
      <c r="Y353" s="23"/>
      <c r="Z353" s="5"/>
      <c r="AA353" s="5"/>
      <c r="AB353" s="5"/>
      <c r="AC353" s="5"/>
      <c r="AD353" s="5"/>
      <c r="AE353" s="24"/>
      <c r="AF353" s="22"/>
      <c r="AG353" s="22"/>
      <c r="AH353" s="22"/>
      <c r="AI353" s="22"/>
      <c r="AJ353" s="22"/>
    </row>
    <row r="354" spans="1:36" s="15" customFormat="1" x14ac:dyDescent="0.4">
      <c r="A354" s="5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3"/>
      <c r="Y354" s="23"/>
      <c r="Z354" s="5"/>
      <c r="AA354" s="5"/>
      <c r="AB354" s="5"/>
      <c r="AC354" s="5"/>
      <c r="AD354" s="5"/>
      <c r="AE354" s="24"/>
      <c r="AF354" s="22"/>
      <c r="AG354" s="22"/>
      <c r="AH354" s="22"/>
      <c r="AI354" s="22"/>
      <c r="AJ354" s="22"/>
    </row>
    <row r="355" spans="1:36" s="15" customFormat="1" x14ac:dyDescent="0.4">
      <c r="A355" s="5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3"/>
      <c r="Y355" s="23"/>
      <c r="Z355" s="5"/>
      <c r="AA355" s="5"/>
      <c r="AB355" s="5"/>
      <c r="AC355" s="5"/>
      <c r="AD355" s="5"/>
      <c r="AE355" s="24"/>
      <c r="AF355" s="22"/>
      <c r="AG355" s="22"/>
      <c r="AH355" s="22"/>
      <c r="AI355" s="22"/>
      <c r="AJ355" s="22"/>
    </row>
    <row r="356" spans="1:36" s="15" customFormat="1" x14ac:dyDescent="0.4">
      <c r="A356" s="5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3"/>
      <c r="Y356" s="23"/>
      <c r="Z356" s="5"/>
      <c r="AA356" s="5"/>
      <c r="AB356" s="5"/>
      <c r="AC356" s="5"/>
      <c r="AD356" s="5"/>
      <c r="AE356" s="24"/>
      <c r="AF356" s="22"/>
      <c r="AG356" s="22"/>
      <c r="AH356" s="22"/>
      <c r="AI356" s="22"/>
      <c r="AJ356" s="22"/>
    </row>
    <row r="357" spans="1:36" s="15" customFormat="1" x14ac:dyDescent="0.4">
      <c r="A357" s="5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3"/>
      <c r="Y357" s="23"/>
      <c r="Z357" s="5"/>
      <c r="AA357" s="5"/>
      <c r="AB357" s="5"/>
      <c r="AC357" s="5"/>
      <c r="AD357" s="5"/>
      <c r="AE357" s="24"/>
      <c r="AF357" s="22"/>
      <c r="AG357" s="22"/>
      <c r="AH357" s="22"/>
      <c r="AI357" s="22"/>
      <c r="AJ357" s="22"/>
    </row>
    <row r="358" spans="1:36" s="15" customFormat="1" x14ac:dyDescent="0.4">
      <c r="A358" s="5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23"/>
      <c r="Y358" s="23"/>
      <c r="Z358" s="5"/>
      <c r="AA358" s="5"/>
      <c r="AB358" s="5"/>
      <c r="AC358" s="5"/>
      <c r="AD358" s="5"/>
      <c r="AE358" s="24"/>
      <c r="AF358" s="22"/>
      <c r="AG358" s="22"/>
      <c r="AH358" s="22"/>
      <c r="AI358" s="22"/>
      <c r="AJ358" s="22"/>
    </row>
    <row r="359" spans="1:36" s="15" customFormat="1" x14ac:dyDescent="0.4">
      <c r="A359" s="5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23"/>
      <c r="Y359" s="23"/>
      <c r="Z359" s="5"/>
      <c r="AA359" s="5"/>
      <c r="AB359" s="5"/>
      <c r="AC359" s="5"/>
      <c r="AD359" s="5"/>
      <c r="AE359" s="24"/>
      <c r="AF359" s="22"/>
      <c r="AG359" s="22"/>
      <c r="AH359" s="22"/>
      <c r="AI359" s="22"/>
      <c r="AJ359" s="22"/>
    </row>
    <row r="360" spans="1:36" s="15" customFormat="1" x14ac:dyDescent="0.4">
      <c r="A360" s="5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23"/>
      <c r="Y360" s="23"/>
      <c r="Z360" s="5"/>
      <c r="AA360" s="5"/>
      <c r="AB360" s="5"/>
      <c r="AC360" s="5"/>
      <c r="AD360" s="5"/>
      <c r="AE360" s="24"/>
      <c r="AF360" s="22"/>
      <c r="AG360" s="22"/>
      <c r="AH360" s="22"/>
      <c r="AI360" s="22"/>
      <c r="AJ360" s="22"/>
    </row>
    <row r="361" spans="1:36" s="15" customFormat="1" x14ac:dyDescent="0.4">
      <c r="A361" s="5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23"/>
      <c r="Y361" s="23"/>
      <c r="Z361" s="5"/>
      <c r="AA361" s="5"/>
      <c r="AB361" s="5"/>
      <c r="AC361" s="5"/>
      <c r="AD361" s="5"/>
      <c r="AE361" s="24"/>
      <c r="AF361" s="22"/>
      <c r="AG361" s="22"/>
      <c r="AH361" s="22"/>
      <c r="AI361" s="22"/>
      <c r="AJ361" s="22"/>
    </row>
    <row r="362" spans="1:36" s="15" customFormat="1" x14ac:dyDescent="0.4">
      <c r="A362" s="5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23"/>
      <c r="Y362" s="23"/>
      <c r="Z362" s="5"/>
      <c r="AA362" s="5"/>
      <c r="AB362" s="5"/>
      <c r="AC362" s="5"/>
      <c r="AD362" s="5"/>
      <c r="AE362" s="24"/>
      <c r="AF362" s="22"/>
      <c r="AG362" s="22"/>
      <c r="AH362" s="22"/>
      <c r="AI362" s="22"/>
      <c r="AJ362" s="22"/>
    </row>
    <row r="363" spans="1:36" s="15" customFormat="1" x14ac:dyDescent="0.4">
      <c r="A363" s="5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23"/>
      <c r="Y363" s="23"/>
      <c r="Z363" s="5"/>
      <c r="AA363" s="5"/>
      <c r="AB363" s="5"/>
      <c r="AC363" s="5"/>
      <c r="AD363" s="5"/>
      <c r="AE363" s="24"/>
      <c r="AF363" s="22"/>
      <c r="AG363" s="22"/>
      <c r="AH363" s="22"/>
      <c r="AI363" s="22"/>
      <c r="AJ363" s="22"/>
    </row>
    <row r="364" spans="1:36" s="15" customFormat="1" x14ac:dyDescent="0.4">
      <c r="A364" s="5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23"/>
      <c r="Y364" s="23"/>
      <c r="Z364" s="5"/>
      <c r="AA364" s="5"/>
      <c r="AB364" s="5"/>
      <c r="AC364" s="5"/>
      <c r="AD364" s="5"/>
      <c r="AE364" s="24"/>
      <c r="AF364" s="22"/>
      <c r="AG364" s="22"/>
      <c r="AH364" s="22"/>
      <c r="AI364" s="22"/>
      <c r="AJ364" s="22"/>
    </row>
    <row r="365" spans="1:36" s="15" customFormat="1" x14ac:dyDescent="0.4">
      <c r="A365" s="5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23"/>
      <c r="Y365" s="23"/>
      <c r="Z365" s="5"/>
      <c r="AA365" s="5"/>
      <c r="AB365" s="5"/>
      <c r="AC365" s="5"/>
      <c r="AD365" s="5"/>
      <c r="AE365" s="24"/>
      <c r="AF365" s="22"/>
      <c r="AG365" s="22"/>
      <c r="AH365" s="22"/>
      <c r="AI365" s="22"/>
      <c r="AJ365" s="22"/>
    </row>
    <row r="366" spans="1:36" s="15" customFormat="1" x14ac:dyDescent="0.4">
      <c r="A366" s="5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23"/>
      <c r="Y366" s="23"/>
      <c r="Z366" s="5"/>
      <c r="AA366" s="5"/>
      <c r="AB366" s="5"/>
      <c r="AC366" s="5"/>
      <c r="AD366" s="5"/>
      <c r="AE366" s="24"/>
      <c r="AF366" s="22"/>
      <c r="AG366" s="22"/>
      <c r="AH366" s="22"/>
      <c r="AI366" s="22"/>
      <c r="AJ366" s="22"/>
    </row>
    <row r="367" spans="1:36" s="15" customFormat="1" x14ac:dyDescent="0.4">
      <c r="A367" s="5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3"/>
      <c r="Y367" s="23"/>
      <c r="Z367" s="5"/>
      <c r="AA367" s="5"/>
      <c r="AB367" s="5"/>
      <c r="AC367" s="5"/>
      <c r="AD367" s="5"/>
      <c r="AE367" s="24"/>
      <c r="AF367" s="22"/>
      <c r="AG367" s="22"/>
      <c r="AH367" s="22"/>
      <c r="AI367" s="22"/>
      <c r="AJ367" s="22"/>
    </row>
    <row r="368" spans="1:36" s="15" customFormat="1" x14ac:dyDescent="0.4">
      <c r="A368" s="5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3"/>
      <c r="Y368" s="23"/>
      <c r="Z368" s="5"/>
      <c r="AA368" s="5"/>
      <c r="AB368" s="5"/>
      <c r="AC368" s="5"/>
      <c r="AD368" s="5"/>
      <c r="AE368" s="24"/>
      <c r="AF368" s="22"/>
      <c r="AG368" s="22"/>
      <c r="AH368" s="22"/>
      <c r="AI368" s="22"/>
      <c r="AJ368" s="22"/>
    </row>
    <row r="369" spans="1:36" s="15" customFormat="1" x14ac:dyDescent="0.4">
      <c r="A369" s="5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3"/>
      <c r="Y369" s="23"/>
      <c r="Z369" s="5"/>
      <c r="AA369" s="5"/>
      <c r="AB369" s="5"/>
      <c r="AC369" s="5"/>
      <c r="AD369" s="5"/>
      <c r="AE369" s="24"/>
      <c r="AF369" s="22"/>
      <c r="AG369" s="22"/>
      <c r="AH369" s="22"/>
      <c r="AI369" s="22"/>
      <c r="AJ369" s="22"/>
    </row>
    <row r="370" spans="1:36" s="15" customFormat="1" x14ac:dyDescent="0.4">
      <c r="A370" s="5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3"/>
      <c r="Y370" s="23"/>
      <c r="Z370" s="5"/>
      <c r="AA370" s="5"/>
      <c r="AB370" s="5"/>
      <c r="AC370" s="5"/>
      <c r="AD370" s="5"/>
      <c r="AE370" s="24"/>
      <c r="AF370" s="22"/>
      <c r="AG370" s="22"/>
      <c r="AH370" s="22"/>
      <c r="AI370" s="22"/>
      <c r="AJ370" s="22"/>
    </row>
    <row r="371" spans="1:36" s="15" customFormat="1" x14ac:dyDescent="0.4">
      <c r="A371" s="5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3"/>
      <c r="Y371" s="23"/>
      <c r="Z371" s="5"/>
      <c r="AA371" s="5"/>
      <c r="AB371" s="5"/>
      <c r="AC371" s="5"/>
      <c r="AD371" s="5"/>
      <c r="AE371" s="24"/>
      <c r="AF371" s="22"/>
      <c r="AG371" s="22"/>
      <c r="AH371" s="22"/>
      <c r="AI371" s="22"/>
      <c r="AJ371" s="22"/>
    </row>
    <row r="372" spans="1:36" s="15" customFormat="1" x14ac:dyDescent="0.4">
      <c r="A372" s="5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3"/>
      <c r="Y372" s="23"/>
      <c r="Z372" s="5"/>
      <c r="AA372" s="5"/>
      <c r="AB372" s="5"/>
      <c r="AC372" s="5"/>
      <c r="AD372" s="5"/>
      <c r="AE372" s="24"/>
      <c r="AF372" s="22"/>
      <c r="AG372" s="22"/>
      <c r="AH372" s="22"/>
      <c r="AI372" s="22"/>
      <c r="AJ372" s="22"/>
    </row>
    <row r="373" spans="1:36" s="15" customFormat="1" x14ac:dyDescent="0.4">
      <c r="A373" s="5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23"/>
      <c r="Y373" s="23"/>
      <c r="Z373" s="5"/>
      <c r="AA373" s="5"/>
      <c r="AB373" s="5"/>
      <c r="AC373" s="5"/>
      <c r="AD373" s="5"/>
      <c r="AE373" s="24"/>
      <c r="AF373" s="5"/>
      <c r="AG373" s="5"/>
      <c r="AH373" s="22"/>
      <c r="AI373" s="22"/>
      <c r="AJ373" s="22"/>
    </row>
    <row r="374" spans="1:36" s="15" customFormat="1" x14ac:dyDescent="0.4">
      <c r="A374" s="5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3"/>
      <c r="Y374" s="23"/>
      <c r="Z374" s="5"/>
      <c r="AA374" s="5"/>
      <c r="AB374" s="5"/>
      <c r="AC374" s="5"/>
      <c r="AD374" s="5"/>
      <c r="AE374" s="24"/>
      <c r="AF374" s="24"/>
      <c r="AG374" s="24"/>
      <c r="AH374" s="22"/>
      <c r="AI374" s="22"/>
      <c r="AJ374" s="22"/>
    </row>
    <row r="375" spans="1:36" s="15" customFormat="1" x14ac:dyDescent="0.4">
      <c r="A375" s="5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3"/>
      <c r="Y375" s="23"/>
      <c r="Z375" s="5"/>
      <c r="AA375" s="5"/>
      <c r="AB375" s="5"/>
      <c r="AC375" s="5"/>
      <c r="AD375" s="5"/>
      <c r="AE375" s="24"/>
      <c r="AF375" s="24"/>
      <c r="AG375" s="24"/>
      <c r="AH375" s="22"/>
      <c r="AI375" s="22"/>
      <c r="AJ375" s="22"/>
    </row>
    <row r="376" spans="1:36" s="15" customFormat="1" x14ac:dyDescent="0.4">
      <c r="A376" s="5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3"/>
      <c r="Y376" s="23"/>
      <c r="Z376" s="5"/>
      <c r="AA376" s="5"/>
      <c r="AB376" s="5"/>
      <c r="AC376" s="5"/>
      <c r="AD376" s="5"/>
      <c r="AE376" s="24"/>
      <c r="AF376" s="24"/>
      <c r="AG376" s="24"/>
      <c r="AH376" s="22"/>
      <c r="AI376" s="22"/>
      <c r="AJ376" s="22"/>
    </row>
    <row r="377" spans="1:36" s="15" customFormat="1" x14ac:dyDescent="0.4">
      <c r="A377" s="5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3"/>
      <c r="Y377" s="23"/>
      <c r="Z377" s="5"/>
      <c r="AA377" s="5"/>
      <c r="AB377" s="5"/>
      <c r="AC377" s="5"/>
      <c r="AD377" s="5"/>
      <c r="AE377" s="24"/>
      <c r="AF377" s="24"/>
      <c r="AG377" s="24"/>
      <c r="AH377" s="22"/>
      <c r="AI377" s="22"/>
      <c r="AJ377" s="22"/>
    </row>
    <row r="378" spans="1:36" s="15" customFormat="1" x14ac:dyDescent="0.4">
      <c r="A378" s="5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23"/>
      <c r="Y378" s="23"/>
      <c r="Z378" s="5"/>
      <c r="AA378" s="5"/>
      <c r="AB378" s="5"/>
      <c r="AC378" s="5"/>
      <c r="AD378" s="5"/>
      <c r="AE378" s="24"/>
      <c r="AF378" s="24"/>
      <c r="AG378" s="24"/>
      <c r="AH378" s="22"/>
      <c r="AI378" s="22"/>
      <c r="AJ378" s="22"/>
    </row>
    <row r="379" spans="1:36" s="15" customFormat="1" x14ac:dyDescent="0.4">
      <c r="A379" s="5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23"/>
      <c r="Y379" s="23"/>
      <c r="Z379" s="5"/>
      <c r="AA379" s="5"/>
      <c r="AB379" s="5"/>
      <c r="AC379" s="5"/>
      <c r="AD379" s="5"/>
      <c r="AE379" s="24"/>
      <c r="AF379" s="24"/>
      <c r="AG379" s="24"/>
      <c r="AH379" s="22"/>
      <c r="AI379" s="22"/>
      <c r="AJ379" s="22"/>
    </row>
    <row r="380" spans="1:36" s="15" customFormat="1" x14ac:dyDescent="0.4">
      <c r="A380" s="5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23"/>
      <c r="Y380" s="23"/>
      <c r="Z380" s="5"/>
      <c r="AA380" s="5"/>
      <c r="AB380" s="5"/>
      <c r="AC380" s="5"/>
      <c r="AD380" s="5"/>
      <c r="AE380" s="24"/>
      <c r="AF380" s="24"/>
      <c r="AG380" s="24"/>
      <c r="AH380" s="22"/>
      <c r="AI380" s="22"/>
      <c r="AJ380" s="22"/>
    </row>
    <row r="381" spans="1:36" s="15" customFormat="1" x14ac:dyDescent="0.4">
      <c r="A381" s="5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3"/>
      <c r="Y381" s="23"/>
      <c r="Z381" s="5"/>
      <c r="AA381" s="5"/>
      <c r="AB381" s="5"/>
      <c r="AC381" s="5"/>
      <c r="AD381" s="5"/>
      <c r="AE381" s="24"/>
      <c r="AF381" s="24"/>
      <c r="AG381" s="24"/>
      <c r="AH381" s="22"/>
      <c r="AI381" s="22"/>
      <c r="AJ381" s="22"/>
    </row>
    <row r="382" spans="1:36" s="15" customFormat="1" x14ac:dyDescent="0.4">
      <c r="A382" s="5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23"/>
      <c r="Y382" s="23"/>
      <c r="Z382" s="5"/>
      <c r="AA382" s="5"/>
      <c r="AB382" s="5"/>
      <c r="AC382" s="5"/>
      <c r="AD382" s="5"/>
      <c r="AE382" s="24"/>
      <c r="AF382" s="24"/>
      <c r="AG382" s="24"/>
      <c r="AH382" s="22"/>
      <c r="AI382" s="22"/>
      <c r="AJ382" s="22"/>
    </row>
    <row r="383" spans="1:36" s="15" customFormat="1" x14ac:dyDescent="0.4">
      <c r="A383" s="5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23"/>
      <c r="Y383" s="23"/>
      <c r="Z383" s="5"/>
      <c r="AA383" s="5"/>
      <c r="AB383" s="5"/>
      <c r="AC383" s="5"/>
      <c r="AD383" s="5"/>
      <c r="AE383" s="24"/>
      <c r="AF383" s="24"/>
      <c r="AG383" s="24"/>
      <c r="AH383" s="22"/>
      <c r="AI383" s="22"/>
      <c r="AJ383" s="22"/>
    </row>
    <row r="384" spans="1:36" s="15" customFormat="1" x14ac:dyDescent="0.4">
      <c r="A384" s="5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3"/>
      <c r="Y384" s="23"/>
      <c r="Z384" s="5"/>
      <c r="AA384" s="5"/>
      <c r="AB384" s="5"/>
      <c r="AC384" s="5"/>
      <c r="AD384" s="5"/>
      <c r="AE384" s="24"/>
      <c r="AF384" s="24"/>
      <c r="AG384" s="24"/>
      <c r="AH384" s="22"/>
      <c r="AI384" s="22"/>
      <c r="AJ384" s="22"/>
    </row>
    <row r="385" spans="1:36" s="15" customFormat="1" x14ac:dyDescent="0.4">
      <c r="A385" s="5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3"/>
      <c r="Y385" s="23"/>
      <c r="Z385" s="5"/>
      <c r="AA385" s="5"/>
      <c r="AB385" s="5"/>
      <c r="AC385" s="5"/>
      <c r="AD385" s="5"/>
      <c r="AE385" s="24"/>
      <c r="AF385" s="24"/>
      <c r="AG385" s="24"/>
      <c r="AH385" s="22"/>
      <c r="AI385" s="22"/>
      <c r="AJ385" s="22"/>
    </row>
    <row r="386" spans="1:36" s="15" customFormat="1" x14ac:dyDescent="0.4">
      <c r="A386" s="5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3"/>
      <c r="Y386" s="23"/>
      <c r="Z386" s="5"/>
      <c r="AA386" s="5"/>
      <c r="AB386" s="5"/>
      <c r="AC386" s="5"/>
      <c r="AD386" s="5"/>
      <c r="AE386" s="24"/>
      <c r="AF386" s="24"/>
      <c r="AG386" s="24"/>
      <c r="AH386" s="22"/>
      <c r="AI386" s="22"/>
      <c r="AJ386" s="22"/>
    </row>
    <row r="387" spans="1:36" s="15" customFormat="1" x14ac:dyDescent="0.4">
      <c r="A387" s="5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23"/>
      <c r="Y387" s="23"/>
      <c r="Z387" s="5"/>
      <c r="AA387" s="5"/>
      <c r="AB387" s="5"/>
      <c r="AC387" s="5"/>
      <c r="AD387" s="5"/>
      <c r="AE387" s="24"/>
      <c r="AF387" s="24"/>
      <c r="AG387" s="24"/>
      <c r="AH387" s="22"/>
      <c r="AI387" s="22"/>
      <c r="AJ387" s="22"/>
    </row>
    <row r="388" spans="1:36" s="15" customFormat="1" x14ac:dyDescent="0.4">
      <c r="A388" s="5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23"/>
      <c r="Y388" s="23"/>
      <c r="Z388" s="5"/>
      <c r="AA388" s="5"/>
      <c r="AB388" s="5"/>
      <c r="AC388" s="5"/>
      <c r="AD388" s="5"/>
      <c r="AE388" s="24"/>
      <c r="AF388" s="24"/>
      <c r="AG388" s="24"/>
      <c r="AH388" s="22"/>
      <c r="AI388" s="22"/>
      <c r="AJ388" s="22"/>
    </row>
    <row r="389" spans="1:36" s="15" customFormat="1" x14ac:dyDescent="0.4">
      <c r="A389" s="5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23"/>
      <c r="Y389" s="23"/>
      <c r="Z389" s="5"/>
      <c r="AA389" s="5"/>
      <c r="AB389" s="5"/>
      <c r="AC389" s="5"/>
      <c r="AD389" s="5"/>
      <c r="AE389" s="24"/>
      <c r="AF389" s="24"/>
      <c r="AG389" s="24"/>
      <c r="AH389" s="22"/>
      <c r="AI389" s="22"/>
      <c r="AJ389" s="22"/>
    </row>
    <row r="390" spans="1:36" s="15" customFormat="1" x14ac:dyDescent="0.4">
      <c r="A390" s="5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23"/>
      <c r="Y390" s="23"/>
      <c r="Z390" s="5"/>
      <c r="AA390" s="5"/>
      <c r="AB390" s="5"/>
      <c r="AC390" s="5"/>
      <c r="AD390" s="5"/>
      <c r="AE390" s="24"/>
      <c r="AF390" s="24"/>
      <c r="AG390" s="24"/>
      <c r="AH390" s="22"/>
      <c r="AI390" s="22"/>
      <c r="AJ390" s="22"/>
    </row>
    <row r="391" spans="1:36" s="15" customFormat="1" x14ac:dyDescent="0.4">
      <c r="A391" s="5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23"/>
      <c r="Y391" s="23"/>
      <c r="Z391" s="5"/>
      <c r="AA391" s="5"/>
      <c r="AB391" s="5"/>
      <c r="AC391" s="5"/>
      <c r="AD391" s="5"/>
      <c r="AE391" s="24"/>
      <c r="AF391" s="24"/>
      <c r="AG391" s="24"/>
      <c r="AH391" s="22"/>
      <c r="AI391" s="22"/>
      <c r="AJ391" s="22"/>
    </row>
    <row r="392" spans="1:36" s="15" customFormat="1" x14ac:dyDescent="0.4">
      <c r="A392" s="5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3"/>
      <c r="Y392" s="23"/>
      <c r="Z392" s="5"/>
      <c r="AA392" s="5"/>
      <c r="AB392" s="5"/>
      <c r="AC392" s="5"/>
      <c r="AD392" s="5"/>
      <c r="AE392" s="24"/>
      <c r="AF392" s="24"/>
      <c r="AG392" s="24"/>
      <c r="AH392" s="22"/>
      <c r="AI392" s="22"/>
      <c r="AJ392" s="22"/>
    </row>
    <row r="393" spans="1:36" s="15" customFormat="1" x14ac:dyDescent="0.4">
      <c r="A393" s="5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23"/>
      <c r="Y393" s="23"/>
      <c r="Z393" s="5"/>
      <c r="AA393" s="5"/>
      <c r="AB393" s="5"/>
      <c r="AC393" s="5"/>
      <c r="AD393" s="5"/>
      <c r="AE393" s="24"/>
      <c r="AF393" s="24"/>
      <c r="AG393" s="24"/>
      <c r="AH393" s="22"/>
      <c r="AI393" s="22"/>
      <c r="AJ393" s="22"/>
    </row>
    <row r="394" spans="1:36" s="15" customFormat="1" x14ac:dyDescent="0.4">
      <c r="A394" s="5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3"/>
      <c r="Y394" s="23"/>
      <c r="Z394" s="5"/>
      <c r="AA394" s="5"/>
      <c r="AB394" s="5"/>
      <c r="AC394" s="5"/>
      <c r="AD394" s="5"/>
      <c r="AE394" s="24"/>
      <c r="AF394" s="24"/>
      <c r="AG394" s="24"/>
      <c r="AH394" s="22"/>
      <c r="AI394" s="22"/>
      <c r="AJ394" s="22"/>
    </row>
    <row r="395" spans="1:36" s="15" customFormat="1" x14ac:dyDescent="0.4">
      <c r="A395" s="5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23"/>
      <c r="Y395" s="23"/>
      <c r="Z395" s="5"/>
      <c r="AA395" s="5"/>
      <c r="AB395" s="5"/>
      <c r="AC395" s="5"/>
      <c r="AD395" s="5"/>
      <c r="AE395" s="24"/>
      <c r="AF395" s="24"/>
      <c r="AG395" s="24"/>
      <c r="AH395" s="22"/>
      <c r="AI395" s="22"/>
      <c r="AJ395" s="22"/>
    </row>
    <row r="396" spans="1:36" s="15" customFormat="1" x14ac:dyDescent="0.4">
      <c r="A396" s="5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23"/>
      <c r="Y396" s="23"/>
      <c r="Z396" s="5"/>
      <c r="AA396" s="5"/>
      <c r="AB396" s="5"/>
      <c r="AC396" s="5"/>
      <c r="AD396" s="5"/>
      <c r="AE396" s="24"/>
      <c r="AF396" s="24"/>
      <c r="AG396" s="24"/>
      <c r="AH396" s="22"/>
      <c r="AI396" s="22"/>
      <c r="AJ396" s="22"/>
    </row>
    <row r="397" spans="1:36" s="15" customFormat="1" x14ac:dyDescent="0.4">
      <c r="A397" s="5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23"/>
      <c r="Y397" s="23"/>
      <c r="Z397" s="5"/>
      <c r="AA397" s="5"/>
      <c r="AB397" s="5"/>
      <c r="AC397" s="5"/>
      <c r="AD397" s="5"/>
      <c r="AE397" s="24"/>
      <c r="AF397" s="24"/>
      <c r="AG397" s="24"/>
      <c r="AH397" s="22"/>
      <c r="AI397" s="22"/>
      <c r="AJ397" s="22"/>
    </row>
    <row r="398" spans="1:36" s="15" customFormat="1" x14ac:dyDescent="0.4">
      <c r="A398" s="5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23"/>
      <c r="Y398" s="23"/>
      <c r="Z398" s="5"/>
      <c r="AA398" s="5"/>
      <c r="AB398" s="5"/>
      <c r="AC398" s="5"/>
      <c r="AD398" s="5"/>
      <c r="AE398" s="24"/>
      <c r="AF398" s="24"/>
      <c r="AG398" s="24"/>
      <c r="AH398" s="22"/>
      <c r="AI398" s="22"/>
      <c r="AJ398" s="22"/>
    </row>
    <row r="399" spans="1:36" s="15" customFormat="1" x14ac:dyDescent="0.4">
      <c r="A399" s="5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23"/>
      <c r="Y399" s="23"/>
      <c r="Z399" s="5"/>
      <c r="AA399" s="5"/>
      <c r="AB399" s="5"/>
      <c r="AC399" s="5"/>
      <c r="AD399" s="5"/>
      <c r="AE399" s="24"/>
      <c r="AF399" s="24"/>
      <c r="AG399" s="24"/>
      <c r="AH399" s="22"/>
      <c r="AI399" s="22"/>
      <c r="AJ399" s="22"/>
    </row>
    <row r="400" spans="1:36" s="15" customFormat="1" x14ac:dyDescent="0.4">
      <c r="A400" s="5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23"/>
      <c r="Y400" s="23"/>
      <c r="Z400" s="5"/>
      <c r="AA400" s="5"/>
      <c r="AB400" s="5"/>
      <c r="AC400" s="5"/>
      <c r="AD400" s="5"/>
      <c r="AE400" s="24"/>
      <c r="AF400" s="24"/>
      <c r="AG400" s="24"/>
      <c r="AH400" s="22"/>
      <c r="AI400" s="22"/>
      <c r="AJ400" s="22"/>
    </row>
    <row r="401" spans="1:36" s="15" customFormat="1" x14ac:dyDescent="0.4">
      <c r="A401" s="5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23"/>
      <c r="Y401" s="23"/>
      <c r="Z401" s="5"/>
      <c r="AA401" s="5"/>
      <c r="AB401" s="5"/>
      <c r="AC401" s="5"/>
      <c r="AD401" s="5"/>
      <c r="AE401" s="24"/>
      <c r="AF401" s="24"/>
      <c r="AG401" s="24"/>
      <c r="AH401" s="22"/>
      <c r="AI401" s="22"/>
      <c r="AJ401" s="22"/>
    </row>
    <row r="402" spans="1:36" s="15" customFormat="1" x14ac:dyDescent="0.4">
      <c r="A402" s="5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3"/>
      <c r="Y402" s="23"/>
      <c r="Z402" s="5"/>
      <c r="AA402" s="5"/>
      <c r="AB402" s="5"/>
      <c r="AC402" s="5"/>
      <c r="AD402" s="5"/>
      <c r="AE402" s="24"/>
      <c r="AF402" s="24"/>
      <c r="AG402" s="24"/>
      <c r="AH402" s="22"/>
      <c r="AI402" s="22"/>
      <c r="AJ402" s="22"/>
    </row>
    <row r="403" spans="1:36" s="15" customFormat="1" x14ac:dyDescent="0.4">
      <c r="A403" s="5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3"/>
      <c r="Y403" s="23"/>
      <c r="Z403" s="5"/>
      <c r="AA403" s="5"/>
      <c r="AB403" s="5"/>
      <c r="AC403" s="5"/>
      <c r="AD403" s="5"/>
      <c r="AE403" s="24"/>
      <c r="AF403" s="24"/>
      <c r="AG403" s="24"/>
      <c r="AH403" s="22"/>
      <c r="AI403" s="22"/>
      <c r="AJ403" s="22"/>
    </row>
    <row r="404" spans="1:36" s="15" customFormat="1" x14ac:dyDescent="0.4">
      <c r="A404" s="5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23"/>
      <c r="Y404" s="23"/>
      <c r="Z404" s="5"/>
      <c r="AA404" s="5"/>
      <c r="AB404" s="5"/>
      <c r="AC404" s="5"/>
      <c r="AD404" s="5"/>
      <c r="AE404" s="24"/>
      <c r="AF404" s="24"/>
      <c r="AG404" s="24"/>
      <c r="AH404" s="22"/>
      <c r="AI404" s="22"/>
      <c r="AJ404" s="22"/>
    </row>
    <row r="405" spans="1:36" s="15" customFormat="1" x14ac:dyDescent="0.4">
      <c r="A405" s="5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23"/>
      <c r="Y405" s="23"/>
      <c r="Z405" s="5"/>
      <c r="AA405" s="5"/>
      <c r="AB405" s="5"/>
      <c r="AC405" s="5"/>
      <c r="AD405" s="5"/>
      <c r="AE405" s="24"/>
      <c r="AF405" s="24"/>
      <c r="AG405" s="24"/>
      <c r="AH405" s="22"/>
      <c r="AI405" s="22"/>
      <c r="AJ405" s="22"/>
    </row>
    <row r="406" spans="1:36" s="15" customFormat="1" x14ac:dyDescent="0.4">
      <c r="A406" s="5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23"/>
      <c r="Y406" s="23"/>
      <c r="Z406" s="5"/>
      <c r="AA406" s="5"/>
      <c r="AB406" s="5"/>
      <c r="AC406" s="5"/>
      <c r="AD406" s="5"/>
      <c r="AE406" s="24"/>
      <c r="AF406" s="24"/>
      <c r="AG406" s="24"/>
      <c r="AH406" s="22"/>
      <c r="AI406" s="22"/>
      <c r="AJ406" s="22"/>
    </row>
    <row r="407" spans="1:36" s="15" customFormat="1" x14ac:dyDescent="0.4">
      <c r="A407" s="5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3"/>
      <c r="Y407" s="23"/>
      <c r="Z407" s="5"/>
      <c r="AA407" s="5"/>
      <c r="AB407" s="5"/>
      <c r="AC407" s="5"/>
      <c r="AD407" s="5"/>
      <c r="AE407" s="24"/>
      <c r="AF407" s="24"/>
      <c r="AG407" s="24"/>
      <c r="AH407" s="22"/>
      <c r="AI407" s="22"/>
      <c r="AJ407" s="22"/>
    </row>
    <row r="408" spans="1:36" s="15" customFormat="1" x14ac:dyDescent="0.4">
      <c r="A408" s="5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23"/>
      <c r="Y408" s="23"/>
      <c r="Z408" s="5"/>
      <c r="AA408" s="5"/>
      <c r="AB408" s="5"/>
      <c r="AC408" s="5"/>
      <c r="AD408" s="5"/>
      <c r="AE408" s="24"/>
      <c r="AF408" s="24"/>
      <c r="AG408" s="24"/>
      <c r="AH408" s="22"/>
      <c r="AI408" s="22"/>
      <c r="AJ408" s="22"/>
    </row>
    <row r="409" spans="1:36" s="15" customFormat="1" x14ac:dyDescent="0.4">
      <c r="A409" s="5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23"/>
      <c r="Y409" s="23"/>
      <c r="Z409" s="5"/>
      <c r="AA409" s="5"/>
      <c r="AB409" s="5"/>
      <c r="AC409" s="5"/>
      <c r="AD409" s="5"/>
      <c r="AE409" s="24"/>
      <c r="AF409" s="24"/>
      <c r="AG409" s="24"/>
      <c r="AH409" s="22"/>
      <c r="AI409" s="22"/>
      <c r="AJ409" s="22"/>
    </row>
    <row r="410" spans="1:36" s="15" customFormat="1" x14ac:dyDescent="0.4">
      <c r="A410" s="5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3"/>
      <c r="Y410" s="23"/>
      <c r="Z410" s="5"/>
      <c r="AA410" s="5"/>
      <c r="AB410" s="5"/>
      <c r="AC410" s="5"/>
      <c r="AD410" s="5"/>
      <c r="AE410" s="24"/>
      <c r="AF410" s="24"/>
      <c r="AG410" s="24"/>
      <c r="AH410" s="5"/>
      <c r="AI410" s="5"/>
      <c r="AJ410" s="22"/>
    </row>
    <row r="411" spans="1:36" s="15" customFormat="1" x14ac:dyDescent="0.4">
      <c r="A411" s="5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23"/>
      <c r="Y411" s="23"/>
      <c r="Z411" s="5"/>
      <c r="AA411" s="5"/>
      <c r="AB411" s="5"/>
      <c r="AC411" s="5"/>
      <c r="AD411" s="5"/>
      <c r="AE411" s="24"/>
      <c r="AF411" s="24"/>
      <c r="AG411" s="24"/>
      <c r="AH411" s="24"/>
      <c r="AI411" s="24"/>
      <c r="AJ411" s="22"/>
    </row>
    <row r="412" spans="1:36" s="15" customFormat="1" x14ac:dyDescent="0.4">
      <c r="A412" s="5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23"/>
      <c r="Y412" s="23"/>
      <c r="Z412" s="5"/>
      <c r="AA412" s="5"/>
      <c r="AB412" s="5"/>
      <c r="AC412" s="5"/>
      <c r="AD412" s="5"/>
      <c r="AE412" s="24"/>
      <c r="AF412" s="24"/>
      <c r="AG412" s="24"/>
      <c r="AH412" s="24"/>
      <c r="AI412" s="24"/>
      <c r="AJ412" s="22"/>
    </row>
    <row r="413" spans="1:36" s="15" customFormat="1" x14ac:dyDescent="0.4">
      <c r="A413" s="5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23"/>
      <c r="Y413" s="23"/>
      <c r="Z413" s="5"/>
      <c r="AA413" s="5"/>
      <c r="AB413" s="5"/>
      <c r="AC413" s="5"/>
      <c r="AD413" s="5"/>
      <c r="AE413" s="24"/>
      <c r="AF413" s="24"/>
      <c r="AG413" s="24"/>
      <c r="AH413" s="24"/>
      <c r="AI413" s="24"/>
      <c r="AJ413" s="22"/>
    </row>
    <row r="414" spans="1:36" s="15" customFormat="1" x14ac:dyDescent="0.4">
      <c r="A414" s="5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23"/>
      <c r="Y414" s="23"/>
      <c r="Z414" s="5"/>
      <c r="AA414" s="5"/>
      <c r="AB414" s="5"/>
      <c r="AC414" s="5"/>
      <c r="AD414" s="5"/>
      <c r="AE414" s="24"/>
      <c r="AF414" s="24"/>
      <c r="AG414" s="24"/>
      <c r="AH414" s="24"/>
      <c r="AI414" s="24"/>
      <c r="AJ414" s="22"/>
    </row>
    <row r="415" spans="1:36" s="15" customFormat="1" x14ac:dyDescent="0.4">
      <c r="A415" s="5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3"/>
      <c r="Y415" s="23"/>
      <c r="Z415" s="5"/>
      <c r="AA415" s="5"/>
      <c r="AB415" s="5"/>
      <c r="AC415" s="5"/>
      <c r="AD415" s="5"/>
      <c r="AE415" s="24"/>
      <c r="AF415" s="24"/>
      <c r="AG415" s="24"/>
      <c r="AH415" s="24"/>
      <c r="AI415" s="24"/>
      <c r="AJ415" s="22"/>
    </row>
    <row r="416" spans="1:36" s="15" customFormat="1" x14ac:dyDescent="0.4">
      <c r="A416" s="5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3"/>
      <c r="Y416" s="23"/>
      <c r="Z416" s="5"/>
      <c r="AA416" s="5"/>
      <c r="AB416" s="5"/>
      <c r="AC416" s="5"/>
      <c r="AD416" s="5"/>
      <c r="AE416" s="24"/>
      <c r="AF416" s="24"/>
      <c r="AG416" s="24"/>
      <c r="AH416" s="24"/>
      <c r="AI416" s="24"/>
      <c r="AJ416" s="22"/>
    </row>
    <row r="417" spans="1:36" s="15" customFormat="1" x14ac:dyDescent="0.4">
      <c r="A417" s="5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3"/>
      <c r="Y417" s="23"/>
      <c r="Z417" s="5"/>
      <c r="AA417" s="5"/>
      <c r="AB417" s="5"/>
      <c r="AC417" s="5"/>
      <c r="AD417" s="5"/>
      <c r="AE417" s="24"/>
      <c r="AF417" s="24"/>
      <c r="AG417" s="24"/>
      <c r="AH417" s="24"/>
      <c r="AI417" s="24"/>
      <c r="AJ417" s="22"/>
    </row>
    <row r="418" spans="1:36" s="15" customFormat="1" x14ac:dyDescent="0.4">
      <c r="A418" s="5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23"/>
      <c r="Y418" s="23"/>
      <c r="Z418" s="5"/>
      <c r="AA418" s="5"/>
      <c r="AB418" s="5"/>
      <c r="AC418" s="5"/>
      <c r="AD418" s="5"/>
      <c r="AE418" s="24"/>
      <c r="AF418" s="24"/>
      <c r="AG418" s="24"/>
      <c r="AH418" s="24"/>
      <c r="AI418" s="24"/>
      <c r="AJ418" s="22"/>
    </row>
    <row r="419" spans="1:36" s="15" customFormat="1" x14ac:dyDescent="0.4">
      <c r="A419" s="5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23"/>
      <c r="Y419" s="23"/>
      <c r="Z419" s="5"/>
      <c r="AA419" s="5"/>
      <c r="AB419" s="5"/>
      <c r="AC419" s="5"/>
      <c r="AD419" s="5"/>
      <c r="AE419" s="24"/>
      <c r="AF419" s="24"/>
      <c r="AG419" s="24"/>
      <c r="AH419" s="24"/>
      <c r="AI419" s="24"/>
      <c r="AJ419" s="22"/>
    </row>
    <row r="420" spans="1:36" s="15" customFormat="1" x14ac:dyDescent="0.4">
      <c r="A420" s="5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3"/>
      <c r="Y420" s="23"/>
      <c r="Z420" s="5"/>
      <c r="AA420" s="5"/>
      <c r="AB420" s="5"/>
      <c r="AC420" s="5"/>
      <c r="AD420" s="5"/>
      <c r="AE420" s="24"/>
      <c r="AF420" s="24"/>
      <c r="AG420" s="24"/>
      <c r="AH420" s="24"/>
      <c r="AI420" s="24"/>
      <c r="AJ420" s="22"/>
    </row>
    <row r="421" spans="1:36" s="15" customFormat="1" x14ac:dyDescent="0.4">
      <c r="A421" s="5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3"/>
      <c r="Y421" s="23"/>
      <c r="Z421" s="5"/>
      <c r="AA421" s="5"/>
      <c r="AB421" s="5"/>
      <c r="AC421" s="5"/>
      <c r="AD421" s="5"/>
      <c r="AE421" s="24"/>
      <c r="AF421" s="24"/>
      <c r="AG421" s="24"/>
      <c r="AH421" s="24"/>
      <c r="AI421" s="24"/>
      <c r="AJ421" s="22"/>
    </row>
    <row r="422" spans="1:36" s="15" customFormat="1" x14ac:dyDescent="0.4">
      <c r="A422" s="5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23"/>
      <c r="Y422" s="23"/>
      <c r="Z422" s="5"/>
      <c r="AA422" s="5"/>
      <c r="AB422" s="5"/>
      <c r="AC422" s="5"/>
      <c r="AD422" s="5"/>
      <c r="AE422" s="24"/>
      <c r="AF422" s="24"/>
      <c r="AG422" s="24"/>
      <c r="AH422" s="24"/>
      <c r="AI422" s="24"/>
      <c r="AJ422" s="22"/>
    </row>
    <row r="423" spans="1:36" s="15" customFormat="1" x14ac:dyDescent="0.4">
      <c r="A423" s="5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23"/>
      <c r="Y423" s="23"/>
      <c r="Z423" s="5"/>
      <c r="AA423" s="5"/>
      <c r="AB423" s="5"/>
      <c r="AC423" s="5"/>
      <c r="AD423" s="5"/>
      <c r="AE423" s="24"/>
      <c r="AF423" s="24"/>
      <c r="AG423" s="24"/>
      <c r="AH423" s="24"/>
      <c r="AI423" s="24"/>
      <c r="AJ423" s="22"/>
    </row>
    <row r="424" spans="1:36" s="15" customFormat="1" x14ac:dyDescent="0.4">
      <c r="A424" s="5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23"/>
      <c r="Y424" s="23"/>
      <c r="Z424" s="5"/>
      <c r="AA424" s="5"/>
      <c r="AB424" s="5"/>
      <c r="AC424" s="5"/>
      <c r="AD424" s="5"/>
      <c r="AE424" s="24"/>
      <c r="AF424" s="24"/>
      <c r="AG424" s="24"/>
      <c r="AH424" s="24"/>
      <c r="AI424" s="24"/>
      <c r="AJ424" s="22"/>
    </row>
    <row r="425" spans="1:36" s="15" customFormat="1" x14ac:dyDescent="0.4">
      <c r="A425" s="5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23"/>
      <c r="Y425" s="23"/>
      <c r="Z425" s="5"/>
      <c r="AA425" s="5"/>
      <c r="AB425" s="5"/>
      <c r="AC425" s="5"/>
      <c r="AD425" s="5"/>
      <c r="AE425" s="24"/>
      <c r="AF425" s="24"/>
      <c r="AG425" s="24"/>
      <c r="AH425" s="24"/>
      <c r="AI425" s="24"/>
      <c r="AJ425" s="22"/>
    </row>
    <row r="426" spans="1:36" s="15" customFormat="1" x14ac:dyDescent="0.4">
      <c r="A426" s="5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23"/>
      <c r="Y426" s="23"/>
      <c r="Z426" s="5"/>
      <c r="AA426" s="5"/>
      <c r="AB426" s="5"/>
      <c r="AC426" s="5"/>
      <c r="AD426" s="5"/>
      <c r="AE426" s="24"/>
      <c r="AF426" s="24"/>
      <c r="AG426" s="24"/>
      <c r="AH426" s="24"/>
      <c r="AI426" s="24"/>
      <c r="AJ426" s="22"/>
    </row>
    <row r="427" spans="1:36" s="15" customFormat="1" x14ac:dyDescent="0.4">
      <c r="A427" s="5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3"/>
      <c r="Y427" s="23"/>
      <c r="Z427" s="5"/>
      <c r="AA427" s="5"/>
      <c r="AB427" s="5"/>
      <c r="AC427" s="5"/>
      <c r="AD427" s="5"/>
      <c r="AE427" s="24"/>
      <c r="AF427" s="24"/>
      <c r="AG427" s="24"/>
      <c r="AH427" s="24"/>
      <c r="AI427" s="24"/>
      <c r="AJ427" s="22"/>
    </row>
    <row r="428" spans="1:36" s="15" customFormat="1" x14ac:dyDescent="0.4">
      <c r="A428" s="5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3"/>
      <c r="Y428" s="23"/>
      <c r="Z428" s="5"/>
      <c r="AA428" s="5"/>
      <c r="AB428" s="5"/>
      <c r="AC428" s="5"/>
      <c r="AD428" s="5"/>
      <c r="AE428" s="24"/>
      <c r="AF428" s="24"/>
      <c r="AG428" s="24"/>
      <c r="AH428" s="24"/>
      <c r="AI428" s="24"/>
      <c r="AJ428" s="22"/>
    </row>
    <row r="429" spans="1:36" s="15" customFormat="1" x14ac:dyDescent="0.4">
      <c r="A429" s="5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3"/>
      <c r="Y429" s="23"/>
      <c r="Z429" s="5"/>
      <c r="AA429" s="5"/>
      <c r="AB429" s="5"/>
      <c r="AC429" s="5"/>
      <c r="AD429" s="5"/>
      <c r="AE429" s="24"/>
      <c r="AF429" s="24"/>
      <c r="AG429" s="24"/>
      <c r="AH429" s="24"/>
      <c r="AI429" s="24"/>
      <c r="AJ429" s="22"/>
    </row>
    <row r="430" spans="1:36" s="15" customFormat="1" x14ac:dyDescent="0.4">
      <c r="A430" s="5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3"/>
      <c r="Y430" s="23"/>
      <c r="Z430" s="5"/>
      <c r="AA430" s="5"/>
      <c r="AB430" s="5"/>
      <c r="AC430" s="5"/>
      <c r="AD430" s="5"/>
      <c r="AE430" s="24"/>
      <c r="AF430" s="24"/>
      <c r="AG430" s="24"/>
      <c r="AH430" s="24"/>
      <c r="AI430" s="24"/>
      <c r="AJ430" s="22"/>
    </row>
    <row r="431" spans="1:36" s="15" customFormat="1" x14ac:dyDescent="0.4">
      <c r="A431" s="5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23"/>
      <c r="Y431" s="23"/>
      <c r="Z431" s="5"/>
      <c r="AA431" s="5"/>
      <c r="AB431" s="5"/>
      <c r="AC431" s="5"/>
      <c r="AD431" s="5"/>
      <c r="AE431" s="24"/>
      <c r="AF431" s="24"/>
      <c r="AG431" s="24"/>
      <c r="AH431" s="24"/>
      <c r="AI431" s="24"/>
      <c r="AJ431" s="22"/>
    </row>
    <row r="432" spans="1:36" s="15" customFormat="1" x14ac:dyDescent="0.4">
      <c r="A432" s="5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23"/>
      <c r="Y432" s="23"/>
      <c r="Z432" s="5"/>
      <c r="AA432" s="5"/>
      <c r="AB432" s="5"/>
      <c r="AC432" s="5"/>
      <c r="AD432" s="5"/>
      <c r="AE432" s="24"/>
      <c r="AF432" s="24"/>
      <c r="AG432" s="24"/>
      <c r="AH432" s="24"/>
      <c r="AI432" s="24"/>
      <c r="AJ432" s="22"/>
    </row>
    <row r="433" spans="1:37" s="15" customFormat="1" x14ac:dyDescent="0.4">
      <c r="A433" s="5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23"/>
      <c r="Y433" s="23"/>
      <c r="Z433" s="5"/>
      <c r="AA433" s="5"/>
      <c r="AB433" s="5"/>
      <c r="AC433" s="5"/>
      <c r="AD433" s="5"/>
      <c r="AE433" s="24"/>
      <c r="AF433" s="24"/>
      <c r="AG433" s="24"/>
      <c r="AH433" s="24"/>
      <c r="AI433" s="24"/>
      <c r="AJ433" s="22"/>
    </row>
    <row r="434" spans="1:37" s="15" customFormat="1" x14ac:dyDescent="0.4">
      <c r="A434" s="5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23"/>
      <c r="Y434" s="23"/>
      <c r="Z434" s="5"/>
      <c r="AA434" s="5"/>
      <c r="AB434" s="5"/>
      <c r="AC434" s="5"/>
      <c r="AD434" s="5"/>
      <c r="AE434" s="24"/>
      <c r="AF434" s="24"/>
      <c r="AG434" s="24"/>
      <c r="AH434" s="24"/>
      <c r="AI434" s="24"/>
      <c r="AJ434" s="22"/>
    </row>
    <row r="435" spans="1:37" s="15" customFormat="1" x14ac:dyDescent="0.4">
      <c r="A435" s="5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23"/>
      <c r="Y435" s="23"/>
      <c r="Z435" s="5"/>
      <c r="AA435" s="5"/>
      <c r="AB435" s="5"/>
      <c r="AC435" s="5"/>
      <c r="AD435" s="5"/>
      <c r="AE435" s="24"/>
      <c r="AF435" s="24"/>
      <c r="AG435" s="24"/>
      <c r="AH435" s="24"/>
      <c r="AI435" s="24"/>
      <c r="AJ435" s="22"/>
    </row>
    <row r="436" spans="1:37" s="15" customFormat="1" x14ac:dyDescent="0.4">
      <c r="A436" s="5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3"/>
      <c r="Y436" s="23"/>
      <c r="Z436" s="5"/>
      <c r="AA436" s="5"/>
      <c r="AB436" s="5"/>
      <c r="AC436" s="5"/>
      <c r="AD436" s="5"/>
      <c r="AE436" s="24"/>
      <c r="AF436" s="24"/>
      <c r="AG436" s="24"/>
      <c r="AH436" s="24"/>
      <c r="AI436" s="24"/>
      <c r="AJ436" s="22"/>
    </row>
    <row r="437" spans="1:37" s="15" customFormat="1" x14ac:dyDescent="0.4">
      <c r="A437" s="5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23"/>
      <c r="Y437" s="23"/>
      <c r="Z437" s="5"/>
      <c r="AA437" s="5"/>
      <c r="AB437" s="5"/>
      <c r="AC437" s="5"/>
      <c r="AD437" s="5"/>
      <c r="AE437" s="24"/>
      <c r="AF437" s="24"/>
      <c r="AG437" s="24"/>
      <c r="AH437" s="24"/>
      <c r="AI437" s="24"/>
      <c r="AJ437" s="5"/>
      <c r="AK437" s="5"/>
    </row>
    <row r="438" spans="1:37" s="15" customFormat="1" x14ac:dyDescent="0.4">
      <c r="A438" s="5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23"/>
      <c r="Y438" s="23"/>
      <c r="Z438" s="5"/>
      <c r="AA438" s="5"/>
      <c r="AB438" s="5"/>
      <c r="AC438" s="5"/>
      <c r="AD438" s="5"/>
      <c r="AE438" s="24"/>
      <c r="AF438" s="24"/>
      <c r="AG438" s="24"/>
      <c r="AH438" s="24"/>
      <c r="AI438" s="24"/>
      <c r="AJ438" s="24"/>
      <c r="AK438" s="24"/>
    </row>
    <row r="439" spans="1:37" s="15" customFormat="1" x14ac:dyDescent="0.4">
      <c r="A439" s="5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23"/>
      <c r="Y439" s="23"/>
      <c r="Z439" s="5"/>
      <c r="AA439" s="5"/>
      <c r="AB439" s="5"/>
      <c r="AC439" s="5"/>
      <c r="AD439" s="5"/>
      <c r="AE439" s="24"/>
      <c r="AF439" s="24"/>
      <c r="AG439" s="24"/>
      <c r="AH439" s="24"/>
      <c r="AI439" s="24"/>
      <c r="AJ439" s="24"/>
      <c r="AK439" s="24"/>
    </row>
    <row r="440" spans="1:37" s="15" customFormat="1" x14ac:dyDescent="0.4">
      <c r="A440" s="5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3"/>
      <c r="Y440" s="23"/>
      <c r="Z440" s="5"/>
      <c r="AA440" s="5"/>
      <c r="AB440" s="5"/>
      <c r="AC440" s="5"/>
      <c r="AD440" s="5"/>
      <c r="AE440" s="24"/>
      <c r="AF440" s="24"/>
      <c r="AG440" s="24"/>
      <c r="AH440" s="24"/>
      <c r="AI440" s="24"/>
      <c r="AJ440" s="24"/>
      <c r="AK440" s="24"/>
    </row>
    <row r="441" spans="1:37" s="15" customFormat="1" x14ac:dyDescent="0.4">
      <c r="A441" s="5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23"/>
      <c r="Y441" s="23"/>
      <c r="Z441" s="5"/>
      <c r="AA441" s="5"/>
      <c r="AB441" s="5"/>
      <c r="AC441" s="5"/>
      <c r="AD441" s="5"/>
      <c r="AE441" s="24"/>
      <c r="AF441" s="24"/>
      <c r="AG441" s="24"/>
      <c r="AH441" s="24"/>
      <c r="AI441" s="24"/>
      <c r="AJ441" s="24"/>
      <c r="AK441" s="24"/>
    </row>
    <row r="442" spans="1:37" s="15" customFormat="1" x14ac:dyDescent="0.4">
      <c r="A442" s="5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23"/>
      <c r="Y442" s="23"/>
      <c r="Z442" s="5"/>
      <c r="AA442" s="5"/>
      <c r="AB442" s="5"/>
      <c r="AC442" s="5"/>
      <c r="AD442" s="5"/>
      <c r="AE442" s="24"/>
      <c r="AF442" s="24"/>
      <c r="AG442" s="24"/>
      <c r="AH442" s="24"/>
      <c r="AI442" s="24"/>
      <c r="AJ442" s="24"/>
      <c r="AK442" s="24"/>
    </row>
    <row r="443" spans="1:37" s="15" customFormat="1" x14ac:dyDescent="0.4">
      <c r="A443" s="5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23"/>
      <c r="Y443" s="23"/>
      <c r="Z443" s="5"/>
      <c r="AA443" s="5"/>
      <c r="AB443" s="5"/>
      <c r="AC443" s="5"/>
      <c r="AD443" s="5"/>
      <c r="AE443" s="24"/>
      <c r="AF443" s="24"/>
      <c r="AG443" s="24"/>
      <c r="AH443" s="24"/>
      <c r="AI443" s="24"/>
      <c r="AJ443" s="24"/>
      <c r="AK443" s="24"/>
    </row>
    <row r="444" spans="1:37" s="15" customFormat="1" x14ac:dyDescent="0.4">
      <c r="A444" s="5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23"/>
      <c r="Y444" s="23"/>
      <c r="Z444" s="5"/>
      <c r="AA444" s="5"/>
      <c r="AB444" s="5"/>
      <c r="AC444" s="5"/>
      <c r="AD444" s="5"/>
      <c r="AE444" s="24"/>
      <c r="AF444" s="24"/>
      <c r="AG444" s="24"/>
      <c r="AH444" s="24"/>
      <c r="AI444" s="24"/>
      <c r="AJ444" s="24"/>
      <c r="AK444" s="24"/>
    </row>
    <row r="445" spans="1:37" s="15" customFormat="1" x14ac:dyDescent="0.4">
      <c r="A445" s="5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23"/>
      <c r="Y445" s="23"/>
      <c r="Z445" s="5"/>
      <c r="AA445" s="5"/>
      <c r="AB445" s="5"/>
      <c r="AC445" s="5"/>
      <c r="AD445" s="5"/>
      <c r="AE445" s="24"/>
      <c r="AF445" s="24"/>
      <c r="AG445" s="24"/>
      <c r="AH445" s="24"/>
      <c r="AI445" s="24"/>
      <c r="AJ445" s="24"/>
      <c r="AK445" s="24"/>
    </row>
    <row r="446" spans="1:37" s="15" customFormat="1" x14ac:dyDescent="0.4">
      <c r="A446" s="5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23"/>
      <c r="Y446" s="23"/>
      <c r="Z446" s="5"/>
      <c r="AA446" s="5"/>
      <c r="AB446" s="5"/>
      <c r="AC446" s="5"/>
      <c r="AD446" s="5"/>
      <c r="AE446" s="24"/>
      <c r="AF446" s="24"/>
      <c r="AG446" s="24"/>
      <c r="AH446" s="24"/>
      <c r="AI446" s="24"/>
      <c r="AJ446" s="24"/>
      <c r="AK446" s="24"/>
    </row>
    <row r="447" spans="1:37" s="15" customFormat="1" x14ac:dyDescent="0.4">
      <c r="A447" s="5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23"/>
      <c r="Y447" s="23"/>
      <c r="Z447" s="5"/>
      <c r="AA447" s="5"/>
      <c r="AB447" s="5"/>
      <c r="AC447" s="5"/>
      <c r="AD447" s="5"/>
      <c r="AE447" s="24"/>
      <c r="AF447" s="24"/>
      <c r="AG447" s="24"/>
      <c r="AH447" s="24"/>
      <c r="AI447" s="24"/>
      <c r="AJ447" s="24"/>
      <c r="AK447" s="24"/>
    </row>
    <row r="448" spans="1:37" s="15" customFormat="1" x14ac:dyDescent="0.4">
      <c r="A448" s="5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23"/>
      <c r="Y448" s="23"/>
      <c r="Z448" s="5"/>
      <c r="AA448" s="5"/>
      <c r="AB448" s="5"/>
      <c r="AC448" s="5"/>
      <c r="AD448" s="5"/>
      <c r="AE448" s="24"/>
      <c r="AF448" s="24"/>
      <c r="AG448" s="24"/>
      <c r="AH448" s="24"/>
      <c r="AI448" s="24"/>
      <c r="AJ448" s="24"/>
      <c r="AK448" s="24"/>
    </row>
    <row r="449" spans="1:37" s="15" customFormat="1" x14ac:dyDescent="0.4">
      <c r="A449" s="5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23"/>
      <c r="Y449" s="23"/>
      <c r="Z449" s="5"/>
      <c r="AA449" s="5"/>
      <c r="AB449" s="5"/>
      <c r="AC449" s="5"/>
      <c r="AD449" s="5"/>
      <c r="AE449" s="24"/>
      <c r="AF449" s="24"/>
      <c r="AG449" s="24"/>
      <c r="AH449" s="24"/>
      <c r="AI449" s="24"/>
      <c r="AJ449" s="24"/>
      <c r="AK449" s="24"/>
    </row>
    <row r="450" spans="1:37" s="15" customFormat="1" x14ac:dyDescent="0.4">
      <c r="A450" s="5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23"/>
      <c r="Y450" s="23"/>
      <c r="Z450" s="5"/>
      <c r="AA450" s="5"/>
      <c r="AB450" s="5"/>
      <c r="AC450" s="5"/>
      <c r="AD450" s="5"/>
      <c r="AE450" s="24"/>
      <c r="AF450" s="24"/>
      <c r="AG450" s="24"/>
      <c r="AH450" s="24"/>
      <c r="AI450" s="24"/>
      <c r="AJ450" s="24"/>
      <c r="AK450" s="24"/>
    </row>
    <row r="451" spans="1:37" s="15" customFormat="1" x14ac:dyDescent="0.4">
      <c r="A451" s="5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23"/>
      <c r="Y451" s="23"/>
      <c r="Z451" s="5"/>
      <c r="AA451" s="5"/>
      <c r="AB451" s="5"/>
      <c r="AC451" s="5"/>
      <c r="AD451" s="5"/>
      <c r="AE451" s="24"/>
      <c r="AF451" s="24"/>
      <c r="AG451" s="24"/>
      <c r="AH451" s="24"/>
      <c r="AI451" s="24"/>
      <c r="AJ451" s="24"/>
      <c r="AK451" s="24"/>
    </row>
    <row r="452" spans="1:37" s="15" customFormat="1" x14ac:dyDescent="0.4">
      <c r="A452" s="5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23"/>
      <c r="Y452" s="23"/>
      <c r="Z452" s="5"/>
      <c r="AA452" s="5"/>
      <c r="AB452" s="5"/>
      <c r="AC452" s="5"/>
      <c r="AD452" s="5"/>
      <c r="AE452" s="24"/>
      <c r="AF452" s="24"/>
      <c r="AG452" s="24"/>
      <c r="AH452" s="24"/>
      <c r="AI452" s="24"/>
      <c r="AJ452" s="24"/>
      <c r="AK452" s="24"/>
    </row>
    <row r="453" spans="1:37" s="15" customFormat="1" x14ac:dyDescent="0.4">
      <c r="A453" s="5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23"/>
      <c r="Y453" s="23"/>
      <c r="Z453" s="5"/>
      <c r="AA453" s="5"/>
      <c r="AB453" s="5"/>
      <c r="AC453" s="5"/>
      <c r="AD453" s="5"/>
      <c r="AE453" s="24"/>
      <c r="AF453" s="24"/>
      <c r="AG453" s="24"/>
      <c r="AH453" s="24"/>
      <c r="AI453" s="24"/>
      <c r="AJ453" s="24"/>
      <c r="AK453" s="24"/>
    </row>
    <row r="454" spans="1:37" s="15" customFormat="1" x14ac:dyDescent="0.4">
      <c r="A454" s="5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23"/>
      <c r="Y454" s="23"/>
      <c r="Z454" s="5"/>
      <c r="AA454" s="5"/>
      <c r="AB454" s="5"/>
      <c r="AC454" s="5"/>
      <c r="AD454" s="5"/>
      <c r="AE454" s="24"/>
      <c r="AF454" s="24"/>
      <c r="AG454" s="24"/>
      <c r="AH454" s="24"/>
      <c r="AI454" s="24"/>
      <c r="AJ454" s="24"/>
      <c r="AK454" s="24"/>
    </row>
    <row r="455" spans="1:37" s="15" customFormat="1" x14ac:dyDescent="0.4">
      <c r="A455" s="5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23"/>
      <c r="Y455" s="23"/>
      <c r="Z455" s="5"/>
      <c r="AA455" s="5"/>
      <c r="AB455" s="5"/>
      <c r="AC455" s="5"/>
      <c r="AD455" s="5"/>
      <c r="AE455" s="24"/>
      <c r="AF455" s="24"/>
      <c r="AG455" s="24"/>
      <c r="AH455" s="24"/>
      <c r="AI455" s="24"/>
      <c r="AJ455" s="24"/>
      <c r="AK455" s="24"/>
    </row>
    <row r="456" spans="1:37" s="15" customFormat="1" x14ac:dyDescent="0.4">
      <c r="A456" s="5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23"/>
      <c r="Y456" s="23"/>
      <c r="Z456" s="5"/>
      <c r="AA456" s="5"/>
      <c r="AB456" s="5"/>
      <c r="AC456" s="5"/>
      <c r="AD456" s="5"/>
      <c r="AE456" s="24"/>
      <c r="AF456" s="24"/>
      <c r="AG456" s="24"/>
      <c r="AH456" s="24"/>
      <c r="AI456" s="24"/>
      <c r="AJ456" s="24"/>
      <c r="AK456" s="24"/>
    </row>
    <row r="457" spans="1:37" s="15" customFormat="1" x14ac:dyDescent="0.4">
      <c r="A457" s="5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23"/>
      <c r="Y457" s="23"/>
      <c r="Z457" s="5"/>
      <c r="AA457" s="5"/>
      <c r="AB457" s="5"/>
      <c r="AC457" s="5"/>
      <c r="AD457" s="5"/>
      <c r="AE457" s="24"/>
      <c r="AF457" s="24"/>
      <c r="AG457" s="24"/>
      <c r="AH457" s="24"/>
      <c r="AI457" s="24"/>
      <c r="AJ457" s="24"/>
      <c r="AK457" s="24"/>
    </row>
    <row r="458" spans="1:37" s="15" customFormat="1" x14ac:dyDescent="0.4">
      <c r="A458" s="5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3"/>
      <c r="Y458" s="23"/>
      <c r="Z458" s="5"/>
      <c r="AA458" s="5"/>
      <c r="AB458" s="5"/>
      <c r="AC458" s="5"/>
      <c r="AD458" s="5"/>
      <c r="AE458" s="24"/>
      <c r="AF458" s="24"/>
      <c r="AG458" s="24"/>
      <c r="AH458" s="24"/>
      <c r="AI458" s="24"/>
      <c r="AJ458" s="24"/>
      <c r="AK458" s="24"/>
    </row>
    <row r="459" spans="1:37" s="15" customFormat="1" x14ac:dyDescent="0.4">
      <c r="A459" s="5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23"/>
      <c r="Y459" s="23"/>
      <c r="Z459" s="5"/>
      <c r="AA459" s="5"/>
      <c r="AB459" s="5"/>
      <c r="AC459" s="5"/>
      <c r="AD459" s="5"/>
      <c r="AE459" s="24"/>
      <c r="AF459" s="24"/>
      <c r="AG459" s="24"/>
      <c r="AH459" s="24"/>
      <c r="AI459" s="24"/>
      <c r="AJ459" s="24"/>
      <c r="AK459" s="24"/>
    </row>
    <row r="460" spans="1:37" s="15" customFormat="1" x14ac:dyDescent="0.4">
      <c r="A460" s="5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23"/>
      <c r="Y460" s="23"/>
      <c r="Z460" s="5"/>
      <c r="AA460" s="5"/>
      <c r="AB460" s="5"/>
      <c r="AC460" s="5"/>
      <c r="AD460" s="5"/>
      <c r="AE460" s="24"/>
      <c r="AF460" s="24"/>
      <c r="AG460" s="24"/>
      <c r="AH460" s="24"/>
      <c r="AI460" s="24"/>
      <c r="AJ460" s="24"/>
      <c r="AK460" s="24"/>
    </row>
    <row r="461" spans="1:37" s="15" customFormat="1" x14ac:dyDescent="0.4">
      <c r="A461" s="5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3"/>
      <c r="Y461" s="23"/>
      <c r="Z461" s="5"/>
      <c r="AA461" s="5"/>
      <c r="AB461" s="5"/>
      <c r="AC461" s="5"/>
      <c r="AD461" s="5"/>
      <c r="AE461" s="24"/>
      <c r="AF461" s="24"/>
      <c r="AG461" s="24"/>
      <c r="AH461" s="24"/>
      <c r="AI461" s="24"/>
      <c r="AJ461" s="24"/>
      <c r="AK461" s="24"/>
    </row>
    <row r="462" spans="1:37" s="15" customFormat="1" x14ac:dyDescent="0.4">
      <c r="A462" s="5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3"/>
      <c r="Y462" s="23"/>
      <c r="Z462" s="5"/>
      <c r="AA462" s="5"/>
      <c r="AB462" s="5"/>
      <c r="AC462" s="5"/>
      <c r="AD462" s="5"/>
      <c r="AE462" s="24"/>
      <c r="AF462" s="24"/>
      <c r="AG462" s="24"/>
      <c r="AH462" s="24"/>
      <c r="AI462" s="24"/>
      <c r="AJ462" s="24"/>
      <c r="AK462" s="24"/>
    </row>
    <row r="463" spans="1:37" s="15" customFormat="1" x14ac:dyDescent="0.4">
      <c r="A463" s="5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23"/>
      <c r="Y463" s="23"/>
      <c r="Z463" s="5"/>
      <c r="AA463" s="5"/>
      <c r="AB463" s="5"/>
      <c r="AC463" s="5"/>
      <c r="AD463" s="5"/>
      <c r="AE463" s="24"/>
      <c r="AF463" s="24"/>
      <c r="AG463" s="24"/>
      <c r="AH463" s="24"/>
      <c r="AI463" s="24"/>
      <c r="AJ463" s="24"/>
      <c r="AK463" s="24"/>
    </row>
    <row r="464" spans="1:37" s="15" customFormat="1" x14ac:dyDescent="0.4">
      <c r="A464" s="5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3"/>
      <c r="Y464" s="23"/>
      <c r="Z464" s="5"/>
      <c r="AA464" s="5"/>
      <c r="AB464" s="5"/>
      <c r="AC464" s="5"/>
      <c r="AD464" s="5"/>
      <c r="AE464" s="24"/>
      <c r="AF464" s="24"/>
      <c r="AG464" s="24"/>
      <c r="AH464" s="24"/>
      <c r="AI464" s="24"/>
      <c r="AJ464" s="24"/>
      <c r="AK464" s="24"/>
    </row>
    <row r="465" spans="1:37" s="15" customFormat="1" x14ac:dyDescent="0.4">
      <c r="A465" s="5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23"/>
      <c r="Y465" s="23"/>
      <c r="Z465" s="5"/>
      <c r="AA465" s="5"/>
      <c r="AB465" s="5"/>
      <c r="AC465" s="5"/>
      <c r="AD465" s="5"/>
      <c r="AE465" s="24"/>
      <c r="AF465" s="24"/>
      <c r="AG465" s="24"/>
      <c r="AH465" s="24"/>
      <c r="AI465" s="24"/>
      <c r="AJ465" s="24"/>
      <c r="AK465" s="24"/>
    </row>
    <row r="466" spans="1:37" s="15" customFormat="1" x14ac:dyDescent="0.4">
      <c r="A466" s="5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23"/>
      <c r="Y466" s="23"/>
      <c r="Z466" s="5"/>
      <c r="AA466" s="5"/>
      <c r="AB466" s="5"/>
      <c r="AC466" s="5"/>
      <c r="AD466" s="5"/>
      <c r="AE466" s="24"/>
      <c r="AF466" s="24"/>
      <c r="AG466" s="24"/>
      <c r="AH466" s="24"/>
      <c r="AI466" s="24"/>
      <c r="AJ466" s="24"/>
      <c r="AK466" s="24"/>
    </row>
    <row r="467" spans="1:37" s="15" customFormat="1" x14ac:dyDescent="0.4">
      <c r="A467" s="5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3"/>
      <c r="Y467" s="23"/>
      <c r="Z467" s="5"/>
      <c r="AA467" s="5"/>
      <c r="AB467" s="5"/>
      <c r="AC467" s="5"/>
      <c r="AD467" s="5"/>
      <c r="AE467" s="24"/>
      <c r="AF467" s="24"/>
      <c r="AG467" s="24"/>
      <c r="AH467" s="24"/>
      <c r="AI467" s="24"/>
      <c r="AJ467" s="24"/>
      <c r="AK467" s="24"/>
    </row>
    <row r="468" spans="1:37" s="15" customFormat="1" x14ac:dyDescent="0.4">
      <c r="A468" s="5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23"/>
      <c r="Y468" s="23"/>
      <c r="Z468" s="5"/>
      <c r="AA468" s="5"/>
      <c r="AB468" s="5"/>
      <c r="AC468" s="5"/>
      <c r="AD468" s="5"/>
      <c r="AE468" s="24"/>
      <c r="AF468" s="24"/>
      <c r="AG468" s="24"/>
      <c r="AH468" s="24"/>
      <c r="AI468" s="24"/>
      <c r="AJ468" s="24"/>
      <c r="AK468" s="24"/>
    </row>
    <row r="469" spans="1:37" s="15" customFormat="1" x14ac:dyDescent="0.4">
      <c r="A469" s="5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23"/>
      <c r="Y469" s="23"/>
      <c r="Z469" s="5"/>
      <c r="AA469" s="5"/>
      <c r="AB469" s="5"/>
      <c r="AC469" s="5"/>
      <c r="AD469" s="5"/>
      <c r="AE469" s="24"/>
      <c r="AF469" s="24"/>
      <c r="AG469" s="24"/>
      <c r="AH469" s="24"/>
      <c r="AI469" s="24"/>
      <c r="AJ469" s="24"/>
      <c r="AK469" s="24"/>
    </row>
    <row r="470" spans="1:37" s="15" customFormat="1" x14ac:dyDescent="0.4">
      <c r="A470" s="5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3"/>
      <c r="Y470" s="23"/>
      <c r="Z470" s="5"/>
      <c r="AA470" s="5"/>
      <c r="AB470" s="5"/>
      <c r="AC470" s="5"/>
      <c r="AD470" s="5"/>
      <c r="AE470" s="24"/>
      <c r="AF470" s="24"/>
      <c r="AG470" s="24"/>
      <c r="AH470" s="24"/>
      <c r="AI470" s="24"/>
      <c r="AJ470" s="24"/>
      <c r="AK470" s="24"/>
    </row>
    <row r="471" spans="1:37" s="15" customFormat="1" x14ac:dyDescent="0.4">
      <c r="A471" s="5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23"/>
      <c r="Y471" s="23"/>
      <c r="Z471" s="5"/>
      <c r="AA471" s="5"/>
      <c r="AB471" s="5"/>
      <c r="AC471" s="5"/>
      <c r="AD471" s="5"/>
      <c r="AE471" s="24"/>
      <c r="AF471" s="24"/>
      <c r="AG471" s="24"/>
      <c r="AH471" s="24"/>
      <c r="AI471" s="24"/>
      <c r="AJ471" s="24"/>
      <c r="AK471" s="24"/>
    </row>
    <row r="472" spans="1:37" s="15" customFormat="1" x14ac:dyDescent="0.4">
      <c r="A472" s="5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23"/>
      <c r="Y472" s="23"/>
      <c r="Z472" s="5"/>
      <c r="AA472" s="5"/>
      <c r="AB472" s="5"/>
      <c r="AC472" s="5"/>
      <c r="AD472" s="5"/>
      <c r="AE472" s="24"/>
      <c r="AF472" s="24"/>
      <c r="AG472" s="24"/>
      <c r="AH472" s="24"/>
      <c r="AI472" s="24"/>
      <c r="AJ472" s="24"/>
      <c r="AK472" s="24"/>
    </row>
    <row r="473" spans="1:37" s="15" customFormat="1" x14ac:dyDescent="0.4">
      <c r="A473" s="5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23"/>
      <c r="Y473" s="23"/>
      <c r="Z473" s="5"/>
      <c r="AA473" s="5"/>
      <c r="AB473" s="5"/>
      <c r="AC473" s="5"/>
      <c r="AD473" s="5"/>
      <c r="AE473" s="24"/>
      <c r="AF473" s="24"/>
      <c r="AG473" s="24"/>
      <c r="AH473" s="24"/>
      <c r="AI473" s="24"/>
      <c r="AJ473" s="24"/>
      <c r="AK473" s="24"/>
    </row>
    <row r="474" spans="1:37" s="15" customFormat="1" x14ac:dyDescent="0.4">
      <c r="A474" s="5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23"/>
      <c r="Y474" s="23"/>
      <c r="Z474" s="5"/>
      <c r="AA474" s="5"/>
      <c r="AB474" s="5"/>
      <c r="AC474" s="5"/>
      <c r="AD474" s="5"/>
      <c r="AE474" s="24"/>
      <c r="AF474" s="24"/>
      <c r="AG474" s="24"/>
      <c r="AH474" s="24"/>
      <c r="AI474" s="24"/>
      <c r="AJ474" s="24"/>
      <c r="AK474" s="24"/>
    </row>
    <row r="475" spans="1:37" s="15" customFormat="1" x14ac:dyDescent="0.4">
      <c r="A475" s="5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23"/>
      <c r="Y475" s="23"/>
      <c r="Z475" s="5"/>
      <c r="AA475" s="5"/>
      <c r="AB475" s="5"/>
      <c r="AC475" s="5"/>
      <c r="AD475" s="5"/>
      <c r="AE475" s="24"/>
      <c r="AF475" s="24"/>
      <c r="AG475" s="24"/>
      <c r="AH475" s="24"/>
      <c r="AI475" s="24"/>
      <c r="AJ475" s="24"/>
      <c r="AK475" s="24"/>
    </row>
    <row r="476" spans="1:37" s="15" customFormat="1" x14ac:dyDescent="0.4">
      <c r="A476" s="5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23"/>
      <c r="Y476" s="23"/>
      <c r="Z476" s="5"/>
      <c r="AA476" s="5"/>
      <c r="AB476" s="5"/>
      <c r="AC476" s="5"/>
      <c r="AD476" s="5"/>
      <c r="AE476" s="24"/>
      <c r="AF476" s="24"/>
      <c r="AG476" s="24"/>
      <c r="AH476" s="24"/>
      <c r="AI476" s="24"/>
      <c r="AJ476" s="24"/>
      <c r="AK476" s="24"/>
    </row>
    <row r="477" spans="1:37" s="15" customFormat="1" x14ac:dyDescent="0.4">
      <c r="A477" s="5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3"/>
      <c r="Y477" s="23"/>
      <c r="Z477" s="5"/>
      <c r="AA477" s="5"/>
      <c r="AB477" s="5"/>
      <c r="AC477" s="5"/>
      <c r="AD477" s="5"/>
      <c r="AE477" s="24"/>
      <c r="AF477" s="24"/>
      <c r="AG477" s="24"/>
      <c r="AH477" s="24"/>
      <c r="AI477" s="24"/>
      <c r="AJ477" s="24"/>
      <c r="AK477" s="24"/>
    </row>
    <row r="478" spans="1:37" s="15" customFormat="1" x14ac:dyDescent="0.4">
      <c r="A478" s="5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3"/>
      <c r="Y478" s="23"/>
      <c r="Z478" s="5"/>
      <c r="AA478" s="5"/>
      <c r="AB478" s="5"/>
      <c r="AC478" s="5"/>
      <c r="AD478" s="5"/>
      <c r="AE478" s="24"/>
      <c r="AF478" s="24"/>
      <c r="AG478" s="24"/>
      <c r="AH478" s="24"/>
      <c r="AI478" s="24"/>
      <c r="AJ478" s="24"/>
      <c r="AK478" s="24"/>
    </row>
    <row r="479" spans="1:37" s="15" customFormat="1" x14ac:dyDescent="0.4">
      <c r="A479" s="5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3"/>
      <c r="Y479" s="23"/>
      <c r="Z479" s="5"/>
      <c r="AA479" s="5"/>
      <c r="AB479" s="5"/>
      <c r="AC479" s="5"/>
      <c r="AD479" s="5"/>
      <c r="AE479" s="24"/>
      <c r="AF479" s="24"/>
      <c r="AG479" s="24"/>
      <c r="AH479" s="24"/>
      <c r="AI479" s="24"/>
      <c r="AJ479" s="24"/>
      <c r="AK479" s="24"/>
    </row>
    <row r="480" spans="1:37" s="15" customFormat="1" x14ac:dyDescent="0.4">
      <c r="A480" s="5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23"/>
      <c r="Y480" s="23"/>
      <c r="Z480" s="5"/>
      <c r="AA480" s="5"/>
      <c r="AB480" s="5"/>
      <c r="AC480" s="5"/>
      <c r="AD480" s="5"/>
      <c r="AE480" s="24"/>
      <c r="AF480" s="24"/>
      <c r="AG480" s="24"/>
      <c r="AH480" s="24"/>
      <c r="AI480" s="24"/>
      <c r="AJ480" s="24"/>
      <c r="AK480" s="24"/>
    </row>
    <row r="481" spans="1:37" s="15" customFormat="1" x14ac:dyDescent="0.4">
      <c r="A481" s="5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23"/>
      <c r="Y481" s="23"/>
      <c r="Z481" s="5"/>
      <c r="AA481" s="5"/>
      <c r="AB481" s="5"/>
      <c r="AC481" s="5"/>
      <c r="AD481" s="5"/>
      <c r="AE481" s="24"/>
      <c r="AF481" s="24"/>
      <c r="AG481" s="24"/>
      <c r="AH481" s="24"/>
      <c r="AI481" s="24"/>
      <c r="AJ481" s="24"/>
      <c r="AK481" s="24"/>
    </row>
    <row r="482" spans="1:37" s="15" customFormat="1" x14ac:dyDescent="0.4">
      <c r="A482" s="5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23"/>
      <c r="Y482" s="23"/>
      <c r="Z482" s="5"/>
      <c r="AA482" s="5"/>
      <c r="AB482" s="5"/>
      <c r="AC482" s="5"/>
      <c r="AD482" s="5"/>
      <c r="AE482" s="24"/>
      <c r="AF482" s="24"/>
      <c r="AG482" s="24"/>
      <c r="AH482" s="24"/>
      <c r="AI482" s="24"/>
      <c r="AJ482" s="24"/>
      <c r="AK482" s="24"/>
    </row>
    <row r="483" spans="1:37" s="15" customFormat="1" x14ac:dyDescent="0.4">
      <c r="A483" s="5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23"/>
      <c r="Y483" s="23"/>
      <c r="Z483" s="5"/>
      <c r="AA483" s="5"/>
      <c r="AB483" s="5"/>
      <c r="AC483" s="5"/>
      <c r="AD483" s="5"/>
      <c r="AE483" s="24"/>
      <c r="AF483" s="24"/>
      <c r="AG483" s="24"/>
      <c r="AH483" s="24"/>
      <c r="AI483" s="24"/>
      <c r="AJ483" s="24"/>
      <c r="AK483" s="24"/>
    </row>
    <row r="484" spans="1:37" s="15" customFormat="1" x14ac:dyDescent="0.4">
      <c r="A484" s="5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23"/>
      <c r="Y484" s="23"/>
      <c r="Z484" s="5"/>
      <c r="AA484" s="5"/>
      <c r="AB484" s="5"/>
      <c r="AC484" s="5"/>
      <c r="AD484" s="5"/>
      <c r="AE484" s="24"/>
      <c r="AF484" s="24"/>
      <c r="AG484" s="24"/>
      <c r="AH484" s="24"/>
      <c r="AI484" s="24"/>
      <c r="AJ484" s="24"/>
      <c r="AK484" s="24"/>
    </row>
    <row r="485" spans="1:37" s="15" customFormat="1" x14ac:dyDescent="0.4">
      <c r="A485" s="5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23"/>
      <c r="Y485" s="23"/>
      <c r="Z485" s="5"/>
      <c r="AA485" s="5"/>
      <c r="AB485" s="5"/>
      <c r="AC485" s="5"/>
      <c r="AD485" s="5"/>
      <c r="AE485" s="24"/>
      <c r="AF485" s="24"/>
      <c r="AG485" s="24"/>
      <c r="AH485" s="24"/>
      <c r="AI485" s="24"/>
      <c r="AJ485" s="24"/>
      <c r="AK485" s="24"/>
    </row>
    <row r="486" spans="1:37" s="15" customFormat="1" x14ac:dyDescent="0.4">
      <c r="A486" s="5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23"/>
      <c r="Y486" s="23"/>
      <c r="Z486" s="5"/>
      <c r="AA486" s="5"/>
      <c r="AB486" s="5"/>
      <c r="AC486" s="5"/>
      <c r="AD486" s="5"/>
      <c r="AE486" s="24"/>
      <c r="AF486" s="24"/>
      <c r="AG486" s="24"/>
      <c r="AH486" s="24"/>
      <c r="AI486" s="24"/>
      <c r="AJ486" s="24"/>
      <c r="AK486" s="24"/>
    </row>
    <row r="487" spans="1:37" s="15" customFormat="1" x14ac:dyDescent="0.4">
      <c r="A487" s="5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23"/>
      <c r="Y487" s="23"/>
      <c r="Z487" s="5"/>
      <c r="AA487" s="5"/>
      <c r="AB487" s="5"/>
      <c r="AC487" s="5"/>
      <c r="AD487" s="5"/>
      <c r="AE487" s="24"/>
      <c r="AF487" s="24"/>
      <c r="AG487" s="24"/>
      <c r="AH487" s="24"/>
      <c r="AI487" s="24"/>
      <c r="AJ487" s="24"/>
      <c r="AK487" s="24"/>
    </row>
    <row r="488" spans="1:37" s="15" customFormat="1" x14ac:dyDescent="0.4">
      <c r="A488" s="5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3"/>
      <c r="Y488" s="23"/>
      <c r="Z488" s="5"/>
      <c r="AA488" s="5"/>
      <c r="AB488" s="5"/>
      <c r="AC488" s="5"/>
      <c r="AD488" s="5"/>
      <c r="AE488" s="24"/>
      <c r="AF488" s="24"/>
      <c r="AG488" s="24"/>
      <c r="AH488" s="24"/>
      <c r="AI488" s="24"/>
      <c r="AJ488" s="24"/>
      <c r="AK488" s="24"/>
    </row>
    <row r="489" spans="1:37" s="15" customFormat="1" x14ac:dyDescent="0.4">
      <c r="A489" s="5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3"/>
      <c r="Y489" s="23"/>
      <c r="Z489" s="5"/>
      <c r="AA489" s="5"/>
      <c r="AB489" s="5"/>
      <c r="AC489" s="5"/>
      <c r="AD489" s="5"/>
      <c r="AE489" s="24"/>
      <c r="AF489" s="24"/>
      <c r="AG489" s="24"/>
      <c r="AH489" s="24"/>
      <c r="AI489" s="24"/>
      <c r="AJ489" s="24"/>
      <c r="AK489" s="24"/>
    </row>
    <row r="490" spans="1:37" s="15" customFormat="1" x14ac:dyDescent="0.4">
      <c r="A490" s="5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23"/>
      <c r="Y490" s="23"/>
      <c r="Z490" s="5"/>
      <c r="AA490" s="5"/>
      <c r="AB490" s="5"/>
      <c r="AC490" s="5"/>
      <c r="AD490" s="5"/>
      <c r="AE490" s="24"/>
      <c r="AF490" s="24"/>
      <c r="AG490" s="24"/>
      <c r="AH490" s="24"/>
      <c r="AI490" s="24"/>
      <c r="AJ490" s="24"/>
      <c r="AK490" s="24"/>
    </row>
    <row r="491" spans="1:37" s="15" customFormat="1" x14ac:dyDescent="0.4">
      <c r="A491" s="5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23"/>
      <c r="Y491" s="23"/>
      <c r="Z491" s="5"/>
      <c r="AA491" s="5"/>
      <c r="AB491" s="5"/>
      <c r="AC491" s="5"/>
      <c r="AD491" s="5"/>
      <c r="AE491" s="24"/>
      <c r="AF491" s="24"/>
      <c r="AG491" s="24"/>
      <c r="AH491" s="24"/>
      <c r="AI491" s="24"/>
      <c r="AJ491" s="24"/>
      <c r="AK491" s="24"/>
    </row>
    <row r="492" spans="1:37" s="15" customFormat="1" x14ac:dyDescent="0.4">
      <c r="A492" s="5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3"/>
      <c r="Y492" s="23"/>
      <c r="Z492" s="5"/>
      <c r="AA492" s="5"/>
      <c r="AB492" s="5"/>
      <c r="AC492" s="5"/>
      <c r="AD492" s="5"/>
      <c r="AE492" s="24"/>
      <c r="AF492" s="24"/>
      <c r="AG492" s="24"/>
      <c r="AH492" s="24"/>
      <c r="AI492" s="24"/>
      <c r="AJ492" s="24"/>
      <c r="AK492" s="24"/>
    </row>
    <row r="493" spans="1:37" s="15" customFormat="1" x14ac:dyDescent="0.4">
      <c r="A493" s="5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3"/>
      <c r="Y493" s="23"/>
      <c r="Z493" s="5"/>
      <c r="AA493" s="5"/>
      <c r="AB493" s="5"/>
      <c r="AC493" s="5"/>
      <c r="AD493" s="5"/>
      <c r="AE493" s="24"/>
      <c r="AF493" s="24"/>
      <c r="AG493" s="24"/>
      <c r="AH493" s="24"/>
      <c r="AI493" s="24"/>
      <c r="AJ493" s="24"/>
      <c r="AK493" s="24"/>
    </row>
    <row r="494" spans="1:37" s="15" customFormat="1" x14ac:dyDescent="0.4">
      <c r="A494" s="5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23"/>
      <c r="Y494" s="23"/>
      <c r="Z494" s="5"/>
      <c r="AA494" s="5"/>
      <c r="AB494" s="5"/>
      <c r="AC494" s="5"/>
      <c r="AD494" s="5"/>
      <c r="AE494" s="24"/>
      <c r="AF494" s="24"/>
      <c r="AG494" s="24"/>
      <c r="AH494" s="24"/>
      <c r="AI494" s="24"/>
      <c r="AJ494" s="24"/>
      <c r="AK494" s="24"/>
    </row>
    <row r="495" spans="1:37" s="15" customFormat="1" x14ac:dyDescent="0.4">
      <c r="A495" s="5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23"/>
      <c r="Y495" s="23"/>
      <c r="Z495" s="5"/>
      <c r="AA495" s="5"/>
      <c r="AB495" s="5"/>
      <c r="AC495" s="5"/>
      <c r="AD495" s="5"/>
      <c r="AE495" s="24"/>
      <c r="AF495" s="24"/>
      <c r="AG495" s="24"/>
      <c r="AH495" s="24"/>
      <c r="AI495" s="24"/>
      <c r="AJ495" s="24"/>
      <c r="AK495" s="24"/>
    </row>
    <row r="496" spans="1:37" s="15" customFormat="1" x14ac:dyDescent="0.4">
      <c r="A496" s="5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23"/>
      <c r="Y496" s="23"/>
      <c r="Z496" s="5"/>
      <c r="AA496" s="5"/>
      <c r="AB496" s="5"/>
      <c r="AC496" s="5"/>
      <c r="AD496" s="5"/>
      <c r="AE496" s="24"/>
      <c r="AF496" s="24"/>
      <c r="AG496" s="24"/>
      <c r="AH496" s="24"/>
      <c r="AI496" s="24"/>
      <c r="AJ496" s="24"/>
      <c r="AK496" s="24"/>
    </row>
    <row r="497" spans="1:37" s="15" customFormat="1" x14ac:dyDescent="0.4">
      <c r="A497" s="5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23"/>
      <c r="Y497" s="23"/>
      <c r="Z497" s="5"/>
      <c r="AA497" s="5"/>
      <c r="AB497" s="5"/>
      <c r="AC497" s="5"/>
      <c r="AD497" s="5"/>
      <c r="AE497" s="24"/>
      <c r="AF497" s="24"/>
      <c r="AG497" s="24"/>
      <c r="AH497" s="24"/>
      <c r="AI497" s="24"/>
      <c r="AJ497" s="24"/>
      <c r="AK497" s="24"/>
    </row>
    <row r="498" spans="1:37" s="15" customFormat="1" x14ac:dyDescent="0.4">
      <c r="A498" s="5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23"/>
      <c r="Y498" s="23"/>
      <c r="Z498" s="5"/>
      <c r="AA498" s="5"/>
      <c r="AB498" s="5"/>
      <c r="AC498" s="5"/>
      <c r="AD498" s="5"/>
      <c r="AE498" s="24"/>
      <c r="AF498" s="24"/>
      <c r="AG498" s="24"/>
      <c r="AH498" s="24"/>
      <c r="AI498" s="24"/>
      <c r="AJ498" s="24"/>
      <c r="AK498" s="24"/>
    </row>
    <row r="499" spans="1:37" s="15" customFormat="1" x14ac:dyDescent="0.4">
      <c r="A499" s="5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23"/>
      <c r="Y499" s="23"/>
      <c r="Z499" s="5"/>
      <c r="AA499" s="5"/>
      <c r="AB499" s="5"/>
      <c r="AC499" s="5"/>
      <c r="AD499" s="5"/>
      <c r="AE499" s="24"/>
      <c r="AF499" s="24"/>
      <c r="AG499" s="24"/>
      <c r="AH499" s="24"/>
      <c r="AI499" s="24"/>
      <c r="AJ499" s="24"/>
      <c r="AK499" s="24"/>
    </row>
    <row r="500" spans="1:37" s="15" customFormat="1" x14ac:dyDescent="0.4">
      <c r="A500" s="5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23"/>
      <c r="Y500" s="23"/>
      <c r="Z500" s="5"/>
      <c r="AA500" s="5"/>
      <c r="AB500" s="5"/>
      <c r="AC500" s="5"/>
      <c r="AD500" s="5"/>
      <c r="AE500" s="24"/>
      <c r="AF500" s="24"/>
      <c r="AG500" s="24"/>
      <c r="AH500" s="24"/>
      <c r="AI500" s="24"/>
      <c r="AJ500" s="24"/>
      <c r="AK500" s="24"/>
    </row>
    <row r="501" spans="1:37" s="15" customFormat="1" x14ac:dyDescent="0.4">
      <c r="A501" s="5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23"/>
      <c r="Y501" s="23"/>
      <c r="Z501" s="5"/>
      <c r="AA501" s="5"/>
      <c r="AB501" s="5"/>
      <c r="AC501" s="5"/>
      <c r="AD501" s="5"/>
      <c r="AE501" s="24"/>
      <c r="AF501" s="24"/>
      <c r="AG501" s="24"/>
      <c r="AH501" s="24"/>
      <c r="AI501" s="24"/>
      <c r="AJ501" s="24"/>
      <c r="AK501" s="24"/>
    </row>
    <row r="502" spans="1:37" s="15" customFormat="1" x14ac:dyDescent="0.4">
      <c r="A502" s="5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23"/>
      <c r="Y502" s="23"/>
      <c r="Z502" s="5"/>
      <c r="AA502" s="5"/>
      <c r="AB502" s="5"/>
      <c r="AC502" s="5"/>
      <c r="AD502" s="5"/>
      <c r="AE502" s="24"/>
      <c r="AF502" s="24"/>
      <c r="AG502" s="24"/>
      <c r="AH502" s="24"/>
      <c r="AI502" s="24"/>
      <c r="AJ502" s="24"/>
      <c r="AK502" s="24"/>
    </row>
    <row r="503" spans="1:37" s="15" customFormat="1" x14ac:dyDescent="0.4">
      <c r="A503" s="5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3"/>
      <c r="Y503" s="23"/>
      <c r="Z503" s="5"/>
      <c r="AA503" s="5"/>
      <c r="AB503" s="5"/>
      <c r="AC503" s="5"/>
      <c r="AD503" s="5"/>
      <c r="AE503" s="24"/>
      <c r="AF503" s="24"/>
      <c r="AG503" s="24"/>
      <c r="AH503" s="24"/>
      <c r="AI503" s="24"/>
      <c r="AJ503" s="24"/>
      <c r="AK503" s="24"/>
    </row>
    <row r="504" spans="1:37" s="15" customFormat="1" x14ac:dyDescent="0.4">
      <c r="A504" s="5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3"/>
      <c r="Y504" s="23"/>
      <c r="Z504" s="5"/>
      <c r="AA504" s="5"/>
      <c r="AB504" s="5"/>
      <c r="AC504" s="5"/>
      <c r="AD504" s="5"/>
      <c r="AE504" s="24"/>
      <c r="AF504" s="24"/>
      <c r="AG504" s="24"/>
      <c r="AH504" s="24"/>
      <c r="AI504" s="24"/>
      <c r="AJ504" s="24"/>
      <c r="AK504" s="24"/>
    </row>
    <row r="505" spans="1:37" s="15" customFormat="1" x14ac:dyDescent="0.4">
      <c r="A505" s="5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23"/>
      <c r="Y505" s="23"/>
      <c r="Z505" s="5"/>
      <c r="AA505" s="5"/>
      <c r="AB505" s="5"/>
      <c r="AC505" s="5"/>
      <c r="AD505" s="5"/>
      <c r="AE505" s="24"/>
      <c r="AF505" s="24"/>
      <c r="AG505" s="24"/>
      <c r="AH505" s="24"/>
      <c r="AI505" s="24"/>
      <c r="AJ505" s="24"/>
      <c r="AK505" s="24"/>
    </row>
    <row r="506" spans="1:37" s="15" customFormat="1" x14ac:dyDescent="0.4">
      <c r="A506" s="5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23"/>
      <c r="Y506" s="23"/>
      <c r="Z506" s="5"/>
      <c r="AA506" s="5"/>
      <c r="AB506" s="5"/>
      <c r="AC506" s="5"/>
      <c r="AD506" s="5"/>
      <c r="AE506" s="24"/>
      <c r="AF506" s="24"/>
      <c r="AG506" s="24"/>
      <c r="AH506" s="24"/>
      <c r="AI506" s="24"/>
      <c r="AJ506" s="24"/>
      <c r="AK506" s="24"/>
    </row>
    <row r="507" spans="1:37" s="15" customFormat="1" x14ac:dyDescent="0.4">
      <c r="A507" s="5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23"/>
      <c r="Y507" s="23"/>
      <c r="Z507" s="5"/>
      <c r="AA507" s="5"/>
      <c r="AB507" s="5"/>
      <c r="AC507" s="5"/>
      <c r="AD507" s="5"/>
      <c r="AE507" s="24"/>
      <c r="AF507" s="24"/>
      <c r="AG507" s="24"/>
      <c r="AH507" s="24"/>
      <c r="AI507" s="24"/>
      <c r="AJ507" s="24"/>
      <c r="AK507" s="24"/>
    </row>
    <row r="508" spans="1:37" s="15" customFormat="1" x14ac:dyDescent="0.4">
      <c r="A508" s="5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3"/>
      <c r="Y508" s="23"/>
      <c r="Z508" s="5"/>
      <c r="AA508" s="5"/>
      <c r="AB508" s="5"/>
      <c r="AC508" s="5"/>
      <c r="AD508" s="5"/>
      <c r="AE508" s="24"/>
      <c r="AF508" s="24"/>
      <c r="AG508" s="24"/>
      <c r="AH508" s="24"/>
      <c r="AI508" s="24"/>
      <c r="AJ508" s="24"/>
      <c r="AK508" s="24"/>
    </row>
    <row r="509" spans="1:37" s="15" customFormat="1" x14ac:dyDescent="0.4">
      <c r="A509" s="5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23"/>
      <c r="Y509" s="23"/>
      <c r="Z509" s="5"/>
      <c r="AA509" s="5"/>
      <c r="AB509" s="5"/>
      <c r="AC509" s="5"/>
      <c r="AD509" s="5"/>
      <c r="AE509" s="24"/>
      <c r="AF509" s="24"/>
      <c r="AG509" s="24"/>
      <c r="AH509" s="24"/>
      <c r="AI509" s="24"/>
      <c r="AJ509" s="24"/>
      <c r="AK509" s="24"/>
    </row>
    <row r="510" spans="1:37" s="15" customFormat="1" x14ac:dyDescent="0.4">
      <c r="A510" s="5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23"/>
      <c r="Y510" s="23"/>
      <c r="Z510" s="5"/>
      <c r="AA510" s="5"/>
      <c r="AB510" s="5"/>
      <c r="AC510" s="5"/>
      <c r="AD510" s="5"/>
      <c r="AE510" s="24"/>
      <c r="AF510" s="24"/>
      <c r="AG510" s="24"/>
      <c r="AH510" s="24"/>
      <c r="AI510" s="24"/>
      <c r="AJ510" s="24"/>
      <c r="AK510" s="24"/>
    </row>
    <row r="511" spans="1:37" x14ac:dyDescent="0.4">
      <c r="AE511" s="24"/>
      <c r="AF511" s="24"/>
      <c r="AG511" s="24"/>
      <c r="AH511" s="24"/>
      <c r="AI511" s="24"/>
      <c r="AJ511" s="24"/>
      <c r="AK511" s="24"/>
    </row>
    <row r="512" spans="1:37" s="24" customFormat="1" x14ac:dyDescent="0.4">
      <c r="A512" s="5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3"/>
      <c r="Y512" s="23"/>
      <c r="Z512" s="5"/>
      <c r="AA512" s="5"/>
      <c r="AB512" s="5"/>
      <c r="AC512" s="5"/>
      <c r="AD512" s="5"/>
    </row>
    <row r="513" spans="1:30" s="24" customFormat="1" x14ac:dyDescent="0.4">
      <c r="A513" s="5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3"/>
      <c r="Y513" s="23"/>
      <c r="Z513" s="5"/>
      <c r="AA513" s="5"/>
      <c r="AB513" s="5"/>
      <c r="AC513" s="5"/>
      <c r="AD513" s="5"/>
    </row>
    <row r="514" spans="1:30" s="24" customFormat="1" x14ac:dyDescent="0.4">
      <c r="A514" s="5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23"/>
      <c r="Y514" s="23"/>
      <c r="Z514" s="5"/>
      <c r="AA514" s="5"/>
      <c r="AB514" s="5"/>
      <c r="AC514" s="5"/>
      <c r="AD514" s="5"/>
    </row>
    <row r="515" spans="1:30" s="24" customFormat="1" x14ac:dyDescent="0.4">
      <c r="A515" s="5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23"/>
      <c r="Y515" s="23"/>
      <c r="Z515" s="5"/>
      <c r="AA515" s="5"/>
      <c r="AB515" s="5"/>
      <c r="AC515" s="5"/>
      <c r="AD515" s="5"/>
    </row>
    <row r="516" spans="1:30" s="24" customFormat="1" x14ac:dyDescent="0.4">
      <c r="A516" s="5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3"/>
      <c r="Y516" s="23"/>
      <c r="Z516" s="5"/>
      <c r="AA516" s="5"/>
      <c r="AB516" s="5"/>
      <c r="AC516" s="5"/>
      <c r="AD516" s="5"/>
    </row>
    <row r="517" spans="1:30" s="24" customFormat="1" x14ac:dyDescent="0.4">
      <c r="A517" s="5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23"/>
      <c r="Y517" s="23"/>
      <c r="Z517" s="5"/>
      <c r="AA517" s="5"/>
      <c r="AB517" s="5"/>
      <c r="AC517" s="5"/>
      <c r="AD517" s="5"/>
    </row>
    <row r="518" spans="1:30" s="24" customFormat="1" x14ac:dyDescent="0.4">
      <c r="A518" s="5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23"/>
      <c r="Y518" s="23"/>
      <c r="Z518" s="5"/>
      <c r="AA518" s="5"/>
      <c r="AB518" s="5"/>
      <c r="AC518" s="5"/>
      <c r="AD518" s="5"/>
    </row>
    <row r="519" spans="1:30" s="24" customFormat="1" x14ac:dyDescent="0.4">
      <c r="A519" s="5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3"/>
      <c r="Y519" s="23"/>
      <c r="Z519" s="5"/>
      <c r="AA519" s="5"/>
      <c r="AB519" s="5"/>
      <c r="AC519" s="5"/>
      <c r="AD519" s="5"/>
    </row>
    <row r="520" spans="1:30" s="24" customFormat="1" x14ac:dyDescent="0.4">
      <c r="A520" s="5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23"/>
      <c r="Y520" s="23"/>
      <c r="Z520" s="5"/>
      <c r="AA520" s="5"/>
      <c r="AB520" s="5"/>
      <c r="AC520" s="5"/>
      <c r="AD520" s="5"/>
    </row>
    <row r="521" spans="1:30" s="24" customFormat="1" x14ac:dyDescent="0.4">
      <c r="A521" s="5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23"/>
      <c r="Y521" s="23"/>
      <c r="Z521" s="5"/>
      <c r="AA521" s="5"/>
      <c r="AB521" s="5"/>
      <c r="AC521" s="5"/>
      <c r="AD521" s="5"/>
    </row>
    <row r="522" spans="1:30" s="24" customFormat="1" x14ac:dyDescent="0.4">
      <c r="A522" s="5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23"/>
      <c r="Y522" s="23"/>
      <c r="Z522" s="5"/>
      <c r="AA522" s="5"/>
      <c r="AB522" s="5"/>
      <c r="AC522" s="5"/>
      <c r="AD522" s="5"/>
    </row>
    <row r="523" spans="1:30" s="24" customFormat="1" x14ac:dyDescent="0.4">
      <c r="A523" s="5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23"/>
      <c r="Y523" s="23"/>
      <c r="Z523" s="5"/>
      <c r="AA523" s="5"/>
      <c r="AB523" s="5"/>
      <c r="AC523" s="5"/>
      <c r="AD523" s="5"/>
    </row>
    <row r="524" spans="1:30" s="24" customFormat="1" x14ac:dyDescent="0.4">
      <c r="A524" s="5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23"/>
      <c r="Y524" s="23"/>
      <c r="Z524" s="5"/>
      <c r="AA524" s="5"/>
      <c r="AB524" s="5"/>
      <c r="AC524" s="5"/>
      <c r="AD524" s="5"/>
    </row>
    <row r="525" spans="1:30" s="24" customFormat="1" x14ac:dyDescent="0.4">
      <c r="A525" s="5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23"/>
      <c r="Y525" s="23"/>
      <c r="Z525" s="5"/>
      <c r="AA525" s="5"/>
      <c r="AB525" s="5"/>
      <c r="AC525" s="5"/>
      <c r="AD525" s="5"/>
    </row>
    <row r="526" spans="1:30" s="24" customFormat="1" x14ac:dyDescent="0.4">
      <c r="A526" s="5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23"/>
      <c r="Y526" s="23"/>
      <c r="Z526" s="5"/>
      <c r="AA526" s="5"/>
      <c r="AB526" s="5"/>
      <c r="AC526" s="5"/>
      <c r="AD526" s="5"/>
    </row>
    <row r="527" spans="1:30" s="24" customFormat="1" x14ac:dyDescent="0.4">
      <c r="A527" s="5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23"/>
      <c r="Y527" s="23"/>
      <c r="Z527" s="5"/>
      <c r="AA527" s="5"/>
      <c r="AB527" s="5"/>
      <c r="AC527" s="5"/>
      <c r="AD527" s="5"/>
    </row>
    <row r="528" spans="1:30" s="24" customFormat="1" x14ac:dyDescent="0.4">
      <c r="A528" s="5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3"/>
      <c r="Y528" s="23"/>
      <c r="Z528" s="5"/>
      <c r="AA528" s="5"/>
      <c r="AB528" s="5"/>
      <c r="AC528" s="5"/>
      <c r="AD528" s="5"/>
    </row>
    <row r="529" spans="1:30" s="24" customFormat="1" x14ac:dyDescent="0.4">
      <c r="A529" s="5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3"/>
      <c r="Y529" s="23"/>
      <c r="Z529" s="5"/>
      <c r="AA529" s="5"/>
      <c r="AB529" s="5"/>
      <c r="AC529" s="5"/>
      <c r="AD529" s="5"/>
    </row>
    <row r="530" spans="1:30" s="24" customFormat="1" x14ac:dyDescent="0.4">
      <c r="A530" s="5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23"/>
      <c r="Y530" s="23"/>
      <c r="Z530" s="5"/>
      <c r="AA530" s="5"/>
      <c r="AB530" s="5"/>
      <c r="AC530" s="5"/>
      <c r="AD530" s="5"/>
    </row>
    <row r="531" spans="1:30" s="24" customFormat="1" x14ac:dyDescent="0.4">
      <c r="A531" s="5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23"/>
      <c r="Y531" s="23"/>
      <c r="Z531" s="5"/>
      <c r="AA531" s="5"/>
      <c r="AB531" s="5"/>
      <c r="AC531" s="5"/>
      <c r="AD531" s="5"/>
    </row>
    <row r="532" spans="1:30" s="24" customFormat="1" x14ac:dyDescent="0.4">
      <c r="A532" s="5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23"/>
      <c r="Y532" s="23"/>
      <c r="Z532" s="5"/>
      <c r="AA532" s="5"/>
      <c r="AB532" s="5"/>
      <c r="AC532" s="5"/>
      <c r="AD532" s="5"/>
    </row>
    <row r="533" spans="1:30" s="24" customFormat="1" x14ac:dyDescent="0.4">
      <c r="A533" s="5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23"/>
      <c r="Y533" s="23"/>
      <c r="Z533" s="5"/>
      <c r="AA533" s="5"/>
      <c r="AB533" s="5"/>
      <c r="AC533" s="5"/>
      <c r="AD533" s="5"/>
    </row>
    <row r="534" spans="1:30" s="24" customFormat="1" x14ac:dyDescent="0.4">
      <c r="A534" s="5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3"/>
      <c r="Y534" s="23"/>
      <c r="Z534" s="5"/>
      <c r="AA534" s="5"/>
      <c r="AB534" s="5"/>
      <c r="AC534" s="5"/>
      <c r="AD534" s="5"/>
    </row>
    <row r="535" spans="1:30" s="24" customFormat="1" x14ac:dyDescent="0.4">
      <c r="A535" s="5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3"/>
      <c r="Y535" s="23"/>
      <c r="Z535" s="5"/>
      <c r="AA535" s="5"/>
      <c r="AB535" s="5"/>
      <c r="AC535" s="5"/>
      <c r="AD535" s="5"/>
    </row>
    <row r="536" spans="1:30" s="24" customFormat="1" x14ac:dyDescent="0.4">
      <c r="A536" s="5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3"/>
      <c r="Y536" s="23"/>
      <c r="Z536" s="5"/>
      <c r="AA536" s="5"/>
      <c r="AB536" s="5"/>
      <c r="AC536" s="5"/>
      <c r="AD536" s="5"/>
    </row>
    <row r="537" spans="1:30" s="24" customFormat="1" x14ac:dyDescent="0.4">
      <c r="A537" s="5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23"/>
      <c r="Y537" s="23"/>
      <c r="Z537" s="5"/>
      <c r="AA537" s="5"/>
      <c r="AB537" s="5"/>
      <c r="AC537" s="5"/>
      <c r="AD537" s="5"/>
    </row>
    <row r="538" spans="1:30" s="24" customFormat="1" x14ac:dyDescent="0.4">
      <c r="A538" s="5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3"/>
      <c r="Y538" s="23"/>
      <c r="Z538" s="5"/>
      <c r="AA538" s="5"/>
      <c r="AB538" s="5"/>
      <c r="AC538" s="5"/>
      <c r="AD538" s="5"/>
    </row>
    <row r="539" spans="1:30" s="24" customFormat="1" x14ac:dyDescent="0.4">
      <c r="A539" s="5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3"/>
      <c r="Y539" s="23"/>
      <c r="Z539" s="5"/>
      <c r="AA539" s="5"/>
      <c r="AB539" s="5"/>
      <c r="AC539" s="5"/>
      <c r="AD539" s="5"/>
    </row>
    <row r="540" spans="1:30" s="24" customFormat="1" x14ac:dyDescent="0.4">
      <c r="A540" s="5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23"/>
      <c r="Y540" s="23"/>
      <c r="Z540" s="5"/>
      <c r="AA540" s="5"/>
      <c r="AB540" s="5"/>
      <c r="AC540" s="5"/>
      <c r="AD540" s="5"/>
    </row>
    <row r="541" spans="1:30" s="24" customFormat="1" x14ac:dyDescent="0.4">
      <c r="A541" s="5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3"/>
      <c r="Y541" s="23"/>
      <c r="Z541" s="5"/>
      <c r="AA541" s="5"/>
      <c r="AB541" s="5"/>
      <c r="AC541" s="5"/>
      <c r="AD541" s="5"/>
    </row>
    <row r="542" spans="1:30" s="24" customFormat="1" x14ac:dyDescent="0.4">
      <c r="A542" s="5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3"/>
      <c r="Y542" s="23"/>
      <c r="Z542" s="5"/>
      <c r="AA542" s="5"/>
      <c r="AB542" s="5"/>
      <c r="AC542" s="5"/>
      <c r="AD542" s="5"/>
    </row>
    <row r="543" spans="1:30" s="24" customFormat="1" x14ac:dyDescent="0.4">
      <c r="A543" s="5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3"/>
      <c r="Y543" s="23"/>
      <c r="Z543" s="5"/>
      <c r="AA543" s="5"/>
      <c r="AB543" s="5"/>
      <c r="AC543" s="5"/>
      <c r="AD543" s="5"/>
    </row>
    <row r="544" spans="1:30" s="24" customFormat="1" x14ac:dyDescent="0.4">
      <c r="A544" s="5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23"/>
      <c r="Y544" s="23"/>
      <c r="Z544" s="5"/>
      <c r="AA544" s="5"/>
      <c r="AB544" s="5"/>
      <c r="AC544" s="5"/>
      <c r="AD544" s="5"/>
    </row>
    <row r="545" spans="1:30" s="24" customFormat="1" x14ac:dyDescent="0.4">
      <c r="A545" s="5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23"/>
      <c r="Y545" s="23"/>
      <c r="Z545" s="5"/>
      <c r="AA545" s="5"/>
      <c r="AB545" s="5"/>
      <c r="AC545" s="5"/>
      <c r="AD545" s="5"/>
    </row>
    <row r="546" spans="1:30" s="24" customFormat="1" x14ac:dyDescent="0.4">
      <c r="A546" s="5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23"/>
      <c r="Y546" s="23"/>
      <c r="Z546" s="5"/>
      <c r="AA546" s="5"/>
      <c r="AB546" s="5"/>
      <c r="AC546" s="5"/>
      <c r="AD546" s="5"/>
    </row>
    <row r="547" spans="1:30" s="24" customFormat="1" x14ac:dyDescent="0.4">
      <c r="A547" s="5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3"/>
      <c r="Y547" s="23"/>
      <c r="Z547" s="5"/>
      <c r="AA547" s="5"/>
      <c r="AB547" s="5"/>
      <c r="AC547" s="5"/>
      <c r="AD547" s="5"/>
    </row>
    <row r="548" spans="1:30" s="24" customFormat="1" x14ac:dyDescent="0.4">
      <c r="A548" s="5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23"/>
      <c r="Y548" s="23"/>
      <c r="Z548" s="5"/>
      <c r="AA548" s="5"/>
      <c r="AB548" s="5"/>
      <c r="AC548" s="5"/>
      <c r="AD548" s="5"/>
    </row>
    <row r="549" spans="1:30" s="24" customFormat="1" x14ac:dyDescent="0.4">
      <c r="A549" s="5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23"/>
      <c r="Y549" s="23"/>
      <c r="Z549" s="5"/>
      <c r="AA549" s="5"/>
      <c r="AB549" s="5"/>
      <c r="AC549" s="5"/>
      <c r="AD549" s="5"/>
    </row>
    <row r="550" spans="1:30" s="24" customFormat="1" x14ac:dyDescent="0.4">
      <c r="A550" s="5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23"/>
      <c r="Y550" s="23"/>
      <c r="Z550" s="5"/>
      <c r="AA550" s="5"/>
      <c r="AB550" s="5"/>
      <c r="AC550" s="5"/>
      <c r="AD550" s="5"/>
    </row>
    <row r="551" spans="1:30" s="24" customFormat="1" x14ac:dyDescent="0.4">
      <c r="A551" s="5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23"/>
      <c r="Y551" s="23"/>
      <c r="Z551" s="5"/>
      <c r="AA551" s="5"/>
      <c r="AB551" s="5"/>
      <c r="AC551" s="5"/>
      <c r="AD551" s="5"/>
    </row>
    <row r="552" spans="1:30" s="24" customFormat="1" x14ac:dyDescent="0.4">
      <c r="A552" s="5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23"/>
      <c r="Y552" s="23"/>
      <c r="Z552" s="5"/>
      <c r="AA552" s="5"/>
      <c r="AB552" s="5"/>
      <c r="AC552" s="5"/>
      <c r="AD552" s="5"/>
    </row>
    <row r="553" spans="1:30" s="24" customFormat="1" x14ac:dyDescent="0.4">
      <c r="A553" s="5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23"/>
      <c r="Y553" s="23"/>
      <c r="Z553" s="5"/>
      <c r="AA553" s="5"/>
      <c r="AB553" s="5"/>
      <c r="AC553" s="5"/>
      <c r="AD553" s="5"/>
    </row>
    <row r="554" spans="1:30" s="24" customFormat="1" x14ac:dyDescent="0.4">
      <c r="A554" s="5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23"/>
      <c r="Y554" s="23"/>
      <c r="Z554" s="5"/>
      <c r="AA554" s="5"/>
      <c r="AB554" s="5"/>
      <c r="AC554" s="5"/>
      <c r="AD554" s="5"/>
    </row>
    <row r="555" spans="1:30" s="24" customFormat="1" x14ac:dyDescent="0.4">
      <c r="A555" s="5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23"/>
      <c r="Y555" s="23"/>
      <c r="Z555" s="5"/>
      <c r="AA555" s="5"/>
      <c r="AB555" s="5"/>
      <c r="AC555" s="5"/>
      <c r="AD555" s="5"/>
    </row>
    <row r="556" spans="1:30" s="24" customFormat="1" x14ac:dyDescent="0.4">
      <c r="A556" s="5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23"/>
      <c r="Y556" s="23"/>
      <c r="Z556" s="5"/>
      <c r="AA556" s="5"/>
      <c r="AB556" s="5"/>
      <c r="AC556" s="5"/>
      <c r="AD556" s="5"/>
    </row>
    <row r="557" spans="1:30" s="24" customFormat="1" x14ac:dyDescent="0.4">
      <c r="A557" s="5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23"/>
      <c r="Y557" s="23"/>
      <c r="Z557" s="5"/>
      <c r="AA557" s="5"/>
      <c r="AB557" s="5"/>
      <c r="AC557" s="5"/>
      <c r="AD557" s="5"/>
    </row>
    <row r="558" spans="1:30" s="24" customFormat="1" x14ac:dyDescent="0.4">
      <c r="A558" s="5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23"/>
      <c r="Y558" s="23"/>
      <c r="Z558" s="5"/>
      <c r="AA558" s="5"/>
      <c r="AB558" s="5"/>
      <c r="AC558" s="5"/>
      <c r="AD558" s="5"/>
    </row>
    <row r="559" spans="1:30" s="24" customFormat="1" x14ac:dyDescent="0.4">
      <c r="A559" s="5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23"/>
      <c r="Y559" s="23"/>
      <c r="Z559" s="5"/>
      <c r="AA559" s="5"/>
      <c r="AB559" s="5"/>
      <c r="AC559" s="5"/>
      <c r="AD559" s="5"/>
    </row>
    <row r="560" spans="1:30" s="24" customFormat="1" x14ac:dyDescent="0.4">
      <c r="A560" s="5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23"/>
      <c r="Y560" s="23"/>
      <c r="Z560" s="5"/>
      <c r="AA560" s="5"/>
      <c r="AB560" s="5"/>
      <c r="AC560" s="5"/>
      <c r="AD560" s="5"/>
    </row>
    <row r="561" spans="1:30" s="24" customFormat="1" x14ac:dyDescent="0.4">
      <c r="A561" s="5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23"/>
      <c r="Y561" s="23"/>
      <c r="Z561" s="5"/>
      <c r="AA561" s="5"/>
      <c r="AB561" s="5"/>
      <c r="AC561" s="5"/>
      <c r="AD561" s="5"/>
    </row>
    <row r="562" spans="1:30" s="24" customFormat="1" x14ac:dyDescent="0.4">
      <c r="A562" s="5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23"/>
      <c r="Y562" s="23"/>
      <c r="Z562" s="5"/>
      <c r="AA562" s="5"/>
      <c r="AB562" s="5"/>
      <c r="AC562" s="5"/>
      <c r="AD562" s="5"/>
    </row>
    <row r="563" spans="1:30" s="24" customFormat="1" x14ac:dyDescent="0.4">
      <c r="A563" s="5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23"/>
      <c r="Y563" s="23"/>
      <c r="Z563" s="5"/>
      <c r="AA563" s="5"/>
      <c r="AB563" s="5"/>
      <c r="AC563" s="5"/>
      <c r="AD563" s="5"/>
    </row>
    <row r="564" spans="1:30" s="24" customFormat="1" x14ac:dyDescent="0.4">
      <c r="A564" s="5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23"/>
      <c r="Y564" s="23"/>
      <c r="Z564" s="5"/>
      <c r="AA564" s="5"/>
      <c r="AB564" s="5"/>
      <c r="AC564" s="5"/>
      <c r="AD564" s="5"/>
    </row>
    <row r="565" spans="1:30" s="24" customFormat="1" x14ac:dyDescent="0.4">
      <c r="A565" s="5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23"/>
      <c r="Y565" s="23"/>
      <c r="Z565" s="5"/>
      <c r="AA565" s="5"/>
      <c r="AB565" s="5"/>
      <c r="AC565" s="5"/>
      <c r="AD565" s="5"/>
    </row>
    <row r="566" spans="1:30" s="24" customFormat="1" x14ac:dyDescent="0.4">
      <c r="A566" s="5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23"/>
      <c r="Y566" s="23"/>
      <c r="Z566" s="5"/>
      <c r="AA566" s="5"/>
      <c r="AB566" s="5"/>
      <c r="AC566" s="5"/>
      <c r="AD566" s="5"/>
    </row>
    <row r="567" spans="1:30" s="24" customFormat="1" x14ac:dyDescent="0.4">
      <c r="A567" s="5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23"/>
      <c r="Y567" s="23"/>
      <c r="Z567" s="5"/>
      <c r="AA567" s="5"/>
      <c r="AB567" s="5"/>
      <c r="AC567" s="5"/>
      <c r="AD567" s="5"/>
    </row>
    <row r="568" spans="1:30" s="24" customFormat="1" x14ac:dyDescent="0.4">
      <c r="A568" s="5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23"/>
      <c r="Y568" s="23"/>
      <c r="Z568" s="5"/>
      <c r="AA568" s="5"/>
      <c r="AB568" s="5"/>
      <c r="AC568" s="5"/>
      <c r="AD568" s="5"/>
    </row>
    <row r="569" spans="1:30" s="24" customFormat="1" x14ac:dyDescent="0.4">
      <c r="A569" s="5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23"/>
      <c r="Y569" s="23"/>
      <c r="Z569" s="5"/>
      <c r="AA569" s="5"/>
      <c r="AB569" s="5"/>
      <c r="AC569" s="5"/>
      <c r="AD569" s="5"/>
    </row>
    <row r="570" spans="1:30" s="24" customFormat="1" x14ac:dyDescent="0.4">
      <c r="A570" s="5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23"/>
      <c r="Y570" s="23"/>
      <c r="Z570" s="5"/>
      <c r="AA570" s="5"/>
      <c r="AB570" s="5"/>
      <c r="AC570" s="5"/>
      <c r="AD570" s="5"/>
    </row>
    <row r="571" spans="1:30" s="24" customFormat="1" x14ac:dyDescent="0.4">
      <c r="A571" s="5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3"/>
      <c r="Y571" s="23"/>
      <c r="Z571" s="5"/>
      <c r="AA571" s="5"/>
      <c r="AB571" s="5"/>
      <c r="AC571" s="5"/>
      <c r="AD571" s="5"/>
    </row>
    <row r="572" spans="1:30" s="24" customFormat="1" x14ac:dyDescent="0.4">
      <c r="A572" s="5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23"/>
      <c r="Y572" s="23"/>
      <c r="Z572" s="5"/>
      <c r="AA572" s="5"/>
      <c r="AB572" s="5"/>
      <c r="AC572" s="5"/>
      <c r="AD572" s="5"/>
    </row>
    <row r="573" spans="1:30" s="24" customFormat="1" x14ac:dyDescent="0.4">
      <c r="A573" s="5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23"/>
      <c r="Y573" s="23"/>
      <c r="Z573" s="5"/>
      <c r="AA573" s="5"/>
      <c r="AB573" s="5"/>
      <c r="AC573" s="5"/>
      <c r="AD573" s="5"/>
    </row>
    <row r="574" spans="1:30" s="24" customFormat="1" x14ac:dyDescent="0.4">
      <c r="A574" s="5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23"/>
      <c r="Y574" s="23"/>
      <c r="Z574" s="5"/>
      <c r="AA574" s="5"/>
      <c r="AB574" s="5"/>
      <c r="AC574" s="5"/>
      <c r="AD574" s="5"/>
    </row>
    <row r="575" spans="1:30" s="24" customFormat="1" x14ac:dyDescent="0.4">
      <c r="A575" s="5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23"/>
      <c r="Y575" s="23"/>
      <c r="Z575" s="5"/>
      <c r="AA575" s="5"/>
      <c r="AB575" s="5"/>
      <c r="AC575" s="5"/>
      <c r="AD575" s="5"/>
    </row>
    <row r="576" spans="1:30" s="24" customFormat="1" x14ac:dyDescent="0.4">
      <c r="A576" s="5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23"/>
      <c r="Y576" s="23"/>
      <c r="Z576" s="5"/>
      <c r="AA576" s="5"/>
      <c r="AB576" s="5"/>
      <c r="AC576" s="5"/>
      <c r="AD576" s="5"/>
    </row>
    <row r="577" spans="1:31" s="24" customFormat="1" x14ac:dyDescent="0.4">
      <c r="A577" s="5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23"/>
      <c r="Y577" s="23"/>
      <c r="Z577" s="5"/>
      <c r="AA577" s="5"/>
      <c r="AB577" s="5"/>
      <c r="AC577" s="5"/>
      <c r="AD577" s="5"/>
    </row>
    <row r="578" spans="1:31" s="24" customFormat="1" x14ac:dyDescent="0.4">
      <c r="A578" s="5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3"/>
      <c r="Y578" s="23"/>
      <c r="Z578" s="5"/>
      <c r="AA578" s="5"/>
      <c r="AB578" s="5"/>
      <c r="AC578" s="5"/>
      <c r="AD578" s="5"/>
    </row>
    <row r="579" spans="1:31" s="24" customFormat="1" x14ac:dyDescent="0.4">
      <c r="A579" s="5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3"/>
      <c r="Y579" s="23"/>
      <c r="Z579" s="5"/>
      <c r="AA579" s="5"/>
      <c r="AB579" s="5"/>
      <c r="AC579" s="5"/>
      <c r="AD579" s="5"/>
    </row>
    <row r="580" spans="1:31" s="24" customFormat="1" x14ac:dyDescent="0.4">
      <c r="A580" s="5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23"/>
      <c r="Y580" s="23"/>
      <c r="Z580" s="5"/>
      <c r="AA580" s="5"/>
      <c r="AB580" s="5"/>
      <c r="AC580" s="5"/>
      <c r="AD580" s="5"/>
    </row>
    <row r="581" spans="1:31" s="24" customFormat="1" x14ac:dyDescent="0.4">
      <c r="A581" s="5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23"/>
      <c r="Y581" s="23"/>
      <c r="Z581" s="5"/>
      <c r="AA581" s="5"/>
      <c r="AB581" s="5"/>
      <c r="AC581" s="5"/>
      <c r="AD581" s="5"/>
    </row>
    <row r="582" spans="1:31" s="24" customFormat="1" x14ac:dyDescent="0.4">
      <c r="A582" s="5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23"/>
      <c r="Y582" s="23"/>
      <c r="Z582" s="5"/>
      <c r="AA582" s="5"/>
      <c r="AB582" s="5"/>
      <c r="AC582" s="5"/>
      <c r="AD582" s="5"/>
    </row>
    <row r="583" spans="1:31" s="24" customFormat="1" x14ac:dyDescent="0.4">
      <c r="A583" s="5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3"/>
      <c r="Y583" s="23"/>
      <c r="Z583" s="5"/>
      <c r="AA583" s="5"/>
      <c r="AB583" s="5"/>
      <c r="AC583" s="5"/>
      <c r="AD583" s="5"/>
      <c r="AE583" s="5"/>
    </row>
    <row r="584" spans="1:31" s="24" customFormat="1" x14ac:dyDescent="0.4">
      <c r="A584" s="5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23"/>
      <c r="Y584" s="23"/>
      <c r="Z584" s="5"/>
      <c r="AA584" s="5"/>
      <c r="AB584" s="5"/>
      <c r="AC584" s="5"/>
      <c r="AD584" s="5"/>
      <c r="AE584" s="5"/>
    </row>
    <row r="585" spans="1:31" s="24" customFormat="1" x14ac:dyDescent="0.4">
      <c r="A585" s="5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23"/>
      <c r="Y585" s="23"/>
      <c r="Z585" s="5"/>
      <c r="AA585" s="5"/>
      <c r="AB585" s="5"/>
      <c r="AC585" s="5"/>
      <c r="AD585" s="5"/>
      <c r="AE585" s="5"/>
    </row>
    <row r="586" spans="1:31" s="24" customFormat="1" x14ac:dyDescent="0.4">
      <c r="A586" s="5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3"/>
      <c r="Y586" s="23"/>
      <c r="Z586" s="5"/>
      <c r="AA586" s="5"/>
      <c r="AB586" s="5"/>
      <c r="AC586" s="5"/>
      <c r="AD586" s="5"/>
      <c r="AE586" s="5"/>
    </row>
    <row r="587" spans="1:31" s="24" customFormat="1" x14ac:dyDescent="0.4">
      <c r="A587" s="5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23"/>
      <c r="Y587" s="23"/>
      <c r="Z587" s="5"/>
      <c r="AA587" s="5"/>
      <c r="AB587" s="5"/>
      <c r="AC587" s="5"/>
      <c r="AD587" s="5"/>
      <c r="AE587" s="5"/>
    </row>
    <row r="588" spans="1:31" s="24" customFormat="1" x14ac:dyDescent="0.4">
      <c r="A588" s="5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3"/>
      <c r="Y588" s="23"/>
      <c r="Z588" s="5"/>
      <c r="AA588" s="5"/>
      <c r="AB588" s="5"/>
      <c r="AC588" s="5"/>
      <c r="AD588" s="5"/>
      <c r="AE588" s="5"/>
    </row>
    <row r="589" spans="1:31" s="24" customFormat="1" x14ac:dyDescent="0.4">
      <c r="A589" s="5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3"/>
      <c r="Y589" s="23"/>
      <c r="Z589" s="5"/>
      <c r="AA589" s="5"/>
      <c r="AB589" s="5"/>
      <c r="AC589" s="5"/>
      <c r="AD589" s="5"/>
      <c r="AE589" s="5"/>
    </row>
    <row r="590" spans="1:31" s="24" customFormat="1" x14ac:dyDescent="0.4">
      <c r="A590" s="5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23"/>
      <c r="Y590" s="23"/>
      <c r="Z590" s="5"/>
      <c r="AA590" s="5"/>
      <c r="AB590" s="5"/>
      <c r="AC590" s="5"/>
      <c r="AD590" s="5"/>
      <c r="AE590" s="5"/>
    </row>
    <row r="591" spans="1:31" s="24" customFormat="1" x14ac:dyDescent="0.4">
      <c r="A591" s="5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3"/>
      <c r="Y591" s="23"/>
      <c r="Z591" s="5"/>
      <c r="AA591" s="5"/>
      <c r="AB591" s="5"/>
      <c r="AC591" s="5"/>
      <c r="AD591" s="5"/>
      <c r="AE591" s="5"/>
    </row>
    <row r="592" spans="1:31" s="24" customFormat="1" x14ac:dyDescent="0.4">
      <c r="A592" s="5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23"/>
      <c r="Y592" s="23"/>
      <c r="Z592" s="5"/>
      <c r="AA592" s="5"/>
      <c r="AB592" s="5"/>
      <c r="AC592" s="5"/>
      <c r="AD592" s="5"/>
      <c r="AE592" s="5"/>
    </row>
    <row r="593" spans="1:31" s="24" customFormat="1" x14ac:dyDescent="0.4">
      <c r="A593" s="5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23"/>
      <c r="Y593" s="23"/>
      <c r="Z593" s="5"/>
      <c r="AA593" s="5"/>
      <c r="AB593" s="5"/>
      <c r="AC593" s="5"/>
      <c r="AD593" s="5"/>
      <c r="AE593" s="5"/>
    </row>
    <row r="594" spans="1:31" s="24" customFormat="1" x14ac:dyDescent="0.4">
      <c r="A594" s="5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3"/>
      <c r="Y594" s="23"/>
      <c r="Z594" s="5"/>
      <c r="AA594" s="5"/>
      <c r="AB594" s="5"/>
      <c r="AC594" s="5"/>
      <c r="AD594" s="5"/>
      <c r="AE594" s="5"/>
    </row>
    <row r="595" spans="1:31" s="24" customFormat="1" x14ac:dyDescent="0.4">
      <c r="A595" s="5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3"/>
      <c r="Y595" s="23"/>
      <c r="Z595" s="5"/>
      <c r="AA595" s="5"/>
      <c r="AB595" s="5"/>
      <c r="AC595" s="5"/>
      <c r="AD595" s="5"/>
      <c r="AE595" s="5"/>
    </row>
    <row r="596" spans="1:31" s="24" customFormat="1" x14ac:dyDescent="0.4">
      <c r="A596" s="5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3"/>
      <c r="Y596" s="23"/>
      <c r="Z596" s="5"/>
      <c r="AA596" s="5"/>
      <c r="AB596" s="5"/>
      <c r="AC596" s="5"/>
      <c r="AD596" s="5"/>
      <c r="AE596" s="5"/>
    </row>
    <row r="597" spans="1:31" s="24" customFormat="1" x14ac:dyDescent="0.4">
      <c r="A597" s="5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23"/>
      <c r="Y597" s="23"/>
      <c r="Z597" s="5"/>
      <c r="AA597" s="5"/>
      <c r="AB597" s="5"/>
      <c r="AC597" s="5"/>
      <c r="AD597" s="5"/>
      <c r="AE597" s="5"/>
    </row>
    <row r="598" spans="1:31" s="24" customFormat="1" x14ac:dyDescent="0.4">
      <c r="A598" s="5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3"/>
      <c r="Y598" s="23"/>
      <c r="Z598" s="5"/>
      <c r="AA598" s="5"/>
      <c r="AB598" s="5"/>
      <c r="AC598" s="5"/>
      <c r="AD598" s="5"/>
      <c r="AE598" s="5"/>
    </row>
    <row r="599" spans="1:31" s="24" customFormat="1" x14ac:dyDescent="0.4">
      <c r="A599" s="5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23"/>
      <c r="Y599" s="23"/>
      <c r="Z599" s="5"/>
      <c r="AA599" s="5"/>
      <c r="AB599" s="5"/>
      <c r="AC599" s="5"/>
      <c r="AD599" s="5"/>
      <c r="AE599" s="5"/>
    </row>
    <row r="600" spans="1:31" s="24" customFormat="1" x14ac:dyDescent="0.4">
      <c r="A600" s="5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23"/>
      <c r="Y600" s="23"/>
      <c r="Z600" s="5"/>
      <c r="AA600" s="5"/>
      <c r="AB600" s="5"/>
      <c r="AC600" s="5"/>
      <c r="AD600" s="5"/>
      <c r="AE600" s="5"/>
    </row>
    <row r="601" spans="1:31" s="24" customFormat="1" x14ac:dyDescent="0.4">
      <c r="A601" s="5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23"/>
      <c r="Y601" s="23"/>
      <c r="Z601" s="5"/>
      <c r="AA601" s="5"/>
      <c r="AB601" s="5"/>
      <c r="AC601" s="5"/>
      <c r="AD601" s="5"/>
      <c r="AE601" s="5"/>
    </row>
    <row r="602" spans="1:31" s="24" customFormat="1" x14ac:dyDescent="0.4">
      <c r="A602" s="5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23"/>
      <c r="Y602" s="23"/>
      <c r="Z602" s="5"/>
      <c r="AA602" s="5"/>
      <c r="AB602" s="5"/>
      <c r="AC602" s="5"/>
      <c r="AD602" s="5"/>
      <c r="AE602" s="5"/>
    </row>
    <row r="603" spans="1:31" s="24" customFormat="1" x14ac:dyDescent="0.4">
      <c r="A603" s="5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3"/>
      <c r="Y603" s="23"/>
      <c r="Z603" s="5"/>
      <c r="AA603" s="5"/>
      <c r="AB603" s="5"/>
      <c r="AC603" s="5"/>
      <c r="AD603" s="5"/>
      <c r="AE603" s="5"/>
    </row>
    <row r="604" spans="1:31" s="24" customFormat="1" x14ac:dyDescent="0.4">
      <c r="A604" s="5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3"/>
      <c r="Y604" s="23"/>
      <c r="Z604" s="5"/>
      <c r="AA604" s="5"/>
      <c r="AB604" s="5"/>
      <c r="AC604" s="5"/>
      <c r="AD604" s="5"/>
      <c r="AE604" s="5"/>
    </row>
    <row r="605" spans="1:31" s="24" customFormat="1" x14ac:dyDescent="0.4">
      <c r="A605" s="5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23"/>
      <c r="Y605" s="23"/>
      <c r="Z605" s="5"/>
      <c r="AA605" s="5"/>
      <c r="AB605" s="5"/>
      <c r="AC605" s="5"/>
      <c r="AD605" s="5"/>
      <c r="AE605" s="5"/>
    </row>
    <row r="606" spans="1:31" s="24" customFormat="1" x14ac:dyDescent="0.4">
      <c r="A606" s="5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23"/>
      <c r="Y606" s="23"/>
      <c r="Z606" s="5"/>
      <c r="AA606" s="5"/>
      <c r="AB606" s="5"/>
      <c r="AC606" s="5"/>
      <c r="AD606" s="5"/>
      <c r="AE606" s="5"/>
    </row>
    <row r="607" spans="1:31" s="24" customFormat="1" x14ac:dyDescent="0.4">
      <c r="A607" s="5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23"/>
      <c r="Y607" s="23"/>
      <c r="Z607" s="5"/>
      <c r="AA607" s="5"/>
      <c r="AB607" s="5"/>
      <c r="AC607" s="5"/>
      <c r="AD607" s="5"/>
      <c r="AE607" s="5"/>
    </row>
    <row r="608" spans="1:31" s="24" customFormat="1" x14ac:dyDescent="0.4">
      <c r="A608" s="5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3"/>
      <c r="Y608" s="23"/>
      <c r="Z608" s="5"/>
      <c r="AA608" s="5"/>
      <c r="AB608" s="5"/>
      <c r="AC608" s="5"/>
      <c r="AD608" s="5"/>
      <c r="AE608" s="5"/>
    </row>
    <row r="609" spans="1:31" s="24" customFormat="1" x14ac:dyDescent="0.4">
      <c r="A609" s="5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3"/>
      <c r="Y609" s="23"/>
      <c r="Z609" s="5"/>
      <c r="AA609" s="5"/>
      <c r="AB609" s="5"/>
      <c r="AC609" s="5"/>
      <c r="AD609" s="5"/>
      <c r="AE609" s="5"/>
    </row>
    <row r="610" spans="1:31" s="24" customFormat="1" x14ac:dyDescent="0.4">
      <c r="A610" s="5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23"/>
      <c r="Y610" s="23"/>
      <c r="Z610" s="5"/>
      <c r="AA610" s="5"/>
      <c r="AB610" s="5"/>
      <c r="AC610" s="5"/>
      <c r="AD610" s="5"/>
      <c r="AE610" s="5"/>
    </row>
    <row r="611" spans="1:31" s="24" customFormat="1" x14ac:dyDescent="0.4">
      <c r="A611" s="5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3"/>
      <c r="Y611" s="23"/>
      <c r="Z611" s="5"/>
      <c r="AA611" s="5"/>
      <c r="AB611" s="5"/>
      <c r="AC611" s="5"/>
      <c r="AD611" s="5"/>
      <c r="AE611" s="5"/>
    </row>
    <row r="612" spans="1:31" s="24" customFormat="1" x14ac:dyDescent="0.4">
      <c r="A612" s="5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3"/>
      <c r="Y612" s="23"/>
      <c r="Z612" s="5"/>
      <c r="AA612" s="5"/>
      <c r="AB612" s="5"/>
      <c r="AC612" s="5"/>
      <c r="AD612" s="5"/>
      <c r="AE612" s="5"/>
    </row>
    <row r="613" spans="1:31" s="24" customFormat="1" x14ac:dyDescent="0.4">
      <c r="A613" s="5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3"/>
      <c r="Y613" s="23"/>
      <c r="Z613" s="5"/>
      <c r="AA613" s="5"/>
      <c r="AB613" s="5"/>
      <c r="AC613" s="5"/>
      <c r="AD613" s="5"/>
      <c r="AE613" s="5"/>
    </row>
    <row r="614" spans="1:31" s="24" customFormat="1" x14ac:dyDescent="0.4">
      <c r="A614" s="5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23"/>
      <c r="Y614" s="23"/>
      <c r="Z614" s="5"/>
      <c r="AA614" s="5"/>
      <c r="AB614" s="5"/>
      <c r="AC614" s="5"/>
      <c r="AD614" s="5"/>
      <c r="AE614" s="5"/>
    </row>
    <row r="615" spans="1:31" s="24" customFormat="1" x14ac:dyDescent="0.4">
      <c r="A615" s="5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23"/>
      <c r="Y615" s="23"/>
      <c r="Z615" s="5"/>
      <c r="AA615" s="5"/>
      <c r="AB615" s="5"/>
      <c r="AC615" s="5"/>
      <c r="AD615" s="5"/>
      <c r="AE615" s="5"/>
    </row>
    <row r="616" spans="1:31" s="24" customFormat="1" x14ac:dyDescent="0.4">
      <c r="A616" s="5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23"/>
      <c r="Y616" s="23"/>
      <c r="Z616" s="5"/>
      <c r="AA616" s="5"/>
      <c r="AB616" s="5"/>
      <c r="AC616" s="5"/>
      <c r="AD616" s="5"/>
      <c r="AE616" s="5"/>
    </row>
    <row r="617" spans="1:31" s="24" customFormat="1" x14ac:dyDescent="0.4">
      <c r="A617" s="5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23"/>
      <c r="Y617" s="23"/>
      <c r="Z617" s="5"/>
      <c r="AA617" s="5"/>
      <c r="AB617" s="5"/>
      <c r="AC617" s="5"/>
      <c r="AD617" s="5"/>
      <c r="AE617" s="5"/>
    </row>
    <row r="618" spans="1:31" s="24" customFormat="1" x14ac:dyDescent="0.4">
      <c r="A618" s="5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3"/>
      <c r="Y618" s="23"/>
      <c r="Z618" s="5"/>
      <c r="AA618" s="5"/>
      <c r="AB618" s="5"/>
      <c r="AC618" s="5"/>
      <c r="AD618" s="5"/>
      <c r="AE618" s="5"/>
    </row>
    <row r="619" spans="1:31" s="24" customFormat="1" x14ac:dyDescent="0.4">
      <c r="A619" s="5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3"/>
      <c r="Y619" s="23"/>
      <c r="Z619" s="5"/>
      <c r="AA619" s="5"/>
      <c r="AB619" s="5"/>
      <c r="AC619" s="5"/>
      <c r="AD619" s="5"/>
      <c r="AE619" s="5"/>
    </row>
    <row r="620" spans="1:31" s="24" customFormat="1" x14ac:dyDescent="0.4">
      <c r="A620" s="5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3"/>
      <c r="Y620" s="23"/>
      <c r="Z620" s="5"/>
      <c r="AA620" s="5"/>
      <c r="AB620" s="5"/>
      <c r="AC620" s="5"/>
      <c r="AD620" s="5"/>
      <c r="AE620" s="5"/>
    </row>
    <row r="621" spans="1:31" s="24" customFormat="1" x14ac:dyDescent="0.4">
      <c r="A621" s="5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3"/>
      <c r="Y621" s="23"/>
      <c r="Z621" s="5"/>
      <c r="AA621" s="5"/>
      <c r="AB621" s="5"/>
      <c r="AC621" s="5"/>
      <c r="AD621" s="5"/>
      <c r="AE621" s="5"/>
    </row>
    <row r="622" spans="1:31" s="24" customFormat="1" x14ac:dyDescent="0.4">
      <c r="A622" s="5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3"/>
      <c r="Y622" s="23"/>
      <c r="Z622" s="5"/>
      <c r="AA622" s="5"/>
      <c r="AB622" s="5"/>
      <c r="AC622" s="5"/>
      <c r="AD622" s="5"/>
      <c r="AE622" s="5"/>
    </row>
    <row r="623" spans="1:31" s="24" customFormat="1" x14ac:dyDescent="0.4">
      <c r="A623" s="5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3"/>
      <c r="Y623" s="23"/>
      <c r="Z623" s="5"/>
      <c r="AA623" s="5"/>
      <c r="AB623" s="5"/>
      <c r="AC623" s="5"/>
      <c r="AD623" s="5"/>
      <c r="AE623" s="5"/>
    </row>
    <row r="624" spans="1:31" s="24" customFormat="1" x14ac:dyDescent="0.4">
      <c r="A624" s="5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3"/>
      <c r="Y624" s="23"/>
      <c r="Z624" s="5"/>
      <c r="AA624" s="5"/>
      <c r="AB624" s="5"/>
      <c r="AC624" s="5"/>
      <c r="AD624" s="5"/>
      <c r="AE624" s="5"/>
    </row>
    <row r="625" spans="1:31" s="24" customFormat="1" x14ac:dyDescent="0.4">
      <c r="A625" s="5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3"/>
      <c r="Y625" s="23"/>
      <c r="Z625" s="5"/>
      <c r="AA625" s="5"/>
      <c r="AB625" s="5"/>
      <c r="AC625" s="5"/>
      <c r="AD625" s="5"/>
      <c r="AE625" s="5"/>
    </row>
    <row r="626" spans="1:31" s="24" customFormat="1" x14ac:dyDescent="0.4">
      <c r="A626" s="5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23"/>
      <c r="Y626" s="23"/>
      <c r="Z626" s="5"/>
      <c r="AA626" s="5"/>
      <c r="AB626" s="5"/>
      <c r="AC626" s="5"/>
      <c r="AD626" s="5"/>
      <c r="AE626" s="5"/>
    </row>
    <row r="627" spans="1:31" s="24" customFormat="1" x14ac:dyDescent="0.4">
      <c r="A627" s="5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3"/>
      <c r="Y627" s="23"/>
      <c r="Z627" s="5"/>
      <c r="AA627" s="5"/>
      <c r="AB627" s="5"/>
      <c r="AC627" s="5"/>
      <c r="AD627" s="5"/>
      <c r="AE627" s="5"/>
    </row>
    <row r="628" spans="1:31" s="24" customFormat="1" x14ac:dyDescent="0.4">
      <c r="A628" s="5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3"/>
      <c r="Y628" s="23"/>
      <c r="Z628" s="5"/>
      <c r="AA628" s="5"/>
      <c r="AB628" s="5"/>
      <c r="AC628" s="5"/>
      <c r="AD628" s="5"/>
      <c r="AE628" s="5"/>
    </row>
    <row r="629" spans="1:31" s="24" customFormat="1" x14ac:dyDescent="0.4">
      <c r="A629" s="5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3"/>
      <c r="Y629" s="23"/>
      <c r="Z629" s="5"/>
      <c r="AA629" s="5"/>
      <c r="AB629" s="5"/>
      <c r="AC629" s="5"/>
      <c r="AD629" s="5"/>
      <c r="AE629" s="5"/>
    </row>
    <row r="630" spans="1:31" s="24" customFormat="1" x14ac:dyDescent="0.4">
      <c r="A630" s="5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23"/>
      <c r="Y630" s="23"/>
      <c r="Z630" s="5"/>
      <c r="AA630" s="5"/>
      <c r="AB630" s="5"/>
      <c r="AC630" s="5"/>
      <c r="AD630" s="5"/>
      <c r="AE630" s="5"/>
    </row>
    <row r="631" spans="1:31" s="24" customFormat="1" x14ac:dyDescent="0.4">
      <c r="A631" s="5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23"/>
      <c r="Y631" s="23"/>
      <c r="Z631" s="5"/>
      <c r="AA631" s="5"/>
      <c r="AB631" s="5"/>
      <c r="AC631" s="5"/>
      <c r="AD631" s="5"/>
      <c r="AE631" s="5"/>
    </row>
    <row r="632" spans="1:31" s="24" customFormat="1" x14ac:dyDescent="0.4">
      <c r="A632" s="5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3"/>
      <c r="Y632" s="23"/>
      <c r="Z632" s="5"/>
      <c r="AA632" s="5"/>
      <c r="AB632" s="5"/>
      <c r="AC632" s="5"/>
      <c r="AD632" s="5"/>
      <c r="AE632" s="5"/>
    </row>
    <row r="633" spans="1:31" s="24" customFormat="1" x14ac:dyDescent="0.4">
      <c r="A633" s="5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3"/>
      <c r="Y633" s="23"/>
      <c r="Z633" s="5"/>
      <c r="AA633" s="5"/>
      <c r="AB633" s="5"/>
      <c r="AC633" s="5"/>
      <c r="AD633" s="5"/>
      <c r="AE633" s="5"/>
    </row>
    <row r="634" spans="1:31" s="24" customFormat="1" x14ac:dyDescent="0.4">
      <c r="A634" s="5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3"/>
      <c r="Y634" s="23"/>
      <c r="Z634" s="5"/>
      <c r="AA634" s="5"/>
      <c r="AB634" s="5"/>
      <c r="AC634" s="5"/>
      <c r="AD634" s="5"/>
      <c r="AE634" s="5"/>
    </row>
    <row r="635" spans="1:31" s="24" customFormat="1" x14ac:dyDescent="0.4">
      <c r="A635" s="5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3"/>
      <c r="Y635" s="23"/>
      <c r="Z635" s="5"/>
      <c r="AA635" s="5"/>
      <c r="AB635" s="5"/>
      <c r="AC635" s="5"/>
      <c r="AD635" s="5"/>
      <c r="AE635" s="5"/>
    </row>
    <row r="636" spans="1:31" s="24" customFormat="1" x14ac:dyDescent="0.4">
      <c r="A636" s="5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3"/>
      <c r="Y636" s="23"/>
      <c r="Z636" s="5"/>
      <c r="AA636" s="5"/>
      <c r="AB636" s="5"/>
      <c r="AC636" s="5"/>
      <c r="AD636" s="5"/>
      <c r="AE636" s="5"/>
    </row>
    <row r="637" spans="1:31" s="24" customFormat="1" x14ac:dyDescent="0.4">
      <c r="A637" s="5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3"/>
      <c r="Y637" s="23"/>
      <c r="Z637" s="5"/>
      <c r="AA637" s="5"/>
      <c r="AB637" s="5"/>
      <c r="AC637" s="5"/>
      <c r="AD637" s="5"/>
      <c r="AE637" s="5"/>
    </row>
    <row r="638" spans="1:31" s="24" customFormat="1" x14ac:dyDescent="0.4">
      <c r="A638" s="5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3"/>
      <c r="Y638" s="23"/>
      <c r="Z638" s="5"/>
      <c r="AA638" s="5"/>
      <c r="AB638" s="5"/>
      <c r="AC638" s="5"/>
      <c r="AD638" s="5"/>
      <c r="AE638" s="5"/>
    </row>
    <row r="639" spans="1:31" s="24" customFormat="1" x14ac:dyDescent="0.4">
      <c r="A639" s="5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23"/>
      <c r="Y639" s="23"/>
      <c r="Z639" s="5"/>
      <c r="AA639" s="5"/>
      <c r="AB639" s="5"/>
      <c r="AC639" s="5"/>
      <c r="AD639" s="5"/>
      <c r="AE639" s="5"/>
    </row>
    <row r="640" spans="1:31" s="24" customFormat="1" x14ac:dyDescent="0.4">
      <c r="A640" s="5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23"/>
      <c r="Y640" s="23"/>
      <c r="Z640" s="5"/>
      <c r="AA640" s="5"/>
      <c r="AB640" s="5"/>
      <c r="AC640" s="5"/>
      <c r="AD640" s="5"/>
      <c r="AE640" s="5"/>
    </row>
    <row r="641" spans="1:31" s="24" customFormat="1" x14ac:dyDescent="0.4">
      <c r="A641" s="5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3"/>
      <c r="Y641" s="23"/>
      <c r="Z641" s="5"/>
      <c r="AA641" s="5"/>
      <c r="AB641" s="5"/>
      <c r="AC641" s="5"/>
      <c r="AD641" s="5"/>
      <c r="AE641" s="5"/>
    </row>
    <row r="642" spans="1:31" s="24" customFormat="1" x14ac:dyDescent="0.4">
      <c r="A642" s="5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23"/>
      <c r="Y642" s="23"/>
      <c r="Z642" s="5"/>
      <c r="AA642" s="5"/>
      <c r="AB642" s="5"/>
      <c r="AC642" s="5"/>
      <c r="AD642" s="5"/>
      <c r="AE642" s="5"/>
    </row>
    <row r="643" spans="1:31" s="24" customFormat="1" x14ac:dyDescent="0.4">
      <c r="A643" s="5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3"/>
      <c r="Y643" s="23"/>
      <c r="Z643" s="5"/>
      <c r="AA643" s="5"/>
      <c r="AB643" s="5"/>
      <c r="AC643" s="5"/>
      <c r="AD643" s="5"/>
      <c r="AE643" s="5"/>
    </row>
    <row r="644" spans="1:31" s="24" customFormat="1" x14ac:dyDescent="0.4">
      <c r="A644" s="5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23"/>
      <c r="Y644" s="23"/>
      <c r="Z644" s="5"/>
      <c r="AA644" s="5"/>
      <c r="AB644" s="5"/>
      <c r="AC644" s="5"/>
      <c r="AD644" s="5"/>
      <c r="AE644" s="5"/>
    </row>
    <row r="645" spans="1:31" s="24" customFormat="1" x14ac:dyDescent="0.4">
      <c r="A645" s="5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3"/>
      <c r="Y645" s="23"/>
      <c r="Z645" s="5"/>
      <c r="AA645" s="5"/>
      <c r="AB645" s="5"/>
      <c r="AC645" s="5"/>
      <c r="AD645" s="5"/>
      <c r="AE645" s="5"/>
    </row>
    <row r="646" spans="1:31" s="24" customFormat="1" x14ac:dyDescent="0.4">
      <c r="A646" s="5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23"/>
      <c r="Y646" s="23"/>
      <c r="Z646" s="5"/>
      <c r="AA646" s="5"/>
      <c r="AB646" s="5"/>
      <c r="AC646" s="5"/>
      <c r="AD646" s="5"/>
      <c r="AE646" s="5"/>
    </row>
    <row r="647" spans="1:31" s="24" customFormat="1" x14ac:dyDescent="0.4">
      <c r="A647" s="5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23"/>
      <c r="Y647" s="23"/>
      <c r="Z647" s="5"/>
      <c r="AA647" s="5"/>
      <c r="AB647" s="5"/>
      <c r="AC647" s="5"/>
      <c r="AD647" s="5"/>
      <c r="AE647" s="5"/>
    </row>
    <row r="648" spans="1:31" s="24" customFormat="1" x14ac:dyDescent="0.4">
      <c r="A648" s="5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3"/>
      <c r="Y648" s="23"/>
      <c r="Z648" s="5"/>
      <c r="AA648" s="5"/>
      <c r="AB648" s="5"/>
      <c r="AC648" s="5"/>
      <c r="AD648" s="5"/>
      <c r="AE648" s="5"/>
    </row>
    <row r="649" spans="1:31" s="24" customFormat="1" x14ac:dyDescent="0.4">
      <c r="A649" s="5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23"/>
      <c r="Y649" s="23"/>
      <c r="Z649" s="5"/>
      <c r="AA649" s="5"/>
      <c r="AB649" s="5"/>
      <c r="AC649" s="5"/>
      <c r="AD649" s="5"/>
      <c r="AE649" s="5"/>
    </row>
    <row r="650" spans="1:31" s="24" customFormat="1" x14ac:dyDescent="0.4">
      <c r="A650" s="5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3"/>
      <c r="Y650" s="23"/>
      <c r="Z650" s="5"/>
      <c r="AA650" s="5"/>
      <c r="AB650" s="5"/>
      <c r="AC650" s="5"/>
      <c r="AD650" s="5"/>
      <c r="AE650" s="5"/>
    </row>
    <row r="651" spans="1:31" s="24" customFormat="1" x14ac:dyDescent="0.4">
      <c r="A651" s="5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23"/>
      <c r="Y651" s="23"/>
      <c r="Z651" s="5"/>
      <c r="AA651" s="5"/>
      <c r="AB651" s="5"/>
      <c r="AC651" s="5"/>
      <c r="AD651" s="5"/>
      <c r="AE651" s="5"/>
    </row>
    <row r="652" spans="1:31" s="24" customFormat="1" x14ac:dyDescent="0.4">
      <c r="A652" s="5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23"/>
      <c r="Y652" s="23"/>
      <c r="Z652" s="5"/>
      <c r="AA652" s="5"/>
      <c r="AB652" s="5"/>
      <c r="AC652" s="5"/>
      <c r="AD652" s="5"/>
      <c r="AE652" s="5"/>
    </row>
    <row r="653" spans="1:31" s="24" customFormat="1" x14ac:dyDescent="0.4">
      <c r="A653" s="5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23"/>
      <c r="Y653" s="23"/>
      <c r="Z653" s="5"/>
      <c r="AA653" s="5"/>
      <c r="AB653" s="5"/>
      <c r="AC653" s="5"/>
      <c r="AD653" s="5"/>
      <c r="AE653" s="5"/>
    </row>
    <row r="654" spans="1:31" s="24" customFormat="1" x14ac:dyDescent="0.4">
      <c r="A654" s="5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23"/>
      <c r="Y654" s="23"/>
      <c r="Z654" s="5"/>
      <c r="AA654" s="5"/>
      <c r="AB654" s="5"/>
      <c r="AC654" s="5"/>
      <c r="AD654" s="5"/>
      <c r="AE654" s="5"/>
    </row>
    <row r="655" spans="1:31" s="24" customFormat="1" x14ac:dyDescent="0.4">
      <c r="A655" s="5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3"/>
      <c r="Y655" s="23"/>
      <c r="Z655" s="5"/>
      <c r="AA655" s="5"/>
      <c r="AB655" s="5"/>
      <c r="AC655" s="5"/>
      <c r="AD655" s="5"/>
      <c r="AE655" s="5"/>
    </row>
    <row r="656" spans="1:31" s="24" customFormat="1" x14ac:dyDescent="0.4">
      <c r="A656" s="5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3"/>
      <c r="Y656" s="23"/>
      <c r="Z656" s="5"/>
      <c r="AA656" s="5"/>
      <c r="AB656" s="5"/>
      <c r="AC656" s="5"/>
      <c r="AD656" s="5"/>
      <c r="AE656" s="5"/>
    </row>
    <row r="657" spans="1:31" s="24" customFormat="1" x14ac:dyDescent="0.4">
      <c r="A657" s="5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3"/>
      <c r="Y657" s="23"/>
      <c r="Z657" s="5"/>
      <c r="AA657" s="5"/>
      <c r="AB657" s="5"/>
      <c r="AC657" s="5"/>
      <c r="AD657" s="5"/>
      <c r="AE657" s="5"/>
    </row>
    <row r="658" spans="1:31" s="24" customFormat="1" x14ac:dyDescent="0.4">
      <c r="A658" s="5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3"/>
      <c r="Y658" s="23"/>
      <c r="Z658" s="5"/>
      <c r="AA658" s="5"/>
      <c r="AB658" s="5"/>
      <c r="AC658" s="5"/>
      <c r="AD658" s="5"/>
      <c r="AE658" s="5"/>
    </row>
    <row r="659" spans="1:31" s="24" customFormat="1" x14ac:dyDescent="0.4">
      <c r="A659" s="5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23"/>
      <c r="Y659" s="23"/>
      <c r="Z659" s="5"/>
      <c r="AA659" s="5"/>
      <c r="AB659" s="5"/>
      <c r="AC659" s="5"/>
      <c r="AD659" s="5"/>
      <c r="AE659" s="5"/>
    </row>
    <row r="660" spans="1:31" s="24" customFormat="1" x14ac:dyDescent="0.4">
      <c r="A660" s="5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3"/>
      <c r="Y660" s="23"/>
      <c r="Z660" s="5"/>
      <c r="AA660" s="5"/>
      <c r="AB660" s="5"/>
      <c r="AC660" s="5"/>
      <c r="AD660" s="5"/>
      <c r="AE660" s="5"/>
    </row>
    <row r="661" spans="1:31" s="24" customFormat="1" x14ac:dyDescent="0.4">
      <c r="A661" s="5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23"/>
      <c r="Y661" s="23"/>
      <c r="Z661" s="5"/>
      <c r="AA661" s="5"/>
      <c r="AB661" s="5"/>
      <c r="AC661" s="5"/>
      <c r="AD661" s="5"/>
      <c r="AE661" s="5"/>
    </row>
    <row r="662" spans="1:31" s="24" customFormat="1" x14ac:dyDescent="0.4">
      <c r="A662" s="5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23"/>
      <c r="Y662" s="23"/>
      <c r="Z662" s="5"/>
      <c r="AA662" s="5"/>
      <c r="AB662" s="5"/>
      <c r="AC662" s="5"/>
      <c r="AD662" s="5"/>
      <c r="AE662" s="5"/>
    </row>
    <row r="663" spans="1:31" s="24" customFormat="1" x14ac:dyDescent="0.4">
      <c r="A663" s="5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3"/>
      <c r="Y663" s="23"/>
      <c r="Z663" s="5"/>
      <c r="AA663" s="5"/>
      <c r="AB663" s="5"/>
      <c r="AC663" s="5"/>
      <c r="AD663" s="5"/>
      <c r="AE663" s="5"/>
    </row>
    <row r="664" spans="1:31" s="24" customFormat="1" x14ac:dyDescent="0.4">
      <c r="A664" s="5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23"/>
      <c r="Y664" s="23"/>
      <c r="Z664" s="5"/>
      <c r="AA664" s="5"/>
      <c r="AB664" s="5"/>
      <c r="AC664" s="5"/>
      <c r="AD664" s="5"/>
      <c r="AE664" s="5"/>
    </row>
    <row r="665" spans="1:31" s="24" customFormat="1" x14ac:dyDescent="0.4">
      <c r="A665" s="5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23"/>
      <c r="Y665" s="23"/>
      <c r="Z665" s="5"/>
      <c r="AA665" s="5"/>
      <c r="AB665" s="5"/>
      <c r="AC665" s="5"/>
      <c r="AD665" s="5"/>
      <c r="AE665" s="5"/>
    </row>
    <row r="666" spans="1:31" s="24" customFormat="1" x14ac:dyDescent="0.4">
      <c r="A666" s="5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23"/>
      <c r="Y666" s="23"/>
      <c r="Z666" s="5"/>
      <c r="AA666" s="5"/>
      <c r="AB666" s="5"/>
      <c r="AC666" s="5"/>
      <c r="AD666" s="5"/>
      <c r="AE666" s="5"/>
    </row>
    <row r="667" spans="1:31" s="24" customFormat="1" x14ac:dyDescent="0.4">
      <c r="A667" s="5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23"/>
      <c r="Y667" s="23"/>
      <c r="Z667" s="5"/>
      <c r="AA667" s="5"/>
      <c r="AB667" s="5"/>
      <c r="AC667" s="5"/>
      <c r="AD667" s="5"/>
      <c r="AE667" s="5"/>
    </row>
    <row r="668" spans="1:31" s="24" customFormat="1" x14ac:dyDescent="0.4">
      <c r="A668" s="5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3"/>
      <c r="Y668" s="23"/>
      <c r="Z668" s="5"/>
      <c r="AA668" s="5"/>
      <c r="AB668" s="5"/>
      <c r="AC668" s="5"/>
      <c r="AD668" s="5"/>
      <c r="AE668" s="5"/>
    </row>
    <row r="669" spans="1:31" s="24" customFormat="1" x14ac:dyDescent="0.4">
      <c r="A669" s="5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3"/>
      <c r="Y669" s="23"/>
      <c r="Z669" s="5"/>
      <c r="AA669" s="5"/>
      <c r="AB669" s="5"/>
      <c r="AC669" s="5"/>
      <c r="AD669" s="5"/>
      <c r="AE669" s="5"/>
    </row>
    <row r="670" spans="1:31" s="24" customFormat="1" x14ac:dyDescent="0.4">
      <c r="A670" s="5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23"/>
      <c r="Y670" s="23"/>
      <c r="Z670" s="5"/>
      <c r="AA670" s="5"/>
      <c r="AB670" s="5"/>
      <c r="AC670" s="5"/>
      <c r="AD670" s="5"/>
      <c r="AE670" s="5"/>
    </row>
    <row r="671" spans="1:31" s="24" customFormat="1" x14ac:dyDescent="0.4">
      <c r="A671" s="5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23"/>
      <c r="Y671" s="23"/>
      <c r="Z671" s="5"/>
      <c r="AA671" s="5"/>
      <c r="AB671" s="5"/>
      <c r="AC671" s="5"/>
      <c r="AD671" s="5"/>
      <c r="AE671" s="5"/>
    </row>
    <row r="672" spans="1:31" s="24" customFormat="1" x14ac:dyDescent="0.4">
      <c r="A672" s="5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3"/>
      <c r="Y672" s="23"/>
      <c r="Z672" s="5"/>
      <c r="AA672" s="5"/>
      <c r="AB672" s="5"/>
      <c r="AC672" s="5"/>
      <c r="AD672" s="5"/>
      <c r="AE672" s="5"/>
    </row>
    <row r="673" spans="1:31" s="24" customFormat="1" x14ac:dyDescent="0.4">
      <c r="A673" s="5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23"/>
      <c r="Y673" s="23"/>
      <c r="Z673" s="5"/>
      <c r="AA673" s="5"/>
      <c r="AB673" s="5"/>
      <c r="AC673" s="5"/>
      <c r="AD673" s="5"/>
      <c r="AE673" s="5"/>
    </row>
    <row r="674" spans="1:31" s="24" customFormat="1" x14ac:dyDescent="0.4">
      <c r="A674" s="5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23"/>
      <c r="Y674" s="23"/>
      <c r="Z674" s="5"/>
      <c r="AA674" s="5"/>
      <c r="AB674" s="5"/>
      <c r="AC674" s="5"/>
      <c r="AD674" s="5"/>
      <c r="AE674" s="5"/>
    </row>
    <row r="675" spans="1:31" s="24" customFormat="1" x14ac:dyDescent="0.4">
      <c r="A675" s="5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3"/>
      <c r="Y675" s="23"/>
      <c r="Z675" s="5"/>
      <c r="AA675" s="5"/>
      <c r="AB675" s="5"/>
      <c r="AC675" s="5"/>
      <c r="AD675" s="5"/>
      <c r="AE675" s="5"/>
    </row>
    <row r="676" spans="1:31" s="24" customFormat="1" x14ac:dyDescent="0.4">
      <c r="A676" s="5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3"/>
      <c r="Y676" s="23"/>
      <c r="Z676" s="5"/>
      <c r="AA676" s="5"/>
      <c r="AB676" s="5"/>
      <c r="AC676" s="5"/>
      <c r="AD676" s="5"/>
      <c r="AE676" s="5"/>
    </row>
    <row r="677" spans="1:31" s="24" customFormat="1" x14ac:dyDescent="0.4">
      <c r="A677" s="5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3"/>
      <c r="Y677" s="23"/>
      <c r="Z677" s="5"/>
      <c r="AA677" s="5"/>
      <c r="AB677" s="5"/>
      <c r="AC677" s="5"/>
      <c r="AD677" s="5"/>
      <c r="AE677" s="5"/>
    </row>
    <row r="678" spans="1:31" s="24" customFormat="1" x14ac:dyDescent="0.4">
      <c r="A678" s="5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23"/>
      <c r="Y678" s="23"/>
      <c r="Z678" s="5"/>
      <c r="AA678" s="5"/>
      <c r="AB678" s="5"/>
      <c r="AC678" s="5"/>
      <c r="AD678" s="5"/>
      <c r="AE678" s="5"/>
    </row>
    <row r="679" spans="1:31" s="24" customFormat="1" x14ac:dyDescent="0.4">
      <c r="A679" s="5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23"/>
      <c r="Y679" s="23"/>
      <c r="Z679" s="5"/>
      <c r="AA679" s="5"/>
      <c r="AB679" s="5"/>
      <c r="AC679" s="5"/>
      <c r="AD679" s="5"/>
      <c r="AE679" s="5"/>
    </row>
    <row r="680" spans="1:31" s="24" customFormat="1" x14ac:dyDescent="0.4">
      <c r="A680" s="5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23"/>
      <c r="Y680" s="23"/>
      <c r="Z680" s="5"/>
      <c r="AA680" s="5"/>
      <c r="AB680" s="5"/>
      <c r="AC680" s="5"/>
      <c r="AD680" s="5"/>
      <c r="AE680" s="5"/>
    </row>
    <row r="681" spans="1:31" s="24" customFormat="1" x14ac:dyDescent="0.4">
      <c r="A681" s="5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23"/>
      <c r="Y681" s="23"/>
      <c r="Z681" s="5"/>
      <c r="AA681" s="5"/>
      <c r="AB681" s="5"/>
      <c r="AC681" s="5"/>
      <c r="AD681" s="5"/>
      <c r="AE681" s="5"/>
    </row>
    <row r="682" spans="1:31" s="24" customFormat="1" x14ac:dyDescent="0.4">
      <c r="A682" s="5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23"/>
      <c r="Y682" s="23"/>
      <c r="Z682" s="5"/>
      <c r="AA682" s="5"/>
      <c r="AB682" s="5"/>
      <c r="AC682" s="5"/>
      <c r="AD682" s="5"/>
      <c r="AE682" s="5"/>
    </row>
    <row r="683" spans="1:31" s="24" customFormat="1" x14ac:dyDescent="0.4">
      <c r="A683" s="5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23"/>
      <c r="Y683" s="23"/>
      <c r="Z683" s="5"/>
      <c r="AA683" s="5"/>
      <c r="AB683" s="5"/>
      <c r="AC683" s="5"/>
      <c r="AD683" s="5"/>
      <c r="AE683" s="5"/>
    </row>
    <row r="684" spans="1:31" s="24" customFormat="1" x14ac:dyDescent="0.4">
      <c r="A684" s="5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3"/>
      <c r="Y684" s="23"/>
      <c r="Z684" s="5"/>
      <c r="AA684" s="5"/>
      <c r="AB684" s="5"/>
      <c r="AC684" s="5"/>
      <c r="AD684" s="5"/>
      <c r="AE684" s="5"/>
    </row>
    <row r="685" spans="1:31" s="24" customFormat="1" x14ac:dyDescent="0.4">
      <c r="A685" s="5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23"/>
      <c r="Y685" s="23"/>
      <c r="Z685" s="5"/>
      <c r="AA685" s="5"/>
      <c r="AB685" s="5"/>
      <c r="AC685" s="5"/>
      <c r="AD685" s="5"/>
      <c r="AE685" s="5"/>
    </row>
    <row r="686" spans="1:31" s="24" customFormat="1" x14ac:dyDescent="0.4">
      <c r="A686" s="5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3"/>
      <c r="Y686" s="23"/>
      <c r="Z686" s="5"/>
      <c r="AA686" s="5"/>
      <c r="AB686" s="5"/>
      <c r="AC686" s="5"/>
      <c r="AD686" s="5"/>
      <c r="AE686" s="5"/>
    </row>
    <row r="687" spans="1:31" s="24" customFormat="1" x14ac:dyDescent="0.4">
      <c r="A687" s="5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3"/>
      <c r="Y687" s="23"/>
      <c r="Z687" s="5"/>
      <c r="AA687" s="5"/>
      <c r="AB687" s="5"/>
      <c r="AC687" s="5"/>
      <c r="AD687" s="5"/>
      <c r="AE687" s="5"/>
    </row>
    <row r="688" spans="1:31" s="24" customFormat="1" x14ac:dyDescent="0.4">
      <c r="A688" s="5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23"/>
      <c r="Y688" s="23"/>
      <c r="Z688" s="5"/>
      <c r="AA688" s="5"/>
      <c r="AB688" s="5"/>
      <c r="AC688" s="5"/>
      <c r="AD688" s="5"/>
      <c r="AE688" s="5"/>
    </row>
    <row r="689" spans="1:31" s="24" customFormat="1" x14ac:dyDescent="0.4">
      <c r="A689" s="5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23"/>
      <c r="Y689" s="23"/>
      <c r="Z689" s="5"/>
      <c r="AA689" s="5"/>
      <c r="AB689" s="5"/>
      <c r="AC689" s="5"/>
      <c r="AD689" s="5"/>
      <c r="AE689" s="5"/>
    </row>
    <row r="690" spans="1:31" s="24" customFormat="1" x14ac:dyDescent="0.4">
      <c r="A690" s="5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3"/>
      <c r="Y690" s="23"/>
      <c r="Z690" s="5"/>
      <c r="AA690" s="5"/>
      <c r="AB690" s="5"/>
      <c r="AC690" s="5"/>
      <c r="AD690" s="5"/>
      <c r="AE690" s="5"/>
    </row>
    <row r="691" spans="1:31" s="24" customFormat="1" x14ac:dyDescent="0.4">
      <c r="A691" s="5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3"/>
      <c r="Y691" s="23"/>
      <c r="Z691" s="5"/>
      <c r="AA691" s="5"/>
      <c r="AB691" s="5"/>
      <c r="AC691" s="5"/>
      <c r="AD691" s="5"/>
      <c r="AE691" s="5"/>
    </row>
    <row r="692" spans="1:31" s="24" customFormat="1" x14ac:dyDescent="0.4">
      <c r="A692" s="5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23"/>
      <c r="Y692" s="23"/>
      <c r="Z692" s="5"/>
      <c r="AA692" s="5"/>
      <c r="AB692" s="5"/>
      <c r="AC692" s="5"/>
      <c r="AD692" s="5"/>
      <c r="AE692" s="5"/>
    </row>
    <row r="693" spans="1:31" s="24" customFormat="1" x14ac:dyDescent="0.4">
      <c r="A693" s="5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3"/>
      <c r="Y693" s="23"/>
      <c r="Z693" s="5"/>
      <c r="AA693" s="5"/>
      <c r="AB693" s="5"/>
      <c r="AC693" s="5"/>
      <c r="AD693" s="5"/>
      <c r="AE693" s="5"/>
    </row>
    <row r="694" spans="1:31" s="24" customFormat="1" x14ac:dyDescent="0.4">
      <c r="A694" s="5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3"/>
      <c r="Y694" s="23"/>
      <c r="Z694" s="5"/>
      <c r="AA694" s="5"/>
      <c r="AB694" s="5"/>
      <c r="AC694" s="5"/>
      <c r="AD694" s="5"/>
      <c r="AE694" s="5"/>
    </row>
    <row r="695" spans="1:31" s="24" customFormat="1" x14ac:dyDescent="0.4">
      <c r="A695" s="5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3"/>
      <c r="Y695" s="23"/>
      <c r="Z695" s="5"/>
      <c r="AA695" s="5"/>
      <c r="AB695" s="5"/>
      <c r="AC695" s="5"/>
      <c r="AD695" s="5"/>
      <c r="AE695" s="5"/>
    </row>
    <row r="696" spans="1:31" s="24" customFormat="1" x14ac:dyDescent="0.4">
      <c r="A696" s="5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3"/>
      <c r="Y696" s="23"/>
      <c r="Z696" s="5"/>
      <c r="AA696" s="5"/>
      <c r="AB696" s="5"/>
      <c r="AC696" s="5"/>
      <c r="AD696" s="5"/>
      <c r="AE696" s="5"/>
    </row>
    <row r="697" spans="1:31" s="24" customFormat="1" x14ac:dyDescent="0.4">
      <c r="A697" s="5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3"/>
      <c r="Y697" s="23"/>
      <c r="Z697" s="5"/>
      <c r="AA697" s="5"/>
      <c r="AB697" s="5"/>
      <c r="AC697" s="5"/>
      <c r="AD697" s="5"/>
      <c r="AE697" s="5"/>
    </row>
    <row r="698" spans="1:31" s="24" customFormat="1" x14ac:dyDescent="0.4">
      <c r="A698" s="5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23"/>
      <c r="Y698" s="23"/>
      <c r="Z698" s="5"/>
      <c r="AA698" s="5"/>
      <c r="AB698" s="5"/>
      <c r="AC698" s="5"/>
      <c r="AD698" s="5"/>
      <c r="AE698" s="5"/>
    </row>
    <row r="699" spans="1:31" s="24" customFormat="1" x14ac:dyDescent="0.4">
      <c r="A699" s="5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23"/>
      <c r="Y699" s="23"/>
      <c r="Z699" s="5"/>
      <c r="AA699" s="5"/>
      <c r="AB699" s="5"/>
      <c r="AC699" s="5"/>
      <c r="AD699" s="5"/>
      <c r="AE699" s="5"/>
    </row>
    <row r="700" spans="1:31" s="24" customFormat="1" x14ac:dyDescent="0.4">
      <c r="A700" s="5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23"/>
      <c r="Y700" s="23"/>
      <c r="Z700" s="5"/>
      <c r="AA700" s="5"/>
      <c r="AB700" s="5"/>
      <c r="AC700" s="5"/>
      <c r="AD700" s="5"/>
      <c r="AE700" s="5"/>
    </row>
    <row r="701" spans="1:31" s="24" customFormat="1" x14ac:dyDescent="0.4">
      <c r="A701" s="5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3"/>
      <c r="Y701" s="23"/>
      <c r="Z701" s="5"/>
      <c r="AA701" s="5"/>
      <c r="AB701" s="5"/>
      <c r="AC701" s="5"/>
      <c r="AD701" s="5"/>
      <c r="AE701" s="5"/>
    </row>
    <row r="702" spans="1:31" s="24" customFormat="1" x14ac:dyDescent="0.4">
      <c r="A702" s="5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3"/>
      <c r="Y702" s="23"/>
      <c r="Z702" s="5"/>
      <c r="AA702" s="5"/>
      <c r="AB702" s="5"/>
      <c r="AC702" s="5"/>
      <c r="AD702" s="5"/>
      <c r="AE702" s="5"/>
    </row>
    <row r="703" spans="1:31" s="24" customFormat="1" x14ac:dyDescent="0.4">
      <c r="A703" s="5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3"/>
      <c r="Y703" s="23"/>
      <c r="Z703" s="5"/>
      <c r="AA703" s="5"/>
      <c r="AB703" s="5"/>
      <c r="AC703" s="5"/>
      <c r="AD703" s="5"/>
      <c r="AE703" s="5"/>
    </row>
    <row r="704" spans="1:31" s="24" customFormat="1" x14ac:dyDescent="0.4">
      <c r="A704" s="5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23"/>
      <c r="Y704" s="23"/>
      <c r="Z704" s="5"/>
      <c r="AA704" s="5"/>
      <c r="AB704" s="5"/>
      <c r="AC704" s="5"/>
      <c r="AD704" s="5"/>
      <c r="AE704" s="5"/>
    </row>
    <row r="705" spans="1:31" s="24" customFormat="1" x14ac:dyDescent="0.4">
      <c r="A705" s="5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23"/>
      <c r="Y705" s="23"/>
      <c r="Z705" s="5"/>
      <c r="AA705" s="5"/>
      <c r="AB705" s="5"/>
      <c r="AC705" s="5"/>
      <c r="AD705" s="5"/>
      <c r="AE705" s="5"/>
    </row>
    <row r="706" spans="1:31" s="24" customFormat="1" x14ac:dyDescent="0.4">
      <c r="A706" s="5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3"/>
      <c r="Y706" s="23"/>
      <c r="Z706" s="5"/>
      <c r="AA706" s="5"/>
      <c r="AB706" s="5"/>
      <c r="AC706" s="5"/>
      <c r="AD706" s="5"/>
      <c r="AE706" s="5"/>
    </row>
    <row r="707" spans="1:31" s="24" customFormat="1" x14ac:dyDescent="0.4">
      <c r="A707" s="5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3"/>
      <c r="Y707" s="23"/>
      <c r="Z707" s="5"/>
      <c r="AA707" s="5"/>
      <c r="AB707" s="5"/>
      <c r="AC707" s="5"/>
      <c r="AD707" s="5"/>
      <c r="AE707" s="5"/>
    </row>
    <row r="708" spans="1:31" s="24" customFormat="1" x14ac:dyDescent="0.4">
      <c r="A708" s="5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23"/>
      <c r="Y708" s="23"/>
      <c r="Z708" s="5"/>
      <c r="AA708" s="5"/>
      <c r="AB708" s="5"/>
      <c r="AC708" s="5"/>
      <c r="AD708" s="5"/>
      <c r="AE708" s="5"/>
    </row>
    <row r="709" spans="1:31" s="24" customFormat="1" x14ac:dyDescent="0.4">
      <c r="A709" s="5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3"/>
      <c r="Y709" s="23"/>
      <c r="Z709" s="5"/>
      <c r="AA709" s="5"/>
      <c r="AB709" s="5"/>
      <c r="AC709" s="5"/>
      <c r="AD709" s="5"/>
      <c r="AE709" s="5"/>
    </row>
    <row r="710" spans="1:31" s="24" customFormat="1" x14ac:dyDescent="0.4">
      <c r="A710" s="5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23"/>
      <c r="Y710" s="23"/>
      <c r="Z710" s="5"/>
      <c r="AA710" s="5"/>
      <c r="AB710" s="5"/>
      <c r="AC710" s="5"/>
      <c r="AD710" s="5"/>
      <c r="AE710" s="5"/>
    </row>
    <row r="711" spans="1:31" s="24" customFormat="1" x14ac:dyDescent="0.4">
      <c r="A711" s="5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3"/>
      <c r="Y711" s="23"/>
      <c r="Z711" s="5"/>
      <c r="AA711" s="5"/>
      <c r="AB711" s="5"/>
      <c r="AC711" s="5"/>
      <c r="AD711" s="5"/>
      <c r="AE711" s="5"/>
    </row>
    <row r="712" spans="1:31" s="24" customFormat="1" x14ac:dyDescent="0.4">
      <c r="A712" s="5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23"/>
      <c r="Y712" s="23"/>
      <c r="Z712" s="5"/>
      <c r="AA712" s="5"/>
      <c r="AB712" s="5"/>
      <c r="AC712" s="5"/>
      <c r="AD712" s="5"/>
      <c r="AE712" s="5"/>
    </row>
    <row r="713" spans="1:31" s="24" customFormat="1" x14ac:dyDescent="0.4">
      <c r="A713" s="5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3"/>
      <c r="Y713" s="23"/>
      <c r="Z713" s="5"/>
      <c r="AA713" s="5"/>
      <c r="AB713" s="5"/>
      <c r="AC713" s="5"/>
      <c r="AD713" s="5"/>
      <c r="AE713" s="5"/>
    </row>
    <row r="714" spans="1:31" s="24" customFormat="1" x14ac:dyDescent="0.4">
      <c r="A714" s="5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23"/>
      <c r="Y714" s="23"/>
      <c r="Z714" s="5"/>
      <c r="AA714" s="5"/>
      <c r="AB714" s="5"/>
      <c r="AC714" s="5"/>
      <c r="AD714" s="5"/>
      <c r="AE714" s="5"/>
    </row>
    <row r="715" spans="1:31" s="24" customFormat="1" x14ac:dyDescent="0.4">
      <c r="A715" s="5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23"/>
      <c r="Y715" s="23"/>
      <c r="Z715" s="5"/>
      <c r="AA715" s="5"/>
      <c r="AB715" s="5"/>
      <c r="AC715" s="5"/>
      <c r="AD715" s="5"/>
      <c r="AE715" s="5"/>
    </row>
    <row r="716" spans="1:31" s="24" customFormat="1" x14ac:dyDescent="0.4">
      <c r="A716" s="5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23"/>
      <c r="Y716" s="23"/>
      <c r="Z716" s="5"/>
      <c r="AA716" s="5"/>
      <c r="AB716" s="5"/>
      <c r="AC716" s="5"/>
      <c r="AD716" s="5"/>
      <c r="AE716" s="5"/>
    </row>
    <row r="717" spans="1:31" s="24" customFormat="1" x14ac:dyDescent="0.4">
      <c r="A717" s="5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23"/>
      <c r="Y717" s="23"/>
      <c r="Z717" s="5"/>
      <c r="AA717" s="5"/>
      <c r="AB717" s="5"/>
      <c r="AC717" s="5"/>
      <c r="AD717" s="5"/>
      <c r="AE717" s="5"/>
    </row>
    <row r="718" spans="1:31" s="24" customFormat="1" x14ac:dyDescent="0.4">
      <c r="A718" s="5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23"/>
      <c r="Y718" s="23"/>
      <c r="Z718" s="5"/>
      <c r="AA718" s="5"/>
      <c r="AB718" s="5"/>
      <c r="AC718" s="5"/>
      <c r="AD718" s="5"/>
      <c r="AE718" s="5"/>
    </row>
    <row r="719" spans="1:31" s="24" customFormat="1" x14ac:dyDescent="0.4">
      <c r="A719" s="5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23"/>
      <c r="Y719" s="23"/>
      <c r="Z719" s="5"/>
      <c r="AA719" s="5"/>
      <c r="AB719" s="5"/>
      <c r="AC719" s="5"/>
      <c r="AD719" s="5"/>
      <c r="AE719" s="5"/>
    </row>
    <row r="720" spans="1:31" s="24" customFormat="1" x14ac:dyDescent="0.4">
      <c r="A720" s="5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23"/>
      <c r="Y720" s="23"/>
      <c r="Z720" s="5"/>
      <c r="AA720" s="5"/>
      <c r="AB720" s="5"/>
      <c r="AC720" s="5"/>
      <c r="AD720" s="5"/>
      <c r="AE720" s="5"/>
    </row>
    <row r="721" spans="1:31" s="24" customFormat="1" x14ac:dyDescent="0.4">
      <c r="A721" s="5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23"/>
      <c r="Y721" s="23"/>
      <c r="Z721" s="5"/>
      <c r="AA721" s="5"/>
      <c r="AB721" s="5"/>
      <c r="AC721" s="5"/>
      <c r="AD721" s="5"/>
      <c r="AE721" s="5"/>
    </row>
    <row r="722" spans="1:31" s="24" customFormat="1" x14ac:dyDescent="0.4">
      <c r="A722" s="5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23"/>
      <c r="Y722" s="23"/>
      <c r="Z722" s="5"/>
      <c r="AA722" s="5"/>
      <c r="AB722" s="5"/>
      <c r="AC722" s="5"/>
      <c r="AD722" s="5"/>
      <c r="AE722" s="5"/>
    </row>
    <row r="723" spans="1:31" s="24" customFormat="1" x14ac:dyDescent="0.4">
      <c r="A723" s="5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23"/>
      <c r="Y723" s="23"/>
      <c r="Z723" s="5"/>
      <c r="AA723" s="5"/>
      <c r="AB723" s="5"/>
      <c r="AC723" s="5"/>
      <c r="AD723" s="5"/>
      <c r="AE723" s="5"/>
    </row>
    <row r="724" spans="1:31" s="24" customFormat="1" x14ac:dyDescent="0.4">
      <c r="A724" s="5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3"/>
      <c r="Y724" s="23"/>
      <c r="Z724" s="5"/>
      <c r="AA724" s="5"/>
      <c r="AB724" s="5"/>
      <c r="AC724" s="5"/>
      <c r="AD724" s="5"/>
      <c r="AE724" s="5"/>
    </row>
    <row r="725" spans="1:31" s="24" customFormat="1" x14ac:dyDescent="0.4">
      <c r="A725" s="5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3"/>
      <c r="Y725" s="23"/>
      <c r="Z725" s="5"/>
      <c r="AA725" s="5"/>
      <c r="AB725" s="5"/>
      <c r="AC725" s="5"/>
      <c r="AD725" s="5"/>
      <c r="AE725" s="5"/>
    </row>
    <row r="726" spans="1:31" s="24" customFormat="1" x14ac:dyDescent="0.4">
      <c r="A726" s="5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23"/>
      <c r="Y726" s="23"/>
      <c r="Z726" s="5"/>
      <c r="AA726" s="5"/>
      <c r="AB726" s="5"/>
      <c r="AC726" s="5"/>
      <c r="AD726" s="5"/>
      <c r="AE726" s="5"/>
    </row>
    <row r="727" spans="1:31" s="24" customFormat="1" x14ac:dyDescent="0.4">
      <c r="A727" s="5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23"/>
      <c r="Y727" s="23"/>
      <c r="Z727" s="5"/>
      <c r="AA727" s="5"/>
      <c r="AB727" s="5"/>
      <c r="AC727" s="5"/>
      <c r="AD727" s="5"/>
      <c r="AE727" s="5"/>
    </row>
    <row r="728" spans="1:31" s="24" customFormat="1" x14ac:dyDescent="0.4">
      <c r="A728" s="5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3"/>
      <c r="Y728" s="23"/>
      <c r="Z728" s="5"/>
      <c r="AA728" s="5"/>
      <c r="AB728" s="5"/>
      <c r="AC728" s="5"/>
      <c r="AD728" s="5"/>
      <c r="AE728" s="5"/>
    </row>
    <row r="729" spans="1:31" s="24" customFormat="1" x14ac:dyDescent="0.4">
      <c r="A729" s="5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3"/>
      <c r="Y729" s="23"/>
      <c r="Z729" s="5"/>
      <c r="AA729" s="5"/>
      <c r="AB729" s="5"/>
      <c r="AC729" s="5"/>
      <c r="AD729" s="5"/>
      <c r="AE729" s="5"/>
    </row>
    <row r="730" spans="1:31" s="24" customFormat="1" x14ac:dyDescent="0.4">
      <c r="A730" s="5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3"/>
      <c r="Y730" s="23"/>
      <c r="Z730" s="5"/>
      <c r="AA730" s="5"/>
      <c r="AB730" s="5"/>
      <c r="AC730" s="5"/>
      <c r="AD730" s="5"/>
      <c r="AE730" s="5"/>
    </row>
    <row r="731" spans="1:31" s="24" customFormat="1" x14ac:dyDescent="0.4">
      <c r="A731" s="5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23"/>
      <c r="Y731" s="23"/>
      <c r="Z731" s="5"/>
      <c r="AA731" s="5"/>
      <c r="AB731" s="5"/>
      <c r="AC731" s="5"/>
      <c r="AD731" s="5"/>
      <c r="AE731" s="5"/>
    </row>
    <row r="732" spans="1:31" s="24" customFormat="1" x14ac:dyDescent="0.4">
      <c r="A732" s="5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23"/>
      <c r="Y732" s="23"/>
      <c r="Z732" s="5"/>
      <c r="AA732" s="5"/>
      <c r="AB732" s="5"/>
      <c r="AC732" s="5"/>
      <c r="AD732" s="5"/>
      <c r="AE732" s="5"/>
    </row>
    <row r="733" spans="1:31" s="24" customFormat="1" x14ac:dyDescent="0.4">
      <c r="A733" s="5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3"/>
      <c r="Y733" s="23"/>
      <c r="Z733" s="5"/>
      <c r="AA733" s="5"/>
      <c r="AB733" s="5"/>
      <c r="AC733" s="5"/>
      <c r="AD733" s="5"/>
      <c r="AE733" s="5"/>
    </row>
    <row r="734" spans="1:31" s="24" customFormat="1" x14ac:dyDescent="0.4">
      <c r="A734" s="5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23"/>
      <c r="Y734" s="23"/>
      <c r="Z734" s="5"/>
      <c r="AA734" s="5"/>
      <c r="AB734" s="5"/>
      <c r="AC734" s="5"/>
      <c r="AD734" s="5"/>
      <c r="AE734" s="5"/>
    </row>
    <row r="735" spans="1:31" s="24" customFormat="1" x14ac:dyDescent="0.4">
      <c r="A735" s="5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23"/>
      <c r="Y735" s="23"/>
      <c r="Z735" s="5"/>
      <c r="AA735" s="5"/>
      <c r="AB735" s="5"/>
      <c r="AC735" s="5"/>
      <c r="AD735" s="5"/>
      <c r="AE735" s="5"/>
    </row>
    <row r="736" spans="1:31" s="24" customFormat="1" x14ac:dyDescent="0.4">
      <c r="A736" s="5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23"/>
      <c r="Y736" s="23"/>
      <c r="Z736" s="5"/>
      <c r="AA736" s="5"/>
      <c r="AB736" s="5"/>
      <c r="AC736" s="5"/>
      <c r="AD736" s="5"/>
      <c r="AE736" s="5"/>
    </row>
    <row r="737" spans="1:31" s="24" customFormat="1" x14ac:dyDescent="0.4">
      <c r="A737" s="5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23"/>
      <c r="Y737" s="23"/>
      <c r="Z737" s="5"/>
      <c r="AA737" s="5"/>
      <c r="AB737" s="5"/>
      <c r="AC737" s="5"/>
      <c r="AD737" s="5"/>
      <c r="AE737" s="5"/>
    </row>
    <row r="738" spans="1:31" s="24" customFormat="1" x14ac:dyDescent="0.4">
      <c r="A738" s="5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23"/>
      <c r="Y738" s="23"/>
      <c r="Z738" s="5"/>
      <c r="AA738" s="5"/>
      <c r="AB738" s="5"/>
      <c r="AC738" s="5"/>
      <c r="AD738" s="5"/>
      <c r="AE738" s="5"/>
    </row>
    <row r="739" spans="1:31" s="24" customFormat="1" x14ac:dyDescent="0.4">
      <c r="A739" s="5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23"/>
      <c r="Y739" s="23"/>
      <c r="Z739" s="5"/>
      <c r="AA739" s="5"/>
      <c r="AB739" s="5"/>
      <c r="AC739" s="5"/>
      <c r="AD739" s="5"/>
      <c r="AE739" s="5"/>
    </row>
    <row r="740" spans="1:31" s="24" customFormat="1" x14ac:dyDescent="0.4">
      <c r="A740" s="5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3"/>
      <c r="Y740" s="23"/>
      <c r="Z740" s="5"/>
      <c r="AA740" s="5"/>
      <c r="AB740" s="5"/>
      <c r="AC740" s="5"/>
      <c r="AD740" s="5"/>
      <c r="AE740" s="5"/>
    </row>
    <row r="741" spans="1:31" s="24" customFormat="1" x14ac:dyDescent="0.4">
      <c r="A741" s="5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3"/>
      <c r="Y741" s="23"/>
      <c r="Z741" s="5"/>
      <c r="AA741" s="5"/>
      <c r="AB741" s="5"/>
      <c r="AC741" s="5"/>
      <c r="AD741" s="5"/>
      <c r="AE741" s="5"/>
    </row>
    <row r="742" spans="1:31" s="24" customFormat="1" x14ac:dyDescent="0.4">
      <c r="A742" s="5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3"/>
      <c r="Y742" s="23"/>
      <c r="Z742" s="5"/>
      <c r="AA742" s="5"/>
      <c r="AB742" s="5"/>
      <c r="AC742" s="5"/>
      <c r="AD742" s="5"/>
      <c r="AE742" s="5"/>
    </row>
    <row r="743" spans="1:31" s="24" customFormat="1" x14ac:dyDescent="0.4">
      <c r="A743" s="5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23"/>
      <c r="Y743" s="23"/>
      <c r="Z743" s="5"/>
      <c r="AA743" s="5"/>
      <c r="AB743" s="5"/>
      <c r="AC743" s="5"/>
      <c r="AD743" s="5"/>
      <c r="AE743" s="5"/>
    </row>
    <row r="744" spans="1:31" s="24" customFormat="1" x14ac:dyDescent="0.4">
      <c r="A744" s="5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23"/>
      <c r="Y744" s="23"/>
      <c r="Z744" s="5"/>
      <c r="AA744" s="5"/>
      <c r="AB744" s="5"/>
      <c r="AC744" s="5"/>
      <c r="AD744" s="5"/>
      <c r="AE744" s="5"/>
    </row>
    <row r="745" spans="1:31" s="24" customFormat="1" x14ac:dyDescent="0.4">
      <c r="A745" s="5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23"/>
      <c r="Y745" s="23"/>
      <c r="Z745" s="5"/>
      <c r="AA745" s="5"/>
      <c r="AB745" s="5"/>
      <c r="AC745" s="5"/>
      <c r="AD745" s="5"/>
      <c r="AE745" s="5"/>
    </row>
    <row r="746" spans="1:31" s="24" customFormat="1" x14ac:dyDescent="0.4">
      <c r="A746" s="5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23"/>
      <c r="Y746" s="23"/>
      <c r="Z746" s="5"/>
      <c r="AA746" s="5"/>
      <c r="AB746" s="5"/>
      <c r="AC746" s="5"/>
      <c r="AD746" s="5"/>
      <c r="AE746" s="5"/>
    </row>
    <row r="747" spans="1:31" s="24" customFormat="1" x14ac:dyDescent="0.4">
      <c r="A747" s="5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23"/>
      <c r="Y747" s="23"/>
      <c r="Z747" s="5"/>
      <c r="AA747" s="5"/>
      <c r="AB747" s="5"/>
      <c r="AC747" s="5"/>
      <c r="AD747" s="5"/>
      <c r="AE747" s="5"/>
    </row>
    <row r="748" spans="1:31" s="24" customFormat="1" x14ac:dyDescent="0.4">
      <c r="A748" s="5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23"/>
      <c r="Y748" s="23"/>
      <c r="Z748" s="5"/>
      <c r="AA748" s="5"/>
      <c r="AB748" s="5"/>
      <c r="AC748" s="5"/>
      <c r="AD748" s="5"/>
      <c r="AE748" s="5"/>
    </row>
    <row r="749" spans="1:31" s="24" customFormat="1" x14ac:dyDescent="0.4">
      <c r="A749" s="5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23"/>
      <c r="Y749" s="23"/>
      <c r="Z749" s="5"/>
      <c r="AA749" s="5"/>
      <c r="AB749" s="5"/>
      <c r="AC749" s="5"/>
      <c r="AD749" s="5"/>
      <c r="AE749" s="5"/>
    </row>
    <row r="750" spans="1:31" s="24" customFormat="1" x14ac:dyDescent="0.4">
      <c r="A750" s="5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23"/>
      <c r="Y750" s="23"/>
      <c r="Z750" s="5"/>
      <c r="AA750" s="5"/>
      <c r="AB750" s="5"/>
      <c r="AC750" s="5"/>
      <c r="AD750" s="5"/>
      <c r="AE750" s="5"/>
    </row>
    <row r="751" spans="1:31" s="24" customFormat="1" x14ac:dyDescent="0.4">
      <c r="A751" s="5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23"/>
      <c r="Y751" s="23"/>
      <c r="Z751" s="5"/>
      <c r="AA751" s="5"/>
      <c r="AB751" s="5"/>
      <c r="AC751" s="5"/>
      <c r="AD751" s="5"/>
      <c r="AE751" s="5"/>
    </row>
    <row r="752" spans="1:31" s="24" customFormat="1" x14ac:dyDescent="0.4">
      <c r="A752" s="5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23"/>
      <c r="Y752" s="23"/>
      <c r="Z752" s="5"/>
      <c r="AA752" s="5"/>
      <c r="AB752" s="5"/>
      <c r="AC752" s="5"/>
      <c r="AD752" s="5"/>
      <c r="AE752" s="5"/>
    </row>
    <row r="753" spans="1:31" s="24" customFormat="1" x14ac:dyDescent="0.4">
      <c r="A753" s="5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23"/>
      <c r="Y753" s="23"/>
      <c r="Z753" s="5"/>
      <c r="AA753" s="5"/>
      <c r="AB753" s="5"/>
      <c r="AC753" s="5"/>
      <c r="AD753" s="5"/>
      <c r="AE753" s="5"/>
    </row>
    <row r="754" spans="1:31" s="24" customFormat="1" x14ac:dyDescent="0.4">
      <c r="A754" s="5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23"/>
      <c r="Y754" s="23"/>
      <c r="Z754" s="5"/>
      <c r="AA754" s="5"/>
      <c r="AB754" s="5"/>
      <c r="AC754" s="5"/>
      <c r="AD754" s="5"/>
      <c r="AE754" s="5"/>
    </row>
    <row r="755" spans="1:31" s="24" customFormat="1" x14ac:dyDescent="0.4">
      <c r="A755" s="5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23"/>
      <c r="Y755" s="23"/>
      <c r="Z755" s="5"/>
      <c r="AA755" s="5"/>
      <c r="AB755" s="5"/>
      <c r="AC755" s="5"/>
      <c r="AD755" s="5"/>
      <c r="AE755" s="5"/>
    </row>
    <row r="756" spans="1:31" s="24" customFormat="1" x14ac:dyDescent="0.4">
      <c r="A756" s="5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23"/>
      <c r="Y756" s="23"/>
      <c r="Z756" s="5"/>
      <c r="AA756" s="5"/>
      <c r="AB756" s="5"/>
      <c r="AC756" s="5"/>
      <c r="AD756" s="5"/>
      <c r="AE756" s="5"/>
    </row>
    <row r="757" spans="1:31" s="24" customFormat="1" x14ac:dyDescent="0.4">
      <c r="A757" s="5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23"/>
      <c r="Y757" s="23"/>
      <c r="Z757" s="5"/>
      <c r="AA757" s="5"/>
      <c r="AB757" s="5"/>
      <c r="AC757" s="5"/>
      <c r="AD757" s="5"/>
      <c r="AE757" s="5"/>
    </row>
    <row r="758" spans="1:31" s="24" customFormat="1" x14ac:dyDescent="0.4">
      <c r="A758" s="5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23"/>
      <c r="Y758" s="23"/>
      <c r="Z758" s="5"/>
      <c r="AA758" s="5"/>
      <c r="AB758" s="5"/>
      <c r="AC758" s="5"/>
      <c r="AD758" s="5"/>
      <c r="AE758" s="5"/>
    </row>
    <row r="759" spans="1:31" s="24" customFormat="1" x14ac:dyDescent="0.4">
      <c r="A759" s="5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23"/>
      <c r="Y759" s="23"/>
      <c r="Z759" s="5"/>
      <c r="AA759" s="5"/>
      <c r="AB759" s="5"/>
      <c r="AC759" s="5"/>
      <c r="AD759" s="5"/>
      <c r="AE759" s="5"/>
    </row>
    <row r="760" spans="1:31" s="24" customFormat="1" x14ac:dyDescent="0.4">
      <c r="A760" s="5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23"/>
      <c r="Y760" s="23"/>
      <c r="Z760" s="5"/>
      <c r="AA760" s="5"/>
      <c r="AB760" s="5"/>
      <c r="AC760" s="5"/>
      <c r="AD760" s="5"/>
      <c r="AE760" s="5"/>
    </row>
    <row r="761" spans="1:31" s="24" customFormat="1" x14ac:dyDescent="0.4">
      <c r="A761" s="5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23"/>
      <c r="Y761" s="23"/>
      <c r="Z761" s="5"/>
      <c r="AA761" s="5"/>
      <c r="AB761" s="5"/>
      <c r="AC761" s="5"/>
      <c r="AD761" s="5"/>
      <c r="AE761" s="5"/>
    </row>
    <row r="762" spans="1:31" s="24" customFormat="1" x14ac:dyDescent="0.4">
      <c r="A762" s="5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23"/>
      <c r="Y762" s="23"/>
      <c r="Z762" s="5"/>
      <c r="AA762" s="5"/>
      <c r="AB762" s="5"/>
      <c r="AC762" s="5"/>
      <c r="AD762" s="5"/>
      <c r="AE762" s="5"/>
    </row>
    <row r="763" spans="1:31" s="24" customFormat="1" x14ac:dyDescent="0.4">
      <c r="A763" s="5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23"/>
      <c r="Y763" s="23"/>
      <c r="Z763" s="5"/>
      <c r="AA763" s="5"/>
      <c r="AB763" s="5"/>
      <c r="AC763" s="5"/>
      <c r="AD763" s="5"/>
      <c r="AE763" s="5"/>
    </row>
    <row r="764" spans="1:31" s="24" customFormat="1" x14ac:dyDescent="0.4">
      <c r="A764" s="5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3"/>
      <c r="Y764" s="23"/>
      <c r="Z764" s="5"/>
      <c r="AA764" s="5"/>
      <c r="AB764" s="5"/>
      <c r="AC764" s="5"/>
      <c r="AD764" s="5"/>
      <c r="AE764" s="5"/>
    </row>
    <row r="765" spans="1:31" s="24" customFormat="1" x14ac:dyDescent="0.4">
      <c r="A765" s="5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23"/>
      <c r="Y765" s="23"/>
      <c r="Z765" s="5"/>
      <c r="AA765" s="5"/>
      <c r="AB765" s="5"/>
      <c r="AC765" s="5"/>
      <c r="AD765" s="5"/>
      <c r="AE765" s="5"/>
    </row>
    <row r="766" spans="1:31" s="24" customFormat="1" x14ac:dyDescent="0.4">
      <c r="A766" s="5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3"/>
      <c r="Y766" s="23"/>
      <c r="Z766" s="5"/>
      <c r="AA766" s="5"/>
      <c r="AB766" s="5"/>
      <c r="AC766" s="5"/>
      <c r="AD766" s="5"/>
      <c r="AE766" s="5"/>
    </row>
    <row r="767" spans="1:31" s="24" customFormat="1" x14ac:dyDescent="0.4">
      <c r="A767" s="5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23"/>
      <c r="Y767" s="23"/>
      <c r="Z767" s="5"/>
      <c r="AA767" s="5"/>
      <c r="AB767" s="5"/>
      <c r="AC767" s="5"/>
      <c r="AD767" s="5"/>
      <c r="AE767" s="5"/>
    </row>
    <row r="768" spans="1:31" s="24" customFormat="1" x14ac:dyDescent="0.4">
      <c r="A768" s="5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23"/>
      <c r="Y768" s="23"/>
      <c r="Z768" s="5"/>
      <c r="AA768" s="5"/>
      <c r="AB768" s="5"/>
      <c r="AC768" s="5"/>
      <c r="AD768" s="5"/>
      <c r="AE768" s="5"/>
    </row>
    <row r="769" spans="1:31" s="24" customFormat="1" x14ac:dyDescent="0.4">
      <c r="A769" s="5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3"/>
      <c r="Y769" s="23"/>
      <c r="Z769" s="5"/>
      <c r="AA769" s="5"/>
      <c r="AB769" s="5"/>
      <c r="AC769" s="5"/>
      <c r="AD769" s="5"/>
      <c r="AE769" s="5"/>
    </row>
    <row r="770" spans="1:31" s="24" customFormat="1" x14ac:dyDescent="0.4">
      <c r="A770" s="5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3"/>
      <c r="Y770" s="23"/>
      <c r="Z770" s="5"/>
      <c r="AA770" s="5"/>
      <c r="AB770" s="5"/>
      <c r="AC770" s="5"/>
      <c r="AD770" s="5"/>
      <c r="AE770" s="5"/>
    </row>
    <row r="771" spans="1:31" s="24" customFormat="1" x14ac:dyDescent="0.4">
      <c r="A771" s="5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3"/>
      <c r="Y771" s="23"/>
      <c r="Z771" s="5"/>
      <c r="AA771" s="5"/>
      <c r="AB771" s="5"/>
      <c r="AC771" s="5"/>
      <c r="AD771" s="5"/>
      <c r="AE771" s="5"/>
    </row>
    <row r="772" spans="1:31" s="24" customFormat="1" x14ac:dyDescent="0.4">
      <c r="A772" s="5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23"/>
      <c r="Y772" s="23"/>
      <c r="Z772" s="5"/>
      <c r="AA772" s="5"/>
      <c r="AB772" s="5"/>
      <c r="AC772" s="5"/>
      <c r="AD772" s="5"/>
      <c r="AE772" s="5"/>
    </row>
    <row r="773" spans="1:31" s="24" customFormat="1" x14ac:dyDescent="0.4">
      <c r="A773" s="5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23"/>
      <c r="Y773" s="23"/>
      <c r="Z773" s="5"/>
      <c r="AA773" s="5"/>
      <c r="AB773" s="5"/>
      <c r="AC773" s="5"/>
      <c r="AD773" s="5"/>
      <c r="AE773" s="5"/>
    </row>
    <row r="774" spans="1:31" s="24" customFormat="1" x14ac:dyDescent="0.4">
      <c r="A774" s="5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23"/>
      <c r="Y774" s="23"/>
      <c r="Z774" s="5"/>
      <c r="AA774" s="5"/>
      <c r="AB774" s="5"/>
      <c r="AC774" s="5"/>
      <c r="AD774" s="5"/>
      <c r="AE774" s="5"/>
    </row>
    <row r="775" spans="1:31" s="24" customFormat="1" x14ac:dyDescent="0.4">
      <c r="A775" s="5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3"/>
      <c r="Y775" s="23"/>
      <c r="Z775" s="5"/>
      <c r="AA775" s="5"/>
      <c r="AB775" s="5"/>
      <c r="AC775" s="5"/>
      <c r="AD775" s="5"/>
      <c r="AE775" s="5"/>
    </row>
    <row r="776" spans="1:31" s="24" customFormat="1" x14ac:dyDescent="0.4">
      <c r="A776" s="5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23"/>
      <c r="Y776" s="23"/>
      <c r="Z776" s="5"/>
      <c r="AA776" s="5"/>
      <c r="AB776" s="5"/>
      <c r="AC776" s="5"/>
      <c r="AD776" s="5"/>
      <c r="AE776" s="5"/>
    </row>
    <row r="777" spans="1:31" s="24" customFormat="1" x14ac:dyDescent="0.4">
      <c r="A777" s="5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3"/>
      <c r="Y777" s="23"/>
      <c r="Z777" s="5"/>
      <c r="AA777" s="5"/>
      <c r="AB777" s="5"/>
      <c r="AC777" s="5"/>
      <c r="AD777" s="5"/>
      <c r="AE777" s="5"/>
    </row>
    <row r="778" spans="1:31" s="24" customFormat="1" x14ac:dyDescent="0.4">
      <c r="A778" s="5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3"/>
      <c r="Y778" s="23"/>
      <c r="Z778" s="5"/>
      <c r="AA778" s="5"/>
      <c r="AB778" s="5"/>
      <c r="AC778" s="5"/>
      <c r="AD778" s="5"/>
      <c r="AE778" s="5"/>
    </row>
    <row r="779" spans="1:31" s="24" customFormat="1" x14ac:dyDescent="0.4">
      <c r="A779" s="5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3"/>
      <c r="Y779" s="23"/>
      <c r="Z779" s="5"/>
      <c r="AA779" s="5"/>
      <c r="AB779" s="5"/>
      <c r="AC779" s="5"/>
      <c r="AD779" s="5"/>
      <c r="AE779" s="5"/>
    </row>
    <row r="780" spans="1:31" s="24" customFormat="1" x14ac:dyDescent="0.4">
      <c r="A780" s="5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23"/>
      <c r="Y780" s="23"/>
      <c r="Z780" s="5"/>
      <c r="AA780" s="5"/>
      <c r="AB780" s="5"/>
      <c r="AC780" s="5"/>
      <c r="AD780" s="5"/>
      <c r="AE780" s="5"/>
    </row>
    <row r="781" spans="1:31" s="24" customFormat="1" x14ac:dyDescent="0.4">
      <c r="A781" s="5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23"/>
      <c r="Y781" s="23"/>
      <c r="Z781" s="5"/>
      <c r="AA781" s="5"/>
      <c r="AB781" s="5"/>
      <c r="AC781" s="5"/>
      <c r="AD781" s="5"/>
      <c r="AE781" s="5"/>
    </row>
    <row r="782" spans="1:31" s="24" customFormat="1" x14ac:dyDescent="0.4">
      <c r="A782" s="5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23"/>
      <c r="Y782" s="23"/>
      <c r="Z782" s="5"/>
      <c r="AA782" s="5"/>
      <c r="AB782" s="5"/>
      <c r="AC782" s="5"/>
      <c r="AD782" s="5"/>
      <c r="AE782" s="5"/>
    </row>
    <row r="783" spans="1:31" s="24" customFormat="1" x14ac:dyDescent="0.4">
      <c r="A783" s="5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23"/>
      <c r="Y783" s="23"/>
      <c r="Z783" s="5"/>
      <c r="AA783" s="5"/>
      <c r="AB783" s="5"/>
      <c r="AC783" s="5"/>
      <c r="AD783" s="5"/>
      <c r="AE783" s="5"/>
    </row>
    <row r="784" spans="1:31" s="24" customFormat="1" x14ac:dyDescent="0.4">
      <c r="A784" s="5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3"/>
      <c r="Y784" s="23"/>
      <c r="Z784" s="5"/>
      <c r="AA784" s="5"/>
      <c r="AB784" s="5"/>
      <c r="AC784" s="5"/>
      <c r="AD784" s="5"/>
      <c r="AE784" s="5"/>
    </row>
    <row r="785" spans="1:31" s="24" customFormat="1" x14ac:dyDescent="0.4">
      <c r="A785" s="5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23"/>
      <c r="Y785" s="23"/>
      <c r="Z785" s="5"/>
      <c r="AA785" s="5"/>
      <c r="AB785" s="5"/>
      <c r="AC785" s="5"/>
      <c r="AD785" s="5"/>
      <c r="AE785" s="5"/>
    </row>
    <row r="786" spans="1:31" s="24" customFormat="1" x14ac:dyDescent="0.4">
      <c r="A786" s="5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23"/>
      <c r="Y786" s="23"/>
      <c r="Z786" s="5"/>
      <c r="AA786" s="5"/>
      <c r="AB786" s="5"/>
      <c r="AC786" s="5"/>
      <c r="AD786" s="5"/>
      <c r="AE786" s="5"/>
    </row>
    <row r="787" spans="1:31" s="24" customFormat="1" x14ac:dyDescent="0.4">
      <c r="A787" s="5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23"/>
      <c r="Y787" s="23"/>
      <c r="Z787" s="5"/>
      <c r="AA787" s="5"/>
      <c r="AB787" s="5"/>
      <c r="AC787" s="5"/>
      <c r="AD787" s="5"/>
      <c r="AE787" s="5"/>
    </row>
    <row r="788" spans="1:31" s="24" customFormat="1" x14ac:dyDescent="0.4">
      <c r="A788" s="5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3"/>
      <c r="Y788" s="23"/>
      <c r="Z788" s="5"/>
      <c r="AA788" s="5"/>
      <c r="AB788" s="5"/>
      <c r="AC788" s="5"/>
      <c r="AD788" s="5"/>
      <c r="AE788" s="5"/>
    </row>
    <row r="789" spans="1:31" s="24" customFormat="1" x14ac:dyDescent="0.4">
      <c r="A789" s="5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3"/>
      <c r="Y789" s="23"/>
      <c r="Z789" s="5"/>
      <c r="AA789" s="5"/>
      <c r="AB789" s="5"/>
      <c r="AC789" s="5"/>
      <c r="AD789" s="5"/>
      <c r="AE789" s="5"/>
    </row>
    <row r="790" spans="1:31" s="24" customFormat="1" x14ac:dyDescent="0.4">
      <c r="A790" s="5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3"/>
      <c r="Y790" s="23"/>
      <c r="Z790" s="5"/>
      <c r="AA790" s="5"/>
      <c r="AB790" s="5"/>
      <c r="AC790" s="5"/>
      <c r="AD790" s="5"/>
      <c r="AE790" s="5"/>
    </row>
    <row r="791" spans="1:31" s="24" customFormat="1" x14ac:dyDescent="0.4">
      <c r="A791" s="5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3"/>
      <c r="Y791" s="23"/>
      <c r="Z791" s="5"/>
      <c r="AA791" s="5"/>
      <c r="AB791" s="5"/>
      <c r="AC791" s="5"/>
      <c r="AD791" s="5"/>
      <c r="AE791" s="5"/>
    </row>
    <row r="792" spans="1:31" s="24" customFormat="1" x14ac:dyDescent="0.4">
      <c r="A792" s="5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23"/>
      <c r="Y792" s="23"/>
      <c r="Z792" s="5"/>
      <c r="AA792" s="5"/>
      <c r="AB792" s="5"/>
      <c r="AC792" s="5"/>
      <c r="AD792" s="5"/>
      <c r="AE792" s="5"/>
    </row>
    <row r="793" spans="1:31" s="24" customFormat="1" x14ac:dyDescent="0.4">
      <c r="A793" s="5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23"/>
      <c r="Y793" s="23"/>
      <c r="Z793" s="5"/>
      <c r="AA793" s="5"/>
      <c r="AB793" s="5"/>
      <c r="AC793" s="5"/>
      <c r="AD793" s="5"/>
      <c r="AE793" s="5"/>
    </row>
    <row r="794" spans="1:31" s="24" customFormat="1" x14ac:dyDescent="0.4">
      <c r="A794" s="5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23"/>
      <c r="Y794" s="23"/>
      <c r="Z794" s="5"/>
      <c r="AA794" s="5"/>
      <c r="AB794" s="5"/>
      <c r="AC794" s="5"/>
      <c r="AD794" s="5"/>
      <c r="AE794" s="5"/>
    </row>
    <row r="795" spans="1:31" s="24" customFormat="1" x14ac:dyDescent="0.4">
      <c r="A795" s="5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23"/>
      <c r="Y795" s="23"/>
      <c r="Z795" s="5"/>
      <c r="AA795" s="5"/>
      <c r="AB795" s="5"/>
      <c r="AC795" s="5"/>
      <c r="AD795" s="5"/>
      <c r="AE795" s="5"/>
    </row>
    <row r="796" spans="1:31" s="24" customFormat="1" x14ac:dyDescent="0.4">
      <c r="A796" s="5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23"/>
      <c r="Y796" s="23"/>
      <c r="Z796" s="5"/>
      <c r="AA796" s="5"/>
      <c r="AB796" s="5"/>
      <c r="AC796" s="5"/>
      <c r="AD796" s="5"/>
      <c r="AE796" s="5"/>
    </row>
    <row r="797" spans="1:31" s="24" customFormat="1" x14ac:dyDescent="0.4">
      <c r="A797" s="5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23"/>
      <c r="Y797" s="23"/>
      <c r="Z797" s="5"/>
      <c r="AA797" s="5"/>
      <c r="AB797" s="5"/>
      <c r="AC797" s="5"/>
      <c r="AD797" s="5"/>
      <c r="AE797" s="5"/>
    </row>
    <row r="798" spans="1:31" s="24" customFormat="1" x14ac:dyDescent="0.4">
      <c r="A798" s="5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23"/>
      <c r="Y798" s="23"/>
      <c r="Z798" s="5"/>
      <c r="AA798" s="5"/>
      <c r="AB798" s="5"/>
      <c r="AC798" s="5"/>
      <c r="AD798" s="5"/>
      <c r="AE798" s="5"/>
    </row>
    <row r="799" spans="1:31" s="24" customFormat="1" x14ac:dyDescent="0.4">
      <c r="A799" s="5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23"/>
      <c r="Y799" s="23"/>
      <c r="Z799" s="5"/>
      <c r="AA799" s="5"/>
      <c r="AB799" s="5"/>
      <c r="AC799" s="5"/>
      <c r="AD799" s="5"/>
      <c r="AE799" s="5"/>
    </row>
    <row r="800" spans="1:31" s="24" customFormat="1" x14ac:dyDescent="0.4">
      <c r="A800" s="5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23"/>
      <c r="Y800" s="23"/>
      <c r="Z800" s="5"/>
      <c r="AA800" s="5"/>
      <c r="AB800" s="5"/>
      <c r="AC800" s="5"/>
      <c r="AD800" s="5"/>
      <c r="AE800" s="5"/>
    </row>
    <row r="801" spans="1:31" s="24" customFormat="1" x14ac:dyDescent="0.4">
      <c r="A801" s="5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23"/>
      <c r="Y801" s="23"/>
      <c r="Z801" s="5"/>
      <c r="AA801" s="5"/>
      <c r="AB801" s="5"/>
      <c r="AC801" s="5"/>
      <c r="AD801" s="5"/>
      <c r="AE801" s="5"/>
    </row>
    <row r="802" spans="1:31" s="24" customFormat="1" x14ac:dyDescent="0.4">
      <c r="A802" s="5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23"/>
      <c r="Y802" s="23"/>
      <c r="Z802" s="5"/>
      <c r="AA802" s="5"/>
      <c r="AB802" s="5"/>
      <c r="AC802" s="5"/>
      <c r="AD802" s="5"/>
      <c r="AE802" s="5"/>
    </row>
    <row r="803" spans="1:31" s="24" customFormat="1" x14ac:dyDescent="0.4">
      <c r="A803" s="5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23"/>
      <c r="Y803" s="23"/>
      <c r="Z803" s="5"/>
      <c r="AA803" s="5"/>
      <c r="AB803" s="5"/>
      <c r="AC803" s="5"/>
      <c r="AD803" s="5"/>
      <c r="AE803" s="5"/>
    </row>
    <row r="804" spans="1:31" s="24" customFormat="1" x14ac:dyDescent="0.4">
      <c r="A804" s="5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23"/>
      <c r="Y804" s="23"/>
      <c r="Z804" s="5"/>
      <c r="AA804" s="5"/>
      <c r="AB804" s="5"/>
      <c r="AC804" s="5"/>
      <c r="AD804" s="5"/>
      <c r="AE804" s="5"/>
    </row>
    <row r="805" spans="1:31" s="24" customFormat="1" x14ac:dyDescent="0.4">
      <c r="A805" s="5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23"/>
      <c r="Y805" s="23"/>
      <c r="Z805" s="5"/>
      <c r="AA805" s="5"/>
      <c r="AB805" s="5"/>
      <c r="AC805" s="5"/>
      <c r="AD805" s="5"/>
      <c r="AE805" s="5"/>
    </row>
    <row r="806" spans="1:31" s="24" customFormat="1" x14ac:dyDescent="0.4">
      <c r="A806" s="5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23"/>
      <c r="Y806" s="23"/>
      <c r="Z806" s="5"/>
      <c r="AA806" s="5"/>
      <c r="AB806" s="5"/>
      <c r="AC806" s="5"/>
      <c r="AD806" s="5"/>
      <c r="AE806" s="5"/>
    </row>
    <row r="807" spans="1:31" s="24" customFormat="1" x14ac:dyDescent="0.4">
      <c r="A807" s="5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23"/>
      <c r="Y807" s="23"/>
      <c r="Z807" s="5"/>
      <c r="AA807" s="5"/>
      <c r="AB807" s="5"/>
      <c r="AC807" s="5"/>
      <c r="AD807" s="5"/>
      <c r="AE807" s="5"/>
    </row>
    <row r="808" spans="1:31" s="24" customFormat="1" x14ac:dyDescent="0.4">
      <c r="A808" s="5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23"/>
      <c r="Y808" s="23"/>
      <c r="Z808" s="5"/>
      <c r="AA808" s="5"/>
      <c r="AB808" s="5"/>
      <c r="AC808" s="5"/>
      <c r="AD808" s="5"/>
      <c r="AE808" s="5"/>
    </row>
    <row r="809" spans="1:31" s="24" customFormat="1" x14ac:dyDescent="0.4">
      <c r="A809" s="5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23"/>
      <c r="Y809" s="23"/>
      <c r="Z809" s="5"/>
      <c r="AA809" s="5"/>
      <c r="AB809" s="5"/>
      <c r="AC809" s="5"/>
      <c r="AD809" s="5"/>
      <c r="AE809" s="5"/>
    </row>
    <row r="810" spans="1:31" s="24" customFormat="1" x14ac:dyDescent="0.4">
      <c r="A810" s="5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3"/>
      <c r="Y810" s="23"/>
      <c r="Z810" s="5"/>
      <c r="AA810" s="5"/>
      <c r="AB810" s="5"/>
      <c r="AC810" s="5"/>
      <c r="AD810" s="5"/>
      <c r="AE810" s="5"/>
    </row>
    <row r="811" spans="1:31" s="24" customFormat="1" x14ac:dyDescent="0.4">
      <c r="A811" s="5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23"/>
      <c r="Y811" s="23"/>
      <c r="Z811" s="5"/>
      <c r="AA811" s="5"/>
      <c r="AB811" s="5"/>
      <c r="AC811" s="5"/>
      <c r="AD811" s="5"/>
      <c r="AE811" s="5"/>
    </row>
    <row r="812" spans="1:31" s="24" customFormat="1" x14ac:dyDescent="0.4">
      <c r="A812" s="5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23"/>
      <c r="Y812" s="23"/>
      <c r="Z812" s="5"/>
      <c r="AA812" s="5"/>
      <c r="AB812" s="5"/>
      <c r="AC812" s="5"/>
      <c r="AD812" s="5"/>
      <c r="AE812" s="5"/>
    </row>
    <row r="813" spans="1:31" s="24" customFormat="1" x14ac:dyDescent="0.4">
      <c r="A813" s="5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23"/>
      <c r="Y813" s="23"/>
      <c r="Z813" s="5"/>
      <c r="AA813" s="5"/>
      <c r="AB813" s="5"/>
      <c r="AC813" s="5"/>
      <c r="AD813" s="5"/>
      <c r="AE813" s="5"/>
    </row>
    <row r="814" spans="1:31" s="24" customFormat="1" x14ac:dyDescent="0.4">
      <c r="A814" s="5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23"/>
      <c r="Y814" s="23"/>
      <c r="Z814" s="5"/>
      <c r="AA814" s="5"/>
      <c r="AB814" s="5"/>
      <c r="AC814" s="5"/>
      <c r="AD814" s="5"/>
      <c r="AE814" s="5"/>
    </row>
    <row r="815" spans="1:31" s="24" customFormat="1" x14ac:dyDescent="0.4">
      <c r="A815" s="5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3"/>
      <c r="Y815" s="23"/>
      <c r="Z815" s="5"/>
      <c r="AA815" s="5"/>
      <c r="AB815" s="5"/>
      <c r="AC815" s="5"/>
      <c r="AD815" s="5"/>
      <c r="AE815" s="5"/>
    </row>
    <row r="816" spans="1:31" s="24" customFormat="1" x14ac:dyDescent="0.4">
      <c r="A816" s="5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3"/>
      <c r="Y816" s="23"/>
      <c r="Z816" s="5"/>
      <c r="AA816" s="5"/>
      <c r="AB816" s="5"/>
      <c r="AC816" s="5"/>
      <c r="AD816" s="5"/>
      <c r="AE816" s="5"/>
    </row>
    <row r="817" spans="1:31" s="24" customFormat="1" x14ac:dyDescent="0.4">
      <c r="A817" s="5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23"/>
      <c r="Y817" s="23"/>
      <c r="Z817" s="5"/>
      <c r="AA817" s="5"/>
      <c r="AB817" s="5"/>
      <c r="AC817" s="5"/>
      <c r="AD817" s="5"/>
      <c r="AE817" s="5"/>
    </row>
    <row r="818" spans="1:31" s="24" customFormat="1" x14ac:dyDescent="0.4">
      <c r="A818" s="5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3"/>
      <c r="Y818" s="23"/>
      <c r="Z818" s="5"/>
      <c r="AA818" s="5"/>
      <c r="AB818" s="5"/>
      <c r="AC818" s="5"/>
      <c r="AD818" s="5"/>
      <c r="AE818" s="5"/>
    </row>
    <row r="819" spans="1:31" s="24" customFormat="1" x14ac:dyDescent="0.4">
      <c r="A819" s="5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23"/>
      <c r="Y819" s="23"/>
      <c r="Z819" s="5"/>
      <c r="AA819" s="5"/>
      <c r="AB819" s="5"/>
      <c r="AC819" s="5"/>
      <c r="AD819" s="5"/>
      <c r="AE819" s="5"/>
    </row>
    <row r="820" spans="1:31" s="24" customFormat="1" x14ac:dyDescent="0.4">
      <c r="A820" s="5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23"/>
      <c r="Y820" s="23"/>
      <c r="Z820" s="5"/>
      <c r="AA820" s="5"/>
      <c r="AB820" s="5"/>
      <c r="AC820" s="5"/>
      <c r="AD820" s="5"/>
      <c r="AE820" s="5"/>
    </row>
    <row r="821" spans="1:31" s="24" customFormat="1" x14ac:dyDescent="0.4">
      <c r="A821" s="5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23"/>
      <c r="Y821" s="23"/>
      <c r="Z821" s="5"/>
      <c r="AA821" s="5"/>
      <c r="AB821" s="5"/>
      <c r="AC821" s="5"/>
      <c r="AD821" s="5"/>
      <c r="AE821" s="5"/>
    </row>
    <row r="822" spans="1:31" s="24" customFormat="1" x14ac:dyDescent="0.4">
      <c r="A822" s="5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23"/>
      <c r="Y822" s="23"/>
      <c r="Z822" s="5"/>
      <c r="AA822" s="5"/>
      <c r="AB822" s="5"/>
      <c r="AC822" s="5"/>
      <c r="AD822" s="5"/>
      <c r="AE822" s="5"/>
    </row>
    <row r="823" spans="1:31" s="24" customFormat="1" x14ac:dyDescent="0.4">
      <c r="A823" s="5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3"/>
      <c r="Y823" s="23"/>
      <c r="Z823" s="5"/>
      <c r="AA823" s="5"/>
      <c r="AB823" s="5"/>
      <c r="AC823" s="5"/>
      <c r="AD823" s="5"/>
      <c r="AE823" s="5"/>
    </row>
    <row r="824" spans="1:31" s="24" customFormat="1" x14ac:dyDescent="0.4">
      <c r="A824" s="5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3"/>
      <c r="Y824" s="23"/>
      <c r="Z824" s="5"/>
      <c r="AA824" s="5"/>
      <c r="AB824" s="5"/>
      <c r="AC824" s="5"/>
      <c r="AD824" s="5"/>
      <c r="AE824" s="5"/>
    </row>
    <row r="825" spans="1:31" s="24" customFormat="1" x14ac:dyDescent="0.4">
      <c r="A825" s="5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3"/>
      <c r="Y825" s="23"/>
      <c r="Z825" s="5"/>
      <c r="AA825" s="5"/>
      <c r="AB825" s="5"/>
      <c r="AC825" s="5"/>
      <c r="AD825" s="5"/>
      <c r="AE825" s="5"/>
    </row>
    <row r="826" spans="1:31" s="24" customFormat="1" x14ac:dyDescent="0.4">
      <c r="A826" s="5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23"/>
      <c r="Y826" s="23"/>
      <c r="Z826" s="5"/>
      <c r="AA826" s="5"/>
      <c r="AB826" s="5"/>
      <c r="AC826" s="5"/>
      <c r="AD826" s="5"/>
      <c r="AE826" s="5"/>
    </row>
    <row r="827" spans="1:31" s="24" customFormat="1" x14ac:dyDescent="0.4">
      <c r="A827" s="5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23"/>
      <c r="Y827" s="23"/>
      <c r="Z827" s="5"/>
      <c r="AA827" s="5"/>
      <c r="AB827" s="5"/>
      <c r="AC827" s="5"/>
      <c r="AD827" s="5"/>
      <c r="AE827" s="5"/>
    </row>
    <row r="828" spans="1:31" s="24" customFormat="1" x14ac:dyDescent="0.4">
      <c r="A828" s="5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23"/>
      <c r="Y828" s="23"/>
      <c r="Z828" s="5"/>
      <c r="AA828" s="5"/>
      <c r="AB828" s="5"/>
      <c r="AC828" s="5"/>
      <c r="AD828" s="5"/>
      <c r="AE828" s="5"/>
    </row>
    <row r="829" spans="1:31" s="24" customFormat="1" x14ac:dyDescent="0.4">
      <c r="A829" s="5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23"/>
      <c r="Y829" s="23"/>
      <c r="Z829" s="5"/>
      <c r="AA829" s="5"/>
      <c r="AB829" s="5"/>
      <c r="AC829" s="5"/>
      <c r="AD829" s="5"/>
      <c r="AE829" s="5"/>
    </row>
    <row r="830" spans="1:31" s="24" customFormat="1" x14ac:dyDescent="0.4">
      <c r="A830" s="5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23"/>
      <c r="Y830" s="23"/>
      <c r="Z830" s="5"/>
      <c r="AA830" s="5"/>
      <c r="AB830" s="5"/>
      <c r="AC830" s="5"/>
      <c r="AD830" s="5"/>
      <c r="AE830" s="5"/>
    </row>
    <row r="831" spans="1:31" s="24" customFormat="1" x14ac:dyDescent="0.4">
      <c r="A831" s="5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23"/>
      <c r="Y831" s="23"/>
      <c r="Z831" s="5"/>
      <c r="AA831" s="5"/>
      <c r="AB831" s="5"/>
      <c r="AC831" s="5"/>
      <c r="AD831" s="5"/>
      <c r="AE831" s="5"/>
    </row>
    <row r="832" spans="1:31" s="24" customFormat="1" x14ac:dyDescent="0.4">
      <c r="A832" s="5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3"/>
      <c r="Y832" s="23"/>
      <c r="Z832" s="5"/>
      <c r="AA832" s="5"/>
      <c r="AB832" s="5"/>
      <c r="AC832" s="5"/>
      <c r="AD832" s="5"/>
      <c r="AE832" s="5"/>
    </row>
    <row r="833" spans="1:33" s="24" customFormat="1" x14ac:dyDescent="0.4">
      <c r="A833" s="5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23"/>
      <c r="Y833" s="23"/>
      <c r="Z833" s="5"/>
      <c r="AA833" s="5"/>
      <c r="AB833" s="5"/>
      <c r="AC833" s="5"/>
      <c r="AD833" s="5"/>
      <c r="AE833" s="5"/>
    </row>
    <row r="834" spans="1:33" s="24" customFormat="1" x14ac:dyDescent="0.4">
      <c r="A834" s="5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23"/>
      <c r="Y834" s="23"/>
      <c r="Z834" s="5"/>
      <c r="AA834" s="5"/>
      <c r="AB834" s="5"/>
      <c r="AC834" s="5"/>
      <c r="AD834" s="5"/>
      <c r="AE834" s="5"/>
    </row>
    <row r="835" spans="1:33" s="24" customFormat="1" x14ac:dyDescent="0.4">
      <c r="A835" s="5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23"/>
      <c r="Y835" s="23"/>
      <c r="Z835" s="5"/>
      <c r="AA835" s="5"/>
      <c r="AB835" s="5"/>
      <c r="AC835" s="5"/>
      <c r="AD835" s="5"/>
      <c r="AE835" s="5"/>
    </row>
    <row r="836" spans="1:33" s="24" customFormat="1" x14ac:dyDescent="0.4">
      <c r="A836" s="5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3"/>
      <c r="Y836" s="23"/>
      <c r="Z836" s="5"/>
      <c r="AA836" s="5"/>
      <c r="AB836" s="5"/>
      <c r="AC836" s="5"/>
      <c r="AD836" s="5"/>
      <c r="AE836" s="5"/>
    </row>
    <row r="837" spans="1:33" s="24" customFormat="1" x14ac:dyDescent="0.4">
      <c r="A837" s="5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23"/>
      <c r="Y837" s="23"/>
      <c r="Z837" s="5"/>
      <c r="AA837" s="5"/>
      <c r="AB837" s="5"/>
      <c r="AC837" s="5"/>
      <c r="AD837" s="5"/>
      <c r="AE837" s="5"/>
    </row>
    <row r="838" spans="1:33" s="24" customFormat="1" x14ac:dyDescent="0.4">
      <c r="A838" s="5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3"/>
      <c r="Y838" s="23"/>
      <c r="Z838" s="5"/>
      <c r="AA838" s="5"/>
      <c r="AB838" s="5"/>
      <c r="AC838" s="5"/>
      <c r="AD838" s="5"/>
      <c r="AE838" s="5"/>
    </row>
    <row r="839" spans="1:33" s="24" customFormat="1" x14ac:dyDescent="0.4">
      <c r="A839" s="5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23"/>
      <c r="Y839" s="23"/>
      <c r="Z839" s="5"/>
      <c r="AA839" s="5"/>
      <c r="AB839" s="5"/>
      <c r="AC839" s="5"/>
      <c r="AD839" s="5"/>
      <c r="AE839" s="5"/>
    </row>
    <row r="840" spans="1:33" s="24" customFormat="1" x14ac:dyDescent="0.4">
      <c r="A840" s="5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23"/>
      <c r="Y840" s="23"/>
      <c r="Z840" s="5"/>
      <c r="AA840" s="5"/>
      <c r="AB840" s="5"/>
      <c r="AC840" s="5"/>
      <c r="AD840" s="5"/>
      <c r="AE840" s="5"/>
    </row>
    <row r="841" spans="1:33" s="24" customFormat="1" x14ac:dyDescent="0.4">
      <c r="A841" s="5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3"/>
      <c r="Y841" s="23"/>
      <c r="Z841" s="5"/>
      <c r="AA841" s="5"/>
      <c r="AB841" s="5"/>
      <c r="AC841" s="5"/>
      <c r="AD841" s="5"/>
      <c r="AE841" s="5"/>
    </row>
    <row r="842" spans="1:33" s="24" customFormat="1" x14ac:dyDescent="0.4">
      <c r="A842" s="5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3"/>
      <c r="Y842" s="23"/>
      <c r="Z842" s="5"/>
      <c r="AA842" s="5"/>
      <c r="AB842" s="5"/>
      <c r="AC842" s="5"/>
      <c r="AD842" s="5"/>
      <c r="AE842" s="5"/>
    </row>
    <row r="843" spans="1:33" s="24" customFormat="1" x14ac:dyDescent="0.4">
      <c r="A843" s="5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3"/>
      <c r="Y843" s="23"/>
      <c r="Z843" s="5"/>
      <c r="AA843" s="5"/>
      <c r="AB843" s="5"/>
      <c r="AC843" s="5"/>
      <c r="AD843" s="5"/>
      <c r="AE843" s="5"/>
    </row>
    <row r="844" spans="1:33" s="24" customFormat="1" x14ac:dyDescent="0.4">
      <c r="A844" s="5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23"/>
      <c r="Y844" s="23"/>
      <c r="Z844" s="5"/>
      <c r="AA844" s="5"/>
      <c r="AB844" s="5"/>
      <c r="AC844" s="5"/>
      <c r="AD844" s="5"/>
      <c r="AE844" s="5"/>
      <c r="AF844" s="5"/>
      <c r="AG844" s="5"/>
    </row>
    <row r="845" spans="1:33" s="24" customFormat="1" x14ac:dyDescent="0.4">
      <c r="A845" s="5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3"/>
      <c r="Y845" s="23"/>
      <c r="Z845" s="5"/>
      <c r="AA845" s="5"/>
      <c r="AB845" s="5"/>
      <c r="AC845" s="5"/>
      <c r="AD845" s="5"/>
      <c r="AE845" s="5"/>
      <c r="AF845" s="5"/>
      <c r="AG845" s="5"/>
    </row>
    <row r="846" spans="1:33" s="24" customFormat="1" x14ac:dyDescent="0.4">
      <c r="A846" s="5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23"/>
      <c r="Y846" s="23"/>
      <c r="Z846" s="5"/>
      <c r="AA846" s="5"/>
      <c r="AB846" s="5"/>
      <c r="AC846" s="5"/>
      <c r="AD846" s="5"/>
      <c r="AE846" s="5"/>
      <c r="AF846" s="5"/>
      <c r="AG846" s="5"/>
    </row>
    <row r="847" spans="1:33" s="24" customFormat="1" x14ac:dyDescent="0.4">
      <c r="A847" s="5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23"/>
      <c r="Y847" s="23"/>
      <c r="Z847" s="5"/>
      <c r="AA847" s="5"/>
      <c r="AB847" s="5"/>
      <c r="AC847" s="5"/>
      <c r="AD847" s="5"/>
      <c r="AE847" s="5"/>
      <c r="AF847" s="5"/>
      <c r="AG847" s="5"/>
    </row>
    <row r="848" spans="1:33" s="24" customFormat="1" x14ac:dyDescent="0.4">
      <c r="A848" s="5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23"/>
      <c r="Y848" s="23"/>
      <c r="Z848" s="5"/>
      <c r="AA848" s="5"/>
      <c r="AB848" s="5"/>
      <c r="AC848" s="5"/>
      <c r="AD848" s="5"/>
      <c r="AE848" s="5"/>
      <c r="AF848" s="5"/>
      <c r="AG848" s="5"/>
    </row>
    <row r="849" spans="1:33" s="24" customFormat="1" x14ac:dyDescent="0.4">
      <c r="A849" s="5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3"/>
      <c r="Y849" s="23"/>
      <c r="Z849" s="5"/>
      <c r="AA849" s="5"/>
      <c r="AB849" s="5"/>
      <c r="AC849" s="5"/>
      <c r="AD849" s="5"/>
      <c r="AE849" s="5"/>
      <c r="AF849" s="5"/>
      <c r="AG849" s="5"/>
    </row>
    <row r="850" spans="1:33" s="24" customFormat="1" x14ac:dyDescent="0.4">
      <c r="A850" s="5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23"/>
      <c r="Y850" s="23"/>
      <c r="Z850" s="5"/>
      <c r="AA850" s="5"/>
      <c r="AB850" s="5"/>
      <c r="AC850" s="5"/>
      <c r="AD850" s="5"/>
      <c r="AE850" s="5"/>
      <c r="AF850" s="5"/>
      <c r="AG850" s="5"/>
    </row>
    <row r="851" spans="1:33" s="24" customFormat="1" x14ac:dyDescent="0.4">
      <c r="A851" s="5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23"/>
      <c r="Y851" s="23"/>
      <c r="Z851" s="5"/>
      <c r="AA851" s="5"/>
      <c r="AB851" s="5"/>
      <c r="AC851" s="5"/>
      <c r="AD851" s="5"/>
      <c r="AE851" s="5"/>
      <c r="AF851" s="5"/>
      <c r="AG851" s="5"/>
    </row>
    <row r="852" spans="1:33" s="24" customFormat="1" x14ac:dyDescent="0.4">
      <c r="A852" s="5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23"/>
      <c r="Y852" s="23"/>
      <c r="Z852" s="5"/>
      <c r="AA852" s="5"/>
      <c r="AB852" s="5"/>
      <c r="AC852" s="5"/>
      <c r="AD852" s="5"/>
      <c r="AE852" s="5"/>
      <c r="AF852" s="5"/>
      <c r="AG852" s="5"/>
    </row>
    <row r="853" spans="1:33" s="24" customFormat="1" x14ac:dyDescent="0.4">
      <c r="A853" s="5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23"/>
      <c r="Y853" s="23"/>
      <c r="Z853" s="5"/>
      <c r="AA853" s="5"/>
      <c r="AB853" s="5"/>
      <c r="AC853" s="5"/>
      <c r="AD853" s="5"/>
      <c r="AE853" s="5"/>
      <c r="AF853" s="5"/>
      <c r="AG853" s="5"/>
    </row>
    <row r="854" spans="1:33" s="24" customFormat="1" x14ac:dyDescent="0.4">
      <c r="A854" s="5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23"/>
      <c r="Y854" s="23"/>
      <c r="Z854" s="5"/>
      <c r="AA854" s="5"/>
      <c r="AB854" s="5"/>
      <c r="AC854" s="5"/>
      <c r="AD854" s="5"/>
      <c r="AE854" s="5"/>
      <c r="AF854" s="5"/>
      <c r="AG854" s="5"/>
    </row>
    <row r="855" spans="1:33" s="24" customFormat="1" x14ac:dyDescent="0.4">
      <c r="A855" s="5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23"/>
      <c r="Y855" s="23"/>
      <c r="Z855" s="5"/>
      <c r="AA855" s="5"/>
      <c r="AB855" s="5"/>
      <c r="AC855" s="5"/>
      <c r="AD855" s="5"/>
      <c r="AE855" s="5"/>
      <c r="AF855" s="5"/>
      <c r="AG855" s="5"/>
    </row>
    <row r="856" spans="1:33" s="24" customFormat="1" x14ac:dyDescent="0.4">
      <c r="A856" s="5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23"/>
      <c r="Y856" s="23"/>
      <c r="Z856" s="5"/>
      <c r="AA856" s="5"/>
      <c r="AB856" s="5"/>
      <c r="AC856" s="5"/>
      <c r="AD856" s="5"/>
      <c r="AE856" s="5"/>
      <c r="AF856" s="5"/>
      <c r="AG856" s="5"/>
    </row>
    <row r="857" spans="1:33" s="24" customFormat="1" x14ac:dyDescent="0.4">
      <c r="A857" s="5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3"/>
      <c r="Y857" s="23"/>
      <c r="Z857" s="5"/>
      <c r="AA857" s="5"/>
      <c r="AB857" s="5"/>
      <c r="AC857" s="5"/>
      <c r="AD857" s="5"/>
      <c r="AE857" s="5"/>
      <c r="AF857" s="5"/>
      <c r="AG857" s="5"/>
    </row>
    <row r="858" spans="1:33" s="24" customFormat="1" x14ac:dyDescent="0.4">
      <c r="A858" s="5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3"/>
      <c r="Y858" s="23"/>
      <c r="Z858" s="5"/>
      <c r="AA858" s="5"/>
      <c r="AB858" s="5"/>
      <c r="AC858" s="5"/>
      <c r="AD858" s="5"/>
      <c r="AE858" s="5"/>
      <c r="AF858" s="5"/>
      <c r="AG858" s="5"/>
    </row>
    <row r="859" spans="1:33" s="24" customFormat="1" x14ac:dyDescent="0.4">
      <c r="A859" s="5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3"/>
      <c r="Y859" s="23"/>
      <c r="Z859" s="5"/>
      <c r="AA859" s="5"/>
      <c r="AB859" s="5"/>
      <c r="AC859" s="5"/>
      <c r="AD859" s="5"/>
      <c r="AE859" s="5"/>
      <c r="AF859" s="5"/>
      <c r="AG859" s="5"/>
    </row>
    <row r="860" spans="1:33" s="24" customFormat="1" x14ac:dyDescent="0.4">
      <c r="A860" s="5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23"/>
      <c r="Y860" s="23"/>
      <c r="Z860" s="5"/>
      <c r="AA860" s="5"/>
      <c r="AB860" s="5"/>
      <c r="AC860" s="5"/>
      <c r="AD860" s="5"/>
      <c r="AE860" s="5"/>
      <c r="AF860" s="5"/>
      <c r="AG860" s="5"/>
    </row>
    <row r="861" spans="1:33" s="24" customFormat="1" x14ac:dyDescent="0.4">
      <c r="A861" s="5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23"/>
      <c r="Y861" s="23"/>
      <c r="Z861" s="5"/>
      <c r="AA861" s="5"/>
      <c r="AB861" s="5"/>
      <c r="AC861" s="5"/>
      <c r="AD861" s="5"/>
      <c r="AE861" s="5"/>
      <c r="AF861" s="5"/>
      <c r="AG861" s="5"/>
    </row>
    <row r="862" spans="1:33" s="24" customFormat="1" x14ac:dyDescent="0.4">
      <c r="A862" s="5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3"/>
      <c r="Y862" s="23"/>
      <c r="Z862" s="5"/>
      <c r="AA862" s="5"/>
      <c r="AB862" s="5"/>
      <c r="AC862" s="5"/>
      <c r="AD862" s="5"/>
      <c r="AE862" s="5"/>
      <c r="AF862" s="5"/>
      <c r="AG862" s="5"/>
    </row>
    <row r="863" spans="1:33" s="24" customFormat="1" x14ac:dyDescent="0.4">
      <c r="A863" s="5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23"/>
      <c r="Y863" s="23"/>
      <c r="Z863" s="5"/>
      <c r="AA863" s="5"/>
      <c r="AB863" s="5"/>
      <c r="AC863" s="5"/>
      <c r="AD863" s="5"/>
      <c r="AE863" s="5"/>
      <c r="AF863" s="5"/>
      <c r="AG863" s="5"/>
    </row>
    <row r="864" spans="1:33" s="24" customFormat="1" x14ac:dyDescent="0.4">
      <c r="A864" s="5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3"/>
      <c r="Y864" s="23"/>
      <c r="Z864" s="5"/>
      <c r="AA864" s="5"/>
      <c r="AB864" s="5"/>
      <c r="AC864" s="5"/>
      <c r="AD864" s="5"/>
      <c r="AE864" s="5"/>
      <c r="AF864" s="5"/>
      <c r="AG864" s="5"/>
    </row>
    <row r="865" spans="1:33" s="24" customFormat="1" x14ac:dyDescent="0.4">
      <c r="A865" s="5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23"/>
      <c r="Y865" s="23"/>
      <c r="Z865" s="5"/>
      <c r="AA865" s="5"/>
      <c r="AB865" s="5"/>
      <c r="AC865" s="5"/>
      <c r="AD865" s="5"/>
      <c r="AE865" s="5"/>
      <c r="AF865" s="5"/>
      <c r="AG865" s="5"/>
    </row>
    <row r="866" spans="1:33" s="24" customFormat="1" x14ac:dyDescent="0.4">
      <c r="A866" s="5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23"/>
      <c r="Y866" s="23"/>
      <c r="Z866" s="5"/>
      <c r="AA866" s="5"/>
      <c r="AB866" s="5"/>
      <c r="AC866" s="5"/>
      <c r="AD866" s="5"/>
      <c r="AE866" s="5"/>
      <c r="AF866" s="5"/>
      <c r="AG866" s="5"/>
    </row>
    <row r="867" spans="1:33" s="24" customFormat="1" x14ac:dyDescent="0.4">
      <c r="A867" s="5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23"/>
      <c r="Y867" s="23"/>
      <c r="Z867" s="5"/>
      <c r="AA867" s="5"/>
      <c r="AB867" s="5"/>
      <c r="AC867" s="5"/>
      <c r="AD867" s="5"/>
      <c r="AE867" s="5"/>
      <c r="AF867" s="5"/>
      <c r="AG867" s="5"/>
    </row>
    <row r="868" spans="1:33" s="24" customFormat="1" x14ac:dyDescent="0.4">
      <c r="A868" s="5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23"/>
      <c r="Y868" s="23"/>
      <c r="Z868" s="5"/>
      <c r="AA868" s="5"/>
      <c r="AB868" s="5"/>
      <c r="AC868" s="5"/>
      <c r="AD868" s="5"/>
      <c r="AE868" s="5"/>
      <c r="AF868" s="5"/>
      <c r="AG868" s="5"/>
    </row>
    <row r="869" spans="1:33" s="24" customFormat="1" x14ac:dyDescent="0.4">
      <c r="A869" s="5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23"/>
      <c r="Y869" s="23"/>
      <c r="Z869" s="5"/>
      <c r="AA869" s="5"/>
      <c r="AB869" s="5"/>
      <c r="AC869" s="5"/>
      <c r="AD869" s="5"/>
      <c r="AE869" s="5"/>
      <c r="AF869" s="5"/>
      <c r="AG869" s="5"/>
    </row>
    <row r="870" spans="1:33" s="24" customFormat="1" x14ac:dyDescent="0.4">
      <c r="A870" s="5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23"/>
      <c r="Y870" s="23"/>
      <c r="Z870" s="5"/>
      <c r="AA870" s="5"/>
      <c r="AB870" s="5"/>
      <c r="AC870" s="5"/>
      <c r="AD870" s="5"/>
      <c r="AE870" s="5"/>
      <c r="AF870" s="5"/>
      <c r="AG870" s="5"/>
    </row>
    <row r="871" spans="1:33" s="24" customFormat="1" x14ac:dyDescent="0.4">
      <c r="A871" s="5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23"/>
      <c r="Y871" s="23"/>
      <c r="Z871" s="5"/>
      <c r="AA871" s="5"/>
      <c r="AB871" s="5"/>
      <c r="AC871" s="5"/>
      <c r="AD871" s="5"/>
      <c r="AE871" s="5"/>
      <c r="AF871" s="5"/>
      <c r="AG871" s="5"/>
    </row>
    <row r="872" spans="1:33" s="24" customFormat="1" x14ac:dyDescent="0.4">
      <c r="A872" s="5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23"/>
      <c r="Y872" s="23"/>
      <c r="Z872" s="5"/>
      <c r="AA872" s="5"/>
      <c r="AB872" s="5"/>
      <c r="AC872" s="5"/>
      <c r="AD872" s="5"/>
      <c r="AE872" s="5"/>
      <c r="AF872" s="5"/>
      <c r="AG872" s="5"/>
    </row>
    <row r="873" spans="1:33" s="24" customFormat="1" x14ac:dyDescent="0.4">
      <c r="A873" s="5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23"/>
      <c r="Y873" s="23"/>
      <c r="Z873" s="5"/>
      <c r="AA873" s="5"/>
      <c r="AB873" s="5"/>
      <c r="AC873" s="5"/>
      <c r="AD873" s="5"/>
      <c r="AE873" s="5"/>
      <c r="AF873" s="5"/>
      <c r="AG873" s="5"/>
    </row>
    <row r="874" spans="1:33" s="24" customFormat="1" x14ac:dyDescent="0.4">
      <c r="A874" s="5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3"/>
      <c r="Y874" s="23"/>
      <c r="Z874" s="5"/>
      <c r="AA874" s="5"/>
      <c r="AB874" s="5"/>
      <c r="AC874" s="5"/>
      <c r="AD874" s="5"/>
      <c r="AE874" s="5"/>
      <c r="AF874" s="5"/>
      <c r="AG874" s="5"/>
    </row>
    <row r="875" spans="1:33" s="24" customFormat="1" x14ac:dyDescent="0.4">
      <c r="A875" s="5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3"/>
      <c r="Y875" s="23"/>
      <c r="Z875" s="5"/>
      <c r="AA875" s="5"/>
      <c r="AB875" s="5"/>
      <c r="AC875" s="5"/>
      <c r="AD875" s="5"/>
      <c r="AE875" s="5"/>
      <c r="AF875" s="5"/>
      <c r="AG875" s="5"/>
    </row>
    <row r="876" spans="1:33" s="24" customFormat="1" x14ac:dyDescent="0.4">
      <c r="A876" s="5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3"/>
      <c r="Y876" s="23"/>
      <c r="Z876" s="5"/>
      <c r="AA876" s="5"/>
      <c r="AB876" s="5"/>
      <c r="AC876" s="5"/>
      <c r="AD876" s="5"/>
      <c r="AE876" s="5"/>
      <c r="AF876" s="5"/>
      <c r="AG876" s="5"/>
    </row>
    <row r="877" spans="1:33" s="24" customFormat="1" x14ac:dyDescent="0.4">
      <c r="A877" s="5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3"/>
      <c r="Y877" s="23"/>
      <c r="Z877" s="5"/>
      <c r="AA877" s="5"/>
      <c r="AB877" s="5"/>
      <c r="AC877" s="5"/>
      <c r="AD877" s="5"/>
      <c r="AE877" s="5"/>
      <c r="AF877" s="5"/>
      <c r="AG877" s="5"/>
    </row>
    <row r="878" spans="1:33" s="24" customFormat="1" x14ac:dyDescent="0.4">
      <c r="A878" s="5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3"/>
      <c r="Y878" s="23"/>
      <c r="Z878" s="5"/>
      <c r="AA878" s="5"/>
      <c r="AB878" s="5"/>
      <c r="AC878" s="5"/>
      <c r="AD878" s="5"/>
      <c r="AE878" s="5"/>
      <c r="AF878" s="5"/>
      <c r="AG878" s="5"/>
    </row>
    <row r="879" spans="1:33" s="24" customFormat="1" x14ac:dyDescent="0.4">
      <c r="A879" s="5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23"/>
      <c r="Y879" s="23"/>
      <c r="Z879" s="5"/>
      <c r="AA879" s="5"/>
      <c r="AB879" s="5"/>
      <c r="AC879" s="5"/>
      <c r="AD879" s="5"/>
      <c r="AE879" s="5"/>
      <c r="AF879" s="5"/>
      <c r="AG879" s="5"/>
    </row>
    <row r="880" spans="1:33" s="24" customFormat="1" x14ac:dyDescent="0.4">
      <c r="A880" s="5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23"/>
      <c r="Y880" s="23"/>
      <c r="Z880" s="5"/>
      <c r="AA880" s="5"/>
      <c r="AB880" s="5"/>
      <c r="AC880" s="5"/>
      <c r="AD880" s="5"/>
      <c r="AE880" s="5"/>
      <c r="AF880" s="5"/>
      <c r="AG880" s="5"/>
    </row>
    <row r="881" spans="1:35" s="24" customFormat="1" x14ac:dyDescent="0.4">
      <c r="A881" s="5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23"/>
      <c r="Y881" s="23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spans="1:35" s="24" customFormat="1" x14ac:dyDescent="0.4">
      <c r="A882" s="5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3"/>
      <c r="Y882" s="23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spans="1:35" s="24" customFormat="1" x14ac:dyDescent="0.4">
      <c r="A883" s="5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23"/>
      <c r="Y883" s="23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5" s="24" customFormat="1" x14ac:dyDescent="0.4">
      <c r="A884" s="5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3"/>
      <c r="Y884" s="23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spans="1:35" s="24" customFormat="1" x14ac:dyDescent="0.4">
      <c r="A885" s="5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23"/>
      <c r="Y885" s="23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spans="1:35" s="24" customFormat="1" x14ac:dyDescent="0.4">
      <c r="A886" s="5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23"/>
      <c r="Y886" s="23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spans="1:35" s="24" customFormat="1" x14ac:dyDescent="0.4">
      <c r="A887" s="5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23"/>
      <c r="Y887" s="23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spans="1:35" s="24" customFormat="1" x14ac:dyDescent="0.4">
      <c r="A888" s="5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3"/>
      <c r="Y888" s="23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 s="24" customFormat="1" x14ac:dyDescent="0.4">
      <c r="A889" s="5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3"/>
      <c r="Y889" s="23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 s="24" customFormat="1" x14ac:dyDescent="0.4">
      <c r="A890" s="5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3"/>
      <c r="Y890" s="23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 s="24" customFormat="1" x14ac:dyDescent="0.4">
      <c r="A891" s="5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23"/>
      <c r="Y891" s="23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 s="24" customFormat="1" x14ac:dyDescent="0.4">
      <c r="A892" s="5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3"/>
      <c r="Y892" s="23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 s="24" customFormat="1" x14ac:dyDescent="0.4">
      <c r="A893" s="5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23"/>
      <c r="Y893" s="23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 s="24" customFormat="1" x14ac:dyDescent="0.4">
      <c r="A894" s="5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3"/>
      <c r="Y894" s="23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 s="24" customFormat="1" x14ac:dyDescent="0.4">
      <c r="A895" s="5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23"/>
      <c r="Y895" s="23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 s="24" customFormat="1" x14ac:dyDescent="0.4">
      <c r="A896" s="5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23"/>
      <c r="Y896" s="23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7" s="24" customFormat="1" x14ac:dyDescent="0.4">
      <c r="A897" s="5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23"/>
      <c r="Y897" s="23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7" s="24" customFormat="1" x14ac:dyDescent="0.4">
      <c r="A898" s="5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3"/>
      <c r="Y898" s="23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7" s="24" customFormat="1" x14ac:dyDescent="0.4">
      <c r="A899" s="5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3"/>
      <c r="Y899" s="23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7" s="24" customFormat="1" x14ac:dyDescent="0.4">
      <c r="A900" s="5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23"/>
      <c r="Y900" s="23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7" s="24" customFormat="1" x14ac:dyDescent="0.4">
      <c r="A901" s="5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23"/>
      <c r="Y901" s="23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7" s="24" customFormat="1" x14ac:dyDescent="0.4">
      <c r="A902" s="5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23"/>
      <c r="Y902" s="23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7" s="24" customFormat="1" x14ac:dyDescent="0.4">
      <c r="A903" s="5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23"/>
      <c r="Y903" s="23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7" s="24" customFormat="1" x14ac:dyDescent="0.4">
      <c r="A904" s="5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3"/>
      <c r="Y904" s="23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7" s="24" customFormat="1" x14ac:dyDescent="0.4">
      <c r="A905" s="5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23"/>
      <c r="Y905" s="23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7" s="24" customFormat="1" x14ac:dyDescent="0.4">
      <c r="A906" s="5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23"/>
      <c r="Y906" s="23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7" s="24" customFormat="1" x14ac:dyDescent="0.4">
      <c r="A907" s="5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23"/>
      <c r="Y907" s="23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7" s="24" customFormat="1" x14ac:dyDescent="0.4">
      <c r="A908" s="5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23"/>
      <c r="Y908" s="23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s="24" customFormat="1" x14ac:dyDescent="0.4">
      <c r="A909" s="5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3"/>
      <c r="Y909" s="23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s="24" customFormat="1" x14ac:dyDescent="0.4">
      <c r="A910" s="5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3"/>
      <c r="Y910" s="23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s="24" customFormat="1" x14ac:dyDescent="0.4">
      <c r="A911" s="5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3"/>
      <c r="Y911" s="23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s="24" customFormat="1" x14ac:dyDescent="0.4">
      <c r="A912" s="5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3"/>
      <c r="Y912" s="23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s="24" customFormat="1" x14ac:dyDescent="0.4">
      <c r="A913" s="5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23"/>
      <c r="Y913" s="23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spans="1:37" s="24" customFormat="1" x14ac:dyDescent="0.4">
      <c r="A914" s="5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23"/>
      <c r="Y914" s="23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s="24" customFormat="1" x14ac:dyDescent="0.4">
      <c r="A915" s="5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3"/>
      <c r="Y915" s="23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s="24" customFormat="1" x14ac:dyDescent="0.4">
      <c r="A916" s="5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23"/>
      <c r="Y916" s="23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s="24" customFormat="1" x14ac:dyDescent="0.4">
      <c r="A917" s="5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3"/>
      <c r="Y917" s="23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s="24" customFormat="1" x14ac:dyDescent="0.4">
      <c r="A918" s="5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3"/>
      <c r="Y918" s="23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s="24" customFormat="1" x14ac:dyDescent="0.4">
      <c r="A919" s="5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23"/>
      <c r="Y919" s="23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s="24" customFormat="1" x14ac:dyDescent="0.4">
      <c r="A920" s="5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23"/>
      <c r="Y920" s="23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s="24" customFormat="1" x14ac:dyDescent="0.4">
      <c r="A921" s="5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23"/>
      <c r="Y921" s="23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s="24" customFormat="1" x14ac:dyDescent="0.4">
      <c r="A922" s="5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23"/>
      <c r="Y922" s="23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s="24" customFormat="1" x14ac:dyDescent="0.4">
      <c r="A923" s="5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23"/>
      <c r="Y923" s="23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s="24" customFormat="1" x14ac:dyDescent="0.4">
      <c r="A924" s="5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23"/>
      <c r="Y924" s="23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s="24" customFormat="1" x14ac:dyDescent="0.4">
      <c r="A925" s="5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23"/>
      <c r="Y925" s="23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s="24" customFormat="1" x14ac:dyDescent="0.4">
      <c r="A926" s="5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23"/>
      <c r="Y926" s="23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s="24" customFormat="1" x14ac:dyDescent="0.4">
      <c r="A927" s="5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23"/>
      <c r="Y927" s="23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s="24" customFormat="1" x14ac:dyDescent="0.4">
      <c r="A928" s="5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3"/>
      <c r="Y928" s="23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s="24" customFormat="1" x14ac:dyDescent="0.4">
      <c r="A929" s="5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3"/>
      <c r="Y929" s="23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s="24" customFormat="1" x14ac:dyDescent="0.4">
      <c r="A930" s="5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23"/>
      <c r="Y930" s="23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s="24" customFormat="1" x14ac:dyDescent="0.4">
      <c r="A931" s="5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23"/>
      <c r="Y931" s="23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s="24" customFormat="1" x14ac:dyDescent="0.4">
      <c r="A932" s="5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23"/>
      <c r="Y932" s="23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s="24" customFormat="1" x14ac:dyDescent="0.4">
      <c r="A933" s="5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23"/>
      <c r="Y933" s="23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s="24" customFormat="1" x14ac:dyDescent="0.4">
      <c r="A934" s="5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23"/>
      <c r="Y934" s="23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s="24" customFormat="1" x14ac:dyDescent="0.4">
      <c r="A935" s="5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23"/>
      <c r="Y935" s="23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s="24" customFormat="1" x14ac:dyDescent="0.4">
      <c r="A936" s="5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23"/>
      <c r="Y936" s="23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s="24" customFormat="1" x14ac:dyDescent="0.4">
      <c r="A937" s="5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23"/>
      <c r="Y937" s="23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s="24" customFormat="1" x14ac:dyDescent="0.4">
      <c r="A938" s="5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23"/>
      <c r="Y938" s="23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s="24" customFormat="1" x14ac:dyDescent="0.4">
      <c r="A939" s="5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23"/>
      <c r="Y939" s="23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s="24" customFormat="1" x14ac:dyDescent="0.4">
      <c r="A940" s="5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23"/>
      <c r="Y940" s="23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s="24" customFormat="1" x14ac:dyDescent="0.4">
      <c r="A941" s="5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23"/>
      <c r="Y941" s="23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s="24" customFormat="1" x14ac:dyDescent="0.4">
      <c r="A942" s="5"/>
      <c r="B942" s="4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23"/>
      <c r="Y942" s="23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s="24" customFormat="1" x14ac:dyDescent="0.4">
      <c r="A943" s="5"/>
      <c r="B943" s="4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23"/>
      <c r="Y943" s="23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s="24" customFormat="1" x14ac:dyDescent="0.4">
      <c r="A944" s="5"/>
      <c r="B944" s="4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23"/>
      <c r="Y944" s="23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s="24" customFormat="1" x14ac:dyDescent="0.4">
      <c r="A945" s="5"/>
      <c r="B945" s="4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23"/>
      <c r="Y945" s="23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s="24" customFormat="1" x14ac:dyDescent="0.4">
      <c r="A946" s="5"/>
      <c r="B946" s="4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23"/>
      <c r="Y946" s="23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s="24" customFormat="1" x14ac:dyDescent="0.4">
      <c r="A947" s="5"/>
      <c r="B947" s="4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23"/>
      <c r="Y947" s="23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s="24" customFormat="1" x14ac:dyDescent="0.4">
      <c r="A948" s="5"/>
      <c r="B948" s="4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23"/>
      <c r="Y948" s="23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s="24" customFormat="1" x14ac:dyDescent="0.4">
      <c r="A949" s="5"/>
      <c r="B949" s="4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23"/>
      <c r="Y949" s="23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s="24" customFormat="1" x14ac:dyDescent="0.4">
      <c r="A950" s="5"/>
      <c r="B950" s="4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23"/>
      <c r="Y950" s="23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s="24" customFormat="1" x14ac:dyDescent="0.4">
      <c r="A951" s="5"/>
      <c r="B951" s="4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23"/>
      <c r="Y951" s="23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s="24" customFormat="1" x14ac:dyDescent="0.4">
      <c r="A952" s="5"/>
      <c r="B952" s="4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23"/>
      <c r="Y952" s="23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s="24" customFormat="1" x14ac:dyDescent="0.4">
      <c r="A953" s="5"/>
      <c r="B953" s="4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23"/>
      <c r="Y953" s="23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s="24" customFormat="1" x14ac:dyDescent="0.4">
      <c r="A954" s="5"/>
      <c r="B954" s="4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23"/>
      <c r="Y954" s="23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s="24" customFormat="1" x14ac:dyDescent="0.4">
      <c r="A955" s="5"/>
      <c r="B955" s="4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23"/>
      <c r="Y955" s="23"/>
      <c r="Z955" s="5"/>
      <c r="AA955" s="5"/>
      <c r="AB955" s="5"/>
      <c r="AC955" s="5"/>
      <c r="AD955" s="5"/>
      <c r="AE955" s="25"/>
      <c r="AF955" s="5"/>
      <c r="AG955" s="5"/>
      <c r="AH955" s="5"/>
      <c r="AI955" s="5"/>
      <c r="AJ955" s="5"/>
      <c r="AK955" s="5"/>
    </row>
    <row r="956" spans="1:37" s="24" customFormat="1" x14ac:dyDescent="0.4">
      <c r="A956" s="5"/>
      <c r="B956" s="4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23"/>
      <c r="Y956" s="23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s="24" customFormat="1" x14ac:dyDescent="0.4">
      <c r="A957" s="5"/>
      <c r="B957" s="4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23"/>
      <c r="Y957" s="23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 s="24" customFormat="1" x14ac:dyDescent="0.4">
      <c r="A958" s="5"/>
      <c r="B958" s="4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23"/>
      <c r="Y958" s="23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 s="24" customFormat="1" x14ac:dyDescent="0.4">
      <c r="A959" s="5"/>
      <c r="B959" s="4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23"/>
      <c r="Y959" s="23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 s="24" customFormat="1" x14ac:dyDescent="0.4">
      <c r="A960" s="5"/>
      <c r="B960" s="4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23"/>
      <c r="Y960" s="23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 s="24" customFormat="1" x14ac:dyDescent="0.4">
      <c r="A961" s="5"/>
      <c r="B961" s="4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23"/>
      <c r="Y961" s="23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 s="24" customFormat="1" x14ac:dyDescent="0.4">
      <c r="A962" s="5"/>
      <c r="B962" s="4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23"/>
      <c r="Y962" s="23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 spans="1:37" s="24" customFormat="1" x14ac:dyDescent="0.4">
      <c r="A963" s="5"/>
      <c r="B963" s="4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23"/>
      <c r="Y963" s="23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 s="24" customFormat="1" x14ac:dyDescent="0.4">
      <c r="A964" s="5"/>
      <c r="B964" s="4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23"/>
      <c r="Y964" s="23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 s="24" customFormat="1" x14ac:dyDescent="0.4">
      <c r="A965" s="5"/>
      <c r="B965" s="4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23"/>
      <c r="Y965" s="23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 s="24" customFormat="1" x14ac:dyDescent="0.4">
      <c r="A966" s="5"/>
      <c r="B966" s="4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23"/>
      <c r="Y966" s="23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 s="24" customFormat="1" x14ac:dyDescent="0.4">
      <c r="A967" s="5"/>
      <c r="B967" s="4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23"/>
      <c r="Y967" s="23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 s="24" customFormat="1" x14ac:dyDescent="0.4">
      <c r="A968" s="5"/>
      <c r="B968" s="4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23"/>
      <c r="Y968" s="23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 s="24" customFormat="1" x14ac:dyDescent="0.4">
      <c r="A969" s="5"/>
      <c r="B969" s="4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23"/>
      <c r="Y969" s="23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 s="24" customFormat="1" x14ac:dyDescent="0.4">
      <c r="A970" s="5"/>
      <c r="B970" s="4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23"/>
      <c r="Y970" s="23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 spans="1:37" s="24" customFormat="1" x14ac:dyDescent="0.4">
      <c r="A971" s="5"/>
      <c r="B971" s="4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23"/>
      <c r="Y971" s="23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 s="24" customFormat="1" x14ac:dyDescent="0.4">
      <c r="A972" s="5"/>
      <c r="B972" s="4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23"/>
      <c r="Y972" s="23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 spans="1:37" s="24" customFormat="1" x14ac:dyDescent="0.4">
      <c r="A973" s="5"/>
      <c r="B973" s="4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23"/>
      <c r="Y973" s="23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 s="24" customFormat="1" x14ac:dyDescent="0.4">
      <c r="A974" s="5"/>
      <c r="B974" s="4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23"/>
      <c r="Y974" s="23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 s="24" customFormat="1" x14ac:dyDescent="0.4">
      <c r="A975" s="5"/>
      <c r="B975" s="4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23"/>
      <c r="Y975" s="23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 s="24" customFormat="1" x14ac:dyDescent="0.4">
      <c r="A976" s="5"/>
      <c r="B976" s="4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23"/>
      <c r="Y976" s="23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 s="24" customFormat="1" x14ac:dyDescent="0.4">
      <c r="A977" s="5"/>
      <c r="B977" s="4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23"/>
      <c r="Y977" s="23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 s="24" customFormat="1" x14ac:dyDescent="0.4">
      <c r="A978" s="5"/>
      <c r="B978" s="4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23"/>
      <c r="Y978" s="23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 s="24" customFormat="1" x14ac:dyDescent="0.4">
      <c r="A979" s="5"/>
      <c r="B979" s="4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23"/>
      <c r="Y979" s="23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 s="24" customFormat="1" x14ac:dyDescent="0.4">
      <c r="A980" s="5"/>
      <c r="B980" s="4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23"/>
      <c r="Y980" s="23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 s="24" customFormat="1" x14ac:dyDescent="0.4">
      <c r="A981" s="5"/>
      <c r="B981" s="4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23"/>
      <c r="Y981" s="23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1216" spans="32:33" x14ac:dyDescent="0.4">
      <c r="AF1216" s="25"/>
      <c r="AG1216" s="25"/>
    </row>
    <row r="1217" ht="13.2" customHeight="1" x14ac:dyDescent="0.4"/>
    <row r="1253" spans="34:35" x14ac:dyDescent="0.4">
      <c r="AH1253" s="25"/>
      <c r="AI1253" s="25"/>
    </row>
    <row r="1280" spans="36:37" x14ac:dyDescent="0.4">
      <c r="AJ1280" s="25"/>
      <c r="AK1280" s="25"/>
    </row>
    <row r="1354" spans="1:37" s="25" customFormat="1" x14ac:dyDescent="0.4">
      <c r="A1354" s="5"/>
      <c r="B1354" s="4"/>
      <c r="C1354" s="4"/>
      <c r="D1354" s="4"/>
      <c r="E1354" s="4"/>
      <c r="F1354" s="4"/>
      <c r="G1354" s="4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23"/>
      <c r="Y1354" s="23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</row>
  </sheetData>
  <mergeCells count="510">
    <mergeCell ref="A92:A93"/>
    <mergeCell ref="X93:Y93"/>
    <mergeCell ref="X94:Y94"/>
    <mergeCell ref="X95:Y95"/>
    <mergeCell ref="X96:Y96"/>
    <mergeCell ref="X97:Y97"/>
    <mergeCell ref="F87:N87"/>
    <mergeCell ref="F88:N88"/>
    <mergeCell ref="F89:N89"/>
    <mergeCell ref="F90:N90"/>
    <mergeCell ref="O87:V87"/>
    <mergeCell ref="O88:V88"/>
    <mergeCell ref="O89:V89"/>
    <mergeCell ref="O90:V90"/>
    <mergeCell ref="X87:Y87"/>
    <mergeCell ref="X88:Y88"/>
    <mergeCell ref="X89:Y89"/>
    <mergeCell ref="X90:Y90"/>
    <mergeCell ref="X98:Y98"/>
    <mergeCell ref="B98:B100"/>
    <mergeCell ref="A98:A100"/>
    <mergeCell ref="F91:N91"/>
    <mergeCell ref="F92:N92"/>
    <mergeCell ref="O91:V91"/>
    <mergeCell ref="O92:V92"/>
    <mergeCell ref="F93:N93"/>
    <mergeCell ref="F94:N94"/>
    <mergeCell ref="F95:N95"/>
    <mergeCell ref="F96:N96"/>
    <mergeCell ref="F97:N97"/>
    <mergeCell ref="F98:N98"/>
    <mergeCell ref="O93:V93"/>
    <mergeCell ref="O94:V94"/>
    <mergeCell ref="O95:V95"/>
    <mergeCell ref="O96:V96"/>
    <mergeCell ref="O97:V97"/>
    <mergeCell ref="O98:V98"/>
    <mergeCell ref="X99:Y99"/>
    <mergeCell ref="X100:Y100"/>
    <mergeCell ref="X91:Y91"/>
    <mergeCell ref="X92:Y92"/>
    <mergeCell ref="B92:B93"/>
    <mergeCell ref="B105:B106"/>
    <mergeCell ref="A105:A106"/>
    <mergeCell ref="O99:V99"/>
    <mergeCell ref="O100:V100"/>
    <mergeCell ref="O101:V101"/>
    <mergeCell ref="O102:V102"/>
    <mergeCell ref="O103:V103"/>
    <mergeCell ref="O104:V104"/>
    <mergeCell ref="O105:V105"/>
    <mergeCell ref="O106:V106"/>
    <mergeCell ref="B101:B104"/>
    <mergeCell ref="A101:A104"/>
    <mergeCell ref="F99:N99"/>
    <mergeCell ref="F100:N100"/>
    <mergeCell ref="F101:N101"/>
    <mergeCell ref="F102:N102"/>
    <mergeCell ref="F103:N103"/>
    <mergeCell ref="F104:N104"/>
    <mergeCell ref="F105:N105"/>
    <mergeCell ref="F106:N106"/>
    <mergeCell ref="X101:Y101"/>
    <mergeCell ref="X102:Y102"/>
    <mergeCell ref="X103:Y103"/>
    <mergeCell ref="X104:Y104"/>
    <mergeCell ref="X105:Y105"/>
    <mergeCell ref="X106:Y106"/>
    <mergeCell ref="O128:V128"/>
    <mergeCell ref="O129:V129"/>
    <mergeCell ref="O130:V130"/>
    <mergeCell ref="X128:Y128"/>
    <mergeCell ref="X129:Y129"/>
    <mergeCell ref="X130:Y130"/>
    <mergeCell ref="O115:V115"/>
    <mergeCell ref="O116:V116"/>
    <mergeCell ref="O117:V117"/>
    <mergeCell ref="O118:V118"/>
    <mergeCell ref="O119:V119"/>
    <mergeCell ref="O120:V120"/>
    <mergeCell ref="O121:V121"/>
    <mergeCell ref="X118:Y118"/>
    <mergeCell ref="X119:Y119"/>
    <mergeCell ref="X120:Y120"/>
    <mergeCell ref="X121:Y121"/>
    <mergeCell ref="A129:A131"/>
    <mergeCell ref="B129:B131"/>
    <mergeCell ref="A126:A128"/>
    <mergeCell ref="B126:B128"/>
    <mergeCell ref="C126:C128"/>
    <mergeCell ref="A135:A139"/>
    <mergeCell ref="B135:B139"/>
    <mergeCell ref="C135:C139"/>
    <mergeCell ref="A132:A134"/>
    <mergeCell ref="B132:B134"/>
    <mergeCell ref="C132:C134"/>
    <mergeCell ref="C129:C131"/>
    <mergeCell ref="F135:N135"/>
    <mergeCell ref="F136:N136"/>
    <mergeCell ref="F138:N138"/>
    <mergeCell ref="F137:N137"/>
    <mergeCell ref="F128:N128"/>
    <mergeCell ref="F129:N129"/>
    <mergeCell ref="F130:N130"/>
    <mergeCell ref="F83:N83"/>
    <mergeCell ref="F139:N139"/>
    <mergeCell ref="F120:N120"/>
    <mergeCell ref="F121:N121"/>
    <mergeCell ref="F123:N123"/>
    <mergeCell ref="F124:N124"/>
    <mergeCell ref="F125:N125"/>
    <mergeCell ref="F126:N126"/>
    <mergeCell ref="F127:N127"/>
    <mergeCell ref="F131:N131"/>
    <mergeCell ref="F132:N132"/>
    <mergeCell ref="F133:N133"/>
    <mergeCell ref="F134:N134"/>
    <mergeCell ref="O139:V139"/>
    <mergeCell ref="O85:V85"/>
    <mergeCell ref="F84:N84"/>
    <mergeCell ref="O84:V84"/>
    <mergeCell ref="O138:V138"/>
    <mergeCell ref="O137:V137"/>
    <mergeCell ref="O136:V136"/>
    <mergeCell ref="O135:V135"/>
    <mergeCell ref="O134:V134"/>
    <mergeCell ref="O133:V133"/>
    <mergeCell ref="O132:V132"/>
    <mergeCell ref="O131:V131"/>
    <mergeCell ref="F122:N122"/>
    <mergeCell ref="O127:V127"/>
    <mergeCell ref="O123:V123"/>
    <mergeCell ref="O124:V124"/>
    <mergeCell ref="O125:V125"/>
    <mergeCell ref="O126:V126"/>
    <mergeCell ref="O122:V122"/>
    <mergeCell ref="F115:N115"/>
    <mergeCell ref="F116:N116"/>
    <mergeCell ref="F117:N117"/>
    <mergeCell ref="F118:N118"/>
    <mergeCell ref="F119:N119"/>
    <mergeCell ref="Z139:AA139"/>
    <mergeCell ref="AC139:AD139"/>
    <mergeCell ref="AE139:AH139"/>
    <mergeCell ref="AE57:AH57"/>
    <mergeCell ref="AE74:AH74"/>
    <mergeCell ref="F75:N75"/>
    <mergeCell ref="F73:N73"/>
    <mergeCell ref="Z73:AA73"/>
    <mergeCell ref="O73:V73"/>
    <mergeCell ref="X73:Y73"/>
    <mergeCell ref="F74:N74"/>
    <mergeCell ref="O74:V74"/>
    <mergeCell ref="X74:Y74"/>
    <mergeCell ref="Z74:AA74"/>
    <mergeCell ref="AC74:AD74"/>
    <mergeCell ref="AC73:AD73"/>
    <mergeCell ref="AE73:AH73"/>
    <mergeCell ref="AE71:AH71"/>
    <mergeCell ref="F72:N72"/>
    <mergeCell ref="O72:V72"/>
    <mergeCell ref="X72:Y72"/>
    <mergeCell ref="X139:Y139"/>
    <mergeCell ref="F85:N85"/>
    <mergeCell ref="AC82:AD82"/>
    <mergeCell ref="Z83:AA83"/>
    <mergeCell ref="AC83:AD83"/>
    <mergeCell ref="AE83:AH83"/>
    <mergeCell ref="Z84:AA84"/>
    <mergeCell ref="AC84:AD84"/>
    <mergeCell ref="AE84:AH84"/>
    <mergeCell ref="X138:Y138"/>
    <mergeCell ref="X137:Y137"/>
    <mergeCell ref="X136:Y136"/>
    <mergeCell ref="X135:Y135"/>
    <mergeCell ref="X134:Y134"/>
    <mergeCell ref="X133:Y133"/>
    <mergeCell ref="X132:Y132"/>
    <mergeCell ref="X131:Y131"/>
    <mergeCell ref="X122:Y122"/>
    <mergeCell ref="X84:Y84"/>
    <mergeCell ref="X123:Y123"/>
    <mergeCell ref="X124:Y124"/>
    <mergeCell ref="X125:Y125"/>
    <mergeCell ref="X126:Y126"/>
    <mergeCell ref="X127:Y127"/>
    <mergeCell ref="X115:Y115"/>
    <mergeCell ref="X116:Y116"/>
    <mergeCell ref="X117:Y117"/>
    <mergeCell ref="AE82:AH82"/>
    <mergeCell ref="O80:V80"/>
    <mergeCell ref="F81:N81"/>
    <mergeCell ref="A24:B24"/>
    <mergeCell ref="A37:B37"/>
    <mergeCell ref="O83:V83"/>
    <mergeCell ref="X83:Y83"/>
    <mergeCell ref="O75:V75"/>
    <mergeCell ref="X75:Y75"/>
    <mergeCell ref="X76:Y76"/>
    <mergeCell ref="F69:N69"/>
    <mergeCell ref="O69:V69"/>
    <mergeCell ref="X69:Y69"/>
    <mergeCell ref="F66:N66"/>
    <mergeCell ref="F65:N65"/>
    <mergeCell ref="O65:V65"/>
    <mergeCell ref="F79:N79"/>
    <mergeCell ref="F82:N82"/>
    <mergeCell ref="F77:N77"/>
    <mergeCell ref="O77:V77"/>
    <mergeCell ref="X77:Y77"/>
    <mergeCell ref="Z77:AA77"/>
    <mergeCell ref="AC77:AD77"/>
    <mergeCell ref="AE77:AH77"/>
    <mergeCell ref="AI24:AJ24"/>
    <mergeCell ref="AJ21:AJ23"/>
    <mergeCell ref="X85:Y85"/>
    <mergeCell ref="Z82:AA82"/>
    <mergeCell ref="O82:V82"/>
    <mergeCell ref="O81:V81"/>
    <mergeCell ref="X81:Y81"/>
    <mergeCell ref="Z81:AA81"/>
    <mergeCell ref="AC81:AD81"/>
    <mergeCell ref="AE81:AH81"/>
    <mergeCell ref="AC85:AD85"/>
    <mergeCell ref="AE85:AH85"/>
    <mergeCell ref="AE72:AH72"/>
    <mergeCell ref="X80:Y80"/>
    <mergeCell ref="Z80:AA80"/>
    <mergeCell ref="AC80:AD80"/>
    <mergeCell ref="AE80:AH80"/>
    <mergeCell ref="X79:Y79"/>
    <mergeCell ref="AH21:AH23"/>
    <mergeCell ref="O57:V57"/>
    <mergeCell ref="X57:Y57"/>
    <mergeCell ref="Z72:AA72"/>
    <mergeCell ref="AC72:AD72"/>
    <mergeCell ref="AE66:AH66"/>
    <mergeCell ref="F78:N78"/>
    <mergeCell ref="O78:V78"/>
    <mergeCell ref="X78:Y78"/>
    <mergeCell ref="Z78:AA78"/>
    <mergeCell ref="AC78:AD78"/>
    <mergeCell ref="AE78:AH78"/>
    <mergeCell ref="Z79:AA79"/>
    <mergeCell ref="O79:V79"/>
    <mergeCell ref="F80:N80"/>
    <mergeCell ref="AC79:AD79"/>
    <mergeCell ref="AE79:AH79"/>
    <mergeCell ref="F76:N76"/>
    <mergeCell ref="Z75:AA75"/>
    <mergeCell ref="AC75:AD75"/>
    <mergeCell ref="AE75:AH75"/>
    <mergeCell ref="Z69:AA69"/>
    <mergeCell ref="AC69:AD69"/>
    <mergeCell ref="AE69:AH69"/>
    <mergeCell ref="F68:N68"/>
    <mergeCell ref="Z70:AA70"/>
    <mergeCell ref="O70:V70"/>
    <mergeCell ref="F70:N70"/>
    <mergeCell ref="X70:Y70"/>
    <mergeCell ref="F71:N71"/>
    <mergeCell ref="O71:V71"/>
    <mergeCell ref="X71:Y71"/>
    <mergeCell ref="Z71:AA71"/>
    <mergeCell ref="AC71:AD71"/>
    <mergeCell ref="O68:V68"/>
    <mergeCell ref="X68:Y68"/>
    <mergeCell ref="Z68:AA68"/>
    <mergeCell ref="F67:N67"/>
    <mergeCell ref="O67:V67"/>
    <mergeCell ref="X67:Y67"/>
    <mergeCell ref="Z67:AA67"/>
    <mergeCell ref="AC67:AD67"/>
    <mergeCell ref="AE67:AH67"/>
    <mergeCell ref="AE61:AH61"/>
    <mergeCell ref="X65:Y65"/>
    <mergeCell ref="Z65:AA65"/>
    <mergeCell ref="AC65:AD65"/>
    <mergeCell ref="AE65:AH65"/>
    <mergeCell ref="F64:N64"/>
    <mergeCell ref="F63:N63"/>
    <mergeCell ref="O63:V63"/>
    <mergeCell ref="X63:Y63"/>
    <mergeCell ref="Z63:AA63"/>
    <mergeCell ref="AC63:AD63"/>
    <mergeCell ref="AE63:AH63"/>
    <mergeCell ref="AE62:AH62"/>
    <mergeCell ref="AC62:AD62"/>
    <mergeCell ref="O66:V66"/>
    <mergeCell ref="X66:Y66"/>
    <mergeCell ref="Z66:AA66"/>
    <mergeCell ref="AC66:AD66"/>
    <mergeCell ref="O60:V60"/>
    <mergeCell ref="X60:Y60"/>
    <mergeCell ref="Z60:AA60"/>
    <mergeCell ref="AC60:AD60"/>
    <mergeCell ref="AE60:AH60"/>
    <mergeCell ref="O58:V58"/>
    <mergeCell ref="X58:Y58"/>
    <mergeCell ref="Z58:AA58"/>
    <mergeCell ref="AE64:AH64"/>
    <mergeCell ref="AC61:AD61"/>
    <mergeCell ref="AC64:AD64"/>
    <mergeCell ref="X64:Y64"/>
    <mergeCell ref="Z64:AA64"/>
    <mergeCell ref="O62:V62"/>
    <mergeCell ref="O64:V64"/>
    <mergeCell ref="AE55:AH55"/>
    <mergeCell ref="Z56:AA56"/>
    <mergeCell ref="AC56:AD56"/>
    <mergeCell ref="AE56:AH56"/>
    <mergeCell ref="X54:Y54"/>
    <mergeCell ref="Z54:AA54"/>
    <mergeCell ref="O59:V59"/>
    <mergeCell ref="X59:Y59"/>
    <mergeCell ref="Z59:AA59"/>
    <mergeCell ref="AC59:AD59"/>
    <mergeCell ref="AE59:AH59"/>
    <mergeCell ref="AC58:AD58"/>
    <mergeCell ref="AE44:AH44"/>
    <mergeCell ref="F45:N45"/>
    <mergeCell ref="O45:V45"/>
    <mergeCell ref="AE51:AH51"/>
    <mergeCell ref="O51:V51"/>
    <mergeCell ref="X51:Y51"/>
    <mergeCell ref="O43:V43"/>
    <mergeCell ref="X43:Y43"/>
    <mergeCell ref="Z43:AA43"/>
    <mergeCell ref="AC43:AD43"/>
    <mergeCell ref="AE43:AH43"/>
    <mergeCell ref="X45:Y45"/>
    <mergeCell ref="Z45:AA45"/>
    <mergeCell ref="AC45:AD45"/>
    <mergeCell ref="AE45:AH45"/>
    <mergeCell ref="O44:V44"/>
    <mergeCell ref="O50:V50"/>
    <mergeCell ref="X50:Y50"/>
    <mergeCell ref="AE50:AH50"/>
    <mergeCell ref="O48:V48"/>
    <mergeCell ref="X46:Y46"/>
    <mergeCell ref="Z46:AA46"/>
    <mergeCell ref="AC46:AD46"/>
    <mergeCell ref="AE46:AH46"/>
    <mergeCell ref="AC53:AD53"/>
    <mergeCell ref="O42:V42"/>
    <mergeCell ref="X42:Y42"/>
    <mergeCell ref="Z42:AA42"/>
    <mergeCell ref="AC42:AD42"/>
    <mergeCell ref="O55:V55"/>
    <mergeCell ref="X55:Y55"/>
    <mergeCell ref="Z55:AA55"/>
    <mergeCell ref="AC55:AD55"/>
    <mergeCell ref="X47:Y47"/>
    <mergeCell ref="Z47:AA47"/>
    <mergeCell ref="AC47:AD47"/>
    <mergeCell ref="O46:V46"/>
    <mergeCell ref="AE47:AH47"/>
    <mergeCell ref="O47:V47"/>
    <mergeCell ref="O52:V52"/>
    <mergeCell ref="X52:Y52"/>
    <mergeCell ref="Z52:AA52"/>
    <mergeCell ref="AC52:AD52"/>
    <mergeCell ref="AE52:AH52"/>
    <mergeCell ref="X48:Y48"/>
    <mergeCell ref="Z48:AA48"/>
    <mergeCell ref="AC48:AD48"/>
    <mergeCell ref="AE40:AH41"/>
    <mergeCell ref="AC70:AD70"/>
    <mergeCell ref="AE70:AH70"/>
    <mergeCell ref="AC76:AD76"/>
    <mergeCell ref="AE76:AH76"/>
    <mergeCell ref="X44:Y44"/>
    <mergeCell ref="Z44:AA44"/>
    <mergeCell ref="AC44:AD44"/>
    <mergeCell ref="AE48:AH48"/>
    <mergeCell ref="X49:Y49"/>
    <mergeCell ref="Z49:AA49"/>
    <mergeCell ref="AC49:AD49"/>
    <mergeCell ref="AE49:AH49"/>
    <mergeCell ref="AC68:AD68"/>
    <mergeCell ref="AE42:AH42"/>
    <mergeCell ref="AE53:AH53"/>
    <mergeCell ref="AE54:AH54"/>
    <mergeCell ref="AE58:AH58"/>
    <mergeCell ref="Z62:AA62"/>
    <mergeCell ref="X62:Y62"/>
    <mergeCell ref="Z76:AA76"/>
    <mergeCell ref="AE68:AH68"/>
    <mergeCell ref="X61:Y61"/>
    <mergeCell ref="Z61:AA61"/>
    <mergeCell ref="X82:Y82"/>
    <mergeCell ref="Z57:AA57"/>
    <mergeCell ref="AC57:AD57"/>
    <mergeCell ref="O76:V76"/>
    <mergeCell ref="Z85:AA85"/>
    <mergeCell ref="F62:N62"/>
    <mergeCell ref="F49:N49"/>
    <mergeCell ref="O49:V49"/>
    <mergeCell ref="F51:N51"/>
    <mergeCell ref="Z53:AA53"/>
    <mergeCell ref="F56:N56"/>
    <mergeCell ref="O56:V56"/>
    <mergeCell ref="X56:Y56"/>
    <mergeCell ref="F54:N54"/>
    <mergeCell ref="O54:V54"/>
    <mergeCell ref="Z50:AA50"/>
    <mergeCell ref="AC50:AD50"/>
    <mergeCell ref="O53:V53"/>
    <mergeCell ref="X53:Y53"/>
    <mergeCell ref="Z51:AA51"/>
    <mergeCell ref="AC51:AD51"/>
    <mergeCell ref="AC54:AD54"/>
    <mergeCell ref="F61:N61"/>
    <mergeCell ref="O61:V61"/>
    <mergeCell ref="F47:N47"/>
    <mergeCell ref="A33:B33"/>
    <mergeCell ref="A34:B34"/>
    <mergeCell ref="A40:A41"/>
    <mergeCell ref="B40:B41"/>
    <mergeCell ref="F46:N46"/>
    <mergeCell ref="F55:N55"/>
    <mergeCell ref="F58:N58"/>
    <mergeCell ref="F60:N60"/>
    <mergeCell ref="F48:N48"/>
    <mergeCell ref="F50:N50"/>
    <mergeCell ref="F57:N57"/>
    <mergeCell ref="F43:N43"/>
    <mergeCell ref="F42:N42"/>
    <mergeCell ref="F52:N52"/>
    <mergeCell ref="F53:N53"/>
    <mergeCell ref="F59:N59"/>
    <mergeCell ref="F44:N44"/>
    <mergeCell ref="AI21:AI22"/>
    <mergeCell ref="A22:B22"/>
    <mergeCell ref="A23:B23"/>
    <mergeCell ref="A25:B25"/>
    <mergeCell ref="AI37:AJ37"/>
    <mergeCell ref="C40:C41"/>
    <mergeCell ref="D40:E41"/>
    <mergeCell ref="AI40:AI41"/>
    <mergeCell ref="F40:N41"/>
    <mergeCell ref="O40:V41"/>
    <mergeCell ref="W40:W41"/>
    <mergeCell ref="X40:Y41"/>
    <mergeCell ref="A36:B36"/>
    <mergeCell ref="Z40:AB41"/>
    <mergeCell ref="AC40:AD41"/>
    <mergeCell ref="A21:B21"/>
    <mergeCell ref="A31:B31"/>
    <mergeCell ref="A35:B35"/>
    <mergeCell ref="A32:B32"/>
    <mergeCell ref="A30:B30"/>
    <mergeCell ref="A26:B26"/>
    <mergeCell ref="A27:B27"/>
    <mergeCell ref="A28:B28"/>
    <mergeCell ref="A29:B29"/>
    <mergeCell ref="F140:N140"/>
    <mergeCell ref="O140:V140"/>
    <mergeCell ref="Z140:AA140"/>
    <mergeCell ref="AC140:AD140"/>
    <mergeCell ref="AE140:AH140"/>
    <mergeCell ref="F141:N141"/>
    <mergeCell ref="Z141:AA141"/>
    <mergeCell ref="AC141:AD141"/>
    <mergeCell ref="AE141:AH141"/>
    <mergeCell ref="O141:V141"/>
    <mergeCell ref="X140:Y140"/>
    <mergeCell ref="X141:Y141"/>
    <mergeCell ref="B117:B120"/>
    <mergeCell ref="C117:C120"/>
    <mergeCell ref="A117:A120"/>
    <mergeCell ref="A107:A108"/>
    <mergeCell ref="B107:B108"/>
    <mergeCell ref="F107:N107"/>
    <mergeCell ref="F108:N108"/>
    <mergeCell ref="F109:N109"/>
    <mergeCell ref="F110:N110"/>
    <mergeCell ref="F111:N111"/>
    <mergeCell ref="F112:N112"/>
    <mergeCell ref="F114:N114"/>
    <mergeCell ref="B115:B116"/>
    <mergeCell ref="A115:A116"/>
    <mergeCell ref="C115:C116"/>
    <mergeCell ref="B111:B112"/>
    <mergeCell ref="C111:C112"/>
    <mergeCell ref="A111:A112"/>
    <mergeCell ref="B109:B110"/>
    <mergeCell ref="A109:A110"/>
    <mergeCell ref="A113:A114"/>
    <mergeCell ref="B113:B114"/>
    <mergeCell ref="C113:C114"/>
    <mergeCell ref="C107:C108"/>
    <mergeCell ref="C109:C110"/>
    <mergeCell ref="X107:Y107"/>
    <mergeCell ref="X108:Y108"/>
    <mergeCell ref="X109:Y109"/>
    <mergeCell ref="X110:Y110"/>
    <mergeCell ref="X111:Y111"/>
    <mergeCell ref="X112:Y112"/>
    <mergeCell ref="X114:Y114"/>
    <mergeCell ref="F113:N113"/>
    <mergeCell ref="O113:V113"/>
    <mergeCell ref="X113:Y113"/>
    <mergeCell ref="O107:V107"/>
    <mergeCell ref="O108:V108"/>
    <mergeCell ref="O109:V109"/>
    <mergeCell ref="O110:V110"/>
    <mergeCell ref="O111:V111"/>
    <mergeCell ref="O112:V112"/>
    <mergeCell ref="O114:V114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05"/>
  <sheetViews>
    <sheetView topLeftCell="A700" workbookViewId="0">
      <selection activeCell="A711" sqref="A711"/>
    </sheetView>
  </sheetViews>
  <sheetFormatPr defaultRowHeight="17.399999999999999" x14ac:dyDescent="0.4"/>
  <cols>
    <col min="2" max="2" width="19" bestFit="1" customWidth="1"/>
  </cols>
  <sheetData>
    <row r="1" spans="1:3" x14ac:dyDescent="0.4">
      <c r="A1">
        <v>32</v>
      </c>
      <c r="B1" t="s">
        <v>1749</v>
      </c>
      <c r="C1" t="s">
        <v>2309</v>
      </c>
    </row>
    <row r="2" spans="1:3" x14ac:dyDescent="0.4">
      <c r="A2">
        <v>33</v>
      </c>
      <c r="B2" t="s">
        <v>1749</v>
      </c>
      <c r="C2" t="s">
        <v>2308</v>
      </c>
    </row>
    <row r="3" spans="1:3" x14ac:dyDescent="0.4">
      <c r="A3">
        <v>34</v>
      </c>
      <c r="B3" t="s">
        <v>1749</v>
      </c>
      <c r="C3" t="s">
        <v>2307</v>
      </c>
    </row>
    <row r="4" spans="1:3" x14ac:dyDescent="0.4">
      <c r="A4">
        <v>35</v>
      </c>
      <c r="B4" t="s">
        <v>1749</v>
      </c>
      <c r="C4" t="s">
        <v>2306</v>
      </c>
    </row>
    <row r="5" spans="1:3" x14ac:dyDescent="0.4">
      <c r="A5">
        <v>36</v>
      </c>
      <c r="B5" t="s">
        <v>1749</v>
      </c>
      <c r="C5" t="s">
        <v>2305</v>
      </c>
    </row>
    <row r="6" spans="1:3" x14ac:dyDescent="0.4">
      <c r="A6">
        <v>37</v>
      </c>
      <c r="B6" t="s">
        <v>1749</v>
      </c>
      <c r="C6" t="s">
        <v>2304</v>
      </c>
    </row>
    <row r="7" spans="1:3" x14ac:dyDescent="0.4">
      <c r="A7">
        <v>38</v>
      </c>
      <c r="B7" t="s">
        <v>1749</v>
      </c>
      <c r="C7" t="s">
        <v>2303</v>
      </c>
    </row>
    <row r="8" spans="1:3" x14ac:dyDescent="0.4">
      <c r="A8">
        <v>39</v>
      </c>
      <c r="B8" t="s">
        <v>1749</v>
      </c>
      <c r="C8" t="s">
        <v>2302</v>
      </c>
    </row>
    <row r="9" spans="1:3" x14ac:dyDescent="0.4">
      <c r="A9">
        <v>40</v>
      </c>
      <c r="B9" t="s">
        <v>1749</v>
      </c>
      <c r="C9" t="s">
        <v>2301</v>
      </c>
    </row>
    <row r="10" spans="1:3" x14ac:dyDescent="0.4">
      <c r="A10">
        <v>41</v>
      </c>
      <c r="B10" t="s">
        <v>1749</v>
      </c>
      <c r="C10" t="s">
        <v>2300</v>
      </c>
    </row>
    <row r="11" spans="1:3" x14ac:dyDescent="0.4">
      <c r="A11">
        <v>42</v>
      </c>
      <c r="B11" t="s">
        <v>1749</v>
      </c>
      <c r="C11" t="s">
        <v>2299</v>
      </c>
    </row>
    <row r="12" spans="1:3" x14ac:dyDescent="0.4">
      <c r="A12">
        <v>43</v>
      </c>
      <c r="B12" t="s">
        <v>1749</v>
      </c>
      <c r="C12" t="s">
        <v>2298</v>
      </c>
    </row>
    <row r="13" spans="1:3" x14ac:dyDescent="0.4">
      <c r="A13">
        <v>44</v>
      </c>
      <c r="B13" t="s">
        <v>1749</v>
      </c>
      <c r="C13" t="s">
        <v>2297</v>
      </c>
    </row>
    <row r="14" spans="1:3" x14ac:dyDescent="0.4">
      <c r="A14">
        <v>45</v>
      </c>
      <c r="B14" t="s">
        <v>1749</v>
      </c>
      <c r="C14" t="s">
        <v>2296</v>
      </c>
    </row>
    <row r="15" spans="1:3" x14ac:dyDescent="0.4">
      <c r="A15">
        <v>46</v>
      </c>
      <c r="B15" t="s">
        <v>1749</v>
      </c>
      <c r="C15" t="s">
        <v>2295</v>
      </c>
    </row>
    <row r="16" spans="1:3" x14ac:dyDescent="0.4">
      <c r="A16">
        <v>47</v>
      </c>
      <c r="B16" t="s">
        <v>1749</v>
      </c>
      <c r="C16" t="s">
        <v>2294</v>
      </c>
    </row>
    <row r="17" spans="1:3" x14ac:dyDescent="0.4">
      <c r="A17">
        <v>48</v>
      </c>
      <c r="B17" t="s">
        <v>1749</v>
      </c>
      <c r="C17" t="s">
        <v>2293</v>
      </c>
    </row>
    <row r="18" spans="1:3" x14ac:dyDescent="0.4">
      <c r="A18">
        <v>49</v>
      </c>
      <c r="B18" t="s">
        <v>1749</v>
      </c>
      <c r="C18" t="s">
        <v>2292</v>
      </c>
    </row>
    <row r="19" spans="1:3" x14ac:dyDescent="0.4">
      <c r="A19">
        <v>50</v>
      </c>
      <c r="B19" t="s">
        <v>1749</v>
      </c>
      <c r="C19" t="s">
        <v>2291</v>
      </c>
    </row>
    <row r="20" spans="1:3" x14ac:dyDescent="0.4">
      <c r="A20">
        <v>51</v>
      </c>
      <c r="B20" t="s">
        <v>1749</v>
      </c>
      <c r="C20" t="s">
        <v>2290</v>
      </c>
    </row>
    <row r="21" spans="1:3" x14ac:dyDescent="0.4">
      <c r="A21">
        <v>52</v>
      </c>
      <c r="B21" t="s">
        <v>1749</v>
      </c>
      <c r="C21" t="s">
        <v>2289</v>
      </c>
    </row>
    <row r="22" spans="1:3" x14ac:dyDescent="0.4">
      <c r="A22">
        <v>53</v>
      </c>
      <c r="B22" t="s">
        <v>1749</v>
      </c>
      <c r="C22" t="s">
        <v>2288</v>
      </c>
    </row>
    <row r="23" spans="1:3" x14ac:dyDescent="0.4">
      <c r="A23">
        <v>54</v>
      </c>
      <c r="B23" t="s">
        <v>1749</v>
      </c>
      <c r="C23" t="s">
        <v>2287</v>
      </c>
    </row>
    <row r="24" spans="1:3" x14ac:dyDescent="0.4">
      <c r="A24">
        <v>55</v>
      </c>
      <c r="B24" t="s">
        <v>1749</v>
      </c>
      <c r="C24" t="s">
        <v>2286</v>
      </c>
    </row>
    <row r="25" spans="1:3" x14ac:dyDescent="0.4">
      <c r="A25">
        <v>56</v>
      </c>
      <c r="B25" t="s">
        <v>1749</v>
      </c>
      <c r="C25" t="s">
        <v>2285</v>
      </c>
    </row>
    <row r="26" spans="1:3" x14ac:dyDescent="0.4">
      <c r="A26">
        <v>57</v>
      </c>
      <c r="B26" t="s">
        <v>1749</v>
      </c>
      <c r="C26" t="s">
        <v>2284</v>
      </c>
    </row>
    <row r="27" spans="1:3" x14ac:dyDescent="0.4">
      <c r="A27">
        <v>58</v>
      </c>
      <c r="B27" t="s">
        <v>1749</v>
      </c>
      <c r="C27" t="s">
        <v>2283</v>
      </c>
    </row>
    <row r="28" spans="1:3" x14ac:dyDescent="0.4">
      <c r="A28">
        <v>59</v>
      </c>
      <c r="B28" t="s">
        <v>1749</v>
      </c>
      <c r="C28" t="s">
        <v>2282</v>
      </c>
    </row>
    <row r="29" spans="1:3" x14ac:dyDescent="0.4">
      <c r="A29">
        <v>60</v>
      </c>
      <c r="B29" t="s">
        <v>1749</v>
      </c>
      <c r="C29" t="s">
        <v>2281</v>
      </c>
    </row>
    <row r="30" spans="1:3" x14ac:dyDescent="0.4">
      <c r="A30">
        <v>61</v>
      </c>
      <c r="B30" t="s">
        <v>1749</v>
      </c>
      <c r="C30" t="s">
        <v>2280</v>
      </c>
    </row>
    <row r="31" spans="1:3" x14ac:dyDescent="0.4">
      <c r="A31">
        <v>62</v>
      </c>
      <c r="B31" t="s">
        <v>1749</v>
      </c>
      <c r="C31" t="s">
        <v>2279</v>
      </c>
    </row>
    <row r="32" spans="1:3" x14ac:dyDescent="0.4">
      <c r="A32">
        <v>63</v>
      </c>
      <c r="B32" t="s">
        <v>1749</v>
      </c>
      <c r="C32" t="s">
        <v>2278</v>
      </c>
    </row>
    <row r="33" spans="1:3" x14ac:dyDescent="0.4">
      <c r="A33">
        <v>96</v>
      </c>
      <c r="B33" t="s">
        <v>1749</v>
      </c>
      <c r="C33" t="s">
        <v>2277</v>
      </c>
    </row>
    <row r="34" spans="1:3" x14ac:dyDescent="0.4">
      <c r="A34">
        <v>97</v>
      </c>
      <c r="B34" t="s">
        <v>1749</v>
      </c>
      <c r="C34" t="s">
        <v>2276</v>
      </c>
    </row>
    <row r="35" spans="1:3" x14ac:dyDescent="0.4">
      <c r="A35">
        <v>98</v>
      </c>
      <c r="B35" t="s">
        <v>1749</v>
      </c>
      <c r="C35" t="s">
        <v>2275</v>
      </c>
    </row>
    <row r="36" spans="1:3" x14ac:dyDescent="0.4">
      <c r="A36">
        <v>99</v>
      </c>
      <c r="B36" t="s">
        <v>1749</v>
      </c>
      <c r="C36" t="s">
        <v>2274</v>
      </c>
    </row>
    <row r="37" spans="1:3" x14ac:dyDescent="0.4">
      <c r="A37">
        <v>100</v>
      </c>
      <c r="B37" t="s">
        <v>1749</v>
      </c>
      <c r="C37" t="s">
        <v>2273</v>
      </c>
    </row>
    <row r="38" spans="1:3" x14ac:dyDescent="0.4">
      <c r="A38">
        <v>101</v>
      </c>
      <c r="B38" t="s">
        <v>1749</v>
      </c>
      <c r="C38" t="s">
        <v>2272</v>
      </c>
    </row>
    <row r="39" spans="1:3" x14ac:dyDescent="0.4">
      <c r="A39">
        <v>102</v>
      </c>
      <c r="B39" t="s">
        <v>1749</v>
      </c>
      <c r="C39" t="s">
        <v>2271</v>
      </c>
    </row>
    <row r="40" spans="1:3" x14ac:dyDescent="0.4">
      <c r="A40">
        <v>103</v>
      </c>
      <c r="B40" t="s">
        <v>1749</v>
      </c>
      <c r="C40" t="s">
        <v>2270</v>
      </c>
    </row>
    <row r="41" spans="1:3" x14ac:dyDescent="0.4">
      <c r="A41">
        <v>108</v>
      </c>
      <c r="B41" t="s">
        <v>1749</v>
      </c>
      <c r="C41" t="s">
        <v>2269</v>
      </c>
    </row>
    <row r="42" spans="1:3" x14ac:dyDescent="0.4">
      <c r="A42">
        <v>109</v>
      </c>
      <c r="B42" t="s">
        <v>1749</v>
      </c>
      <c r="C42" t="s">
        <v>2268</v>
      </c>
    </row>
    <row r="43" spans="1:3" x14ac:dyDescent="0.4">
      <c r="A43">
        <v>128</v>
      </c>
      <c r="B43" t="s">
        <v>1749</v>
      </c>
      <c r="C43" t="s">
        <v>2267</v>
      </c>
    </row>
    <row r="44" spans="1:3" x14ac:dyDescent="0.4">
      <c r="A44">
        <v>129</v>
      </c>
      <c r="B44" t="s">
        <v>1749</v>
      </c>
      <c r="C44" t="s">
        <v>2266</v>
      </c>
    </row>
    <row r="45" spans="1:3" x14ac:dyDescent="0.4">
      <c r="A45">
        <v>130</v>
      </c>
      <c r="B45" t="s">
        <v>1749</v>
      </c>
      <c r="C45" t="s">
        <v>2265</v>
      </c>
    </row>
    <row r="46" spans="1:3" x14ac:dyDescent="0.4">
      <c r="A46">
        <v>132</v>
      </c>
      <c r="B46" t="s">
        <v>1749</v>
      </c>
      <c r="C46" t="s">
        <v>2264</v>
      </c>
    </row>
    <row r="47" spans="1:3" x14ac:dyDescent="0.4">
      <c r="A47">
        <v>133</v>
      </c>
      <c r="B47" t="s">
        <v>1749</v>
      </c>
      <c r="C47" t="s">
        <v>2263</v>
      </c>
    </row>
    <row r="48" spans="1:3" x14ac:dyDescent="0.4">
      <c r="A48">
        <v>134</v>
      </c>
      <c r="B48" t="s">
        <v>1749</v>
      </c>
      <c r="C48" t="s">
        <v>2262</v>
      </c>
    </row>
    <row r="49" spans="1:3" x14ac:dyDescent="0.4">
      <c r="A49">
        <v>136</v>
      </c>
      <c r="B49" t="s">
        <v>1749</v>
      </c>
      <c r="C49" t="s">
        <v>2261</v>
      </c>
    </row>
    <row r="50" spans="1:3" x14ac:dyDescent="0.4">
      <c r="A50">
        <v>137</v>
      </c>
      <c r="B50" t="s">
        <v>1749</v>
      </c>
      <c r="C50" t="s">
        <v>2260</v>
      </c>
    </row>
    <row r="51" spans="1:3" x14ac:dyDescent="0.4">
      <c r="A51">
        <v>138</v>
      </c>
      <c r="B51" t="s">
        <v>1749</v>
      </c>
      <c r="C51" t="s">
        <v>2259</v>
      </c>
    </row>
    <row r="52" spans="1:3" x14ac:dyDescent="0.4">
      <c r="A52">
        <v>139</v>
      </c>
      <c r="B52" t="s">
        <v>1749</v>
      </c>
      <c r="C52" t="s">
        <v>2258</v>
      </c>
    </row>
    <row r="53" spans="1:3" x14ac:dyDescent="0.4">
      <c r="A53">
        <v>140</v>
      </c>
      <c r="B53" t="s">
        <v>1749</v>
      </c>
      <c r="C53" t="s">
        <v>2257</v>
      </c>
    </row>
    <row r="54" spans="1:3" x14ac:dyDescent="0.4">
      <c r="A54">
        <v>144</v>
      </c>
      <c r="B54" t="s">
        <v>1749</v>
      </c>
      <c r="C54" t="s">
        <v>2256</v>
      </c>
    </row>
    <row r="55" spans="1:3" x14ac:dyDescent="0.4">
      <c r="A55">
        <v>145</v>
      </c>
      <c r="B55" t="s">
        <v>1749</v>
      </c>
      <c r="C55" t="s">
        <v>2255</v>
      </c>
    </row>
    <row r="56" spans="1:3" x14ac:dyDescent="0.4">
      <c r="A56">
        <v>146</v>
      </c>
      <c r="B56" t="s">
        <v>1749</v>
      </c>
      <c r="C56" t="s">
        <v>2254</v>
      </c>
    </row>
    <row r="57" spans="1:3" x14ac:dyDescent="0.4">
      <c r="A57">
        <v>147</v>
      </c>
      <c r="B57" t="s">
        <v>1749</v>
      </c>
      <c r="C57" t="s">
        <v>2253</v>
      </c>
    </row>
    <row r="58" spans="1:3" x14ac:dyDescent="0.4">
      <c r="A58">
        <v>150</v>
      </c>
      <c r="B58" t="s">
        <v>1749</v>
      </c>
      <c r="C58" t="s">
        <v>2252</v>
      </c>
    </row>
    <row r="59" spans="1:3" x14ac:dyDescent="0.4">
      <c r="A59">
        <v>151</v>
      </c>
      <c r="B59" t="s">
        <v>1749</v>
      </c>
      <c r="C59" t="s">
        <v>2251</v>
      </c>
    </row>
    <row r="60" spans="1:3" x14ac:dyDescent="0.4">
      <c r="A60">
        <v>152</v>
      </c>
      <c r="B60" t="s">
        <v>1749</v>
      </c>
      <c r="C60" t="s">
        <v>2250</v>
      </c>
    </row>
    <row r="61" spans="1:3" x14ac:dyDescent="0.4">
      <c r="A61">
        <v>153</v>
      </c>
      <c r="B61" t="s">
        <v>1749</v>
      </c>
      <c r="C61" t="s">
        <v>2249</v>
      </c>
    </row>
    <row r="62" spans="1:3" x14ac:dyDescent="0.4">
      <c r="A62">
        <v>154</v>
      </c>
      <c r="B62" t="s">
        <v>1749</v>
      </c>
      <c r="C62" t="s">
        <v>2248</v>
      </c>
    </row>
    <row r="63" spans="1:3" x14ac:dyDescent="0.4">
      <c r="A63">
        <v>156</v>
      </c>
      <c r="B63" t="s">
        <v>1749</v>
      </c>
      <c r="C63" t="s">
        <v>2247</v>
      </c>
    </row>
    <row r="64" spans="1:3" x14ac:dyDescent="0.4">
      <c r="A64">
        <v>157</v>
      </c>
      <c r="B64" t="s">
        <v>1749</v>
      </c>
      <c r="C64" t="s">
        <v>2246</v>
      </c>
    </row>
    <row r="65" spans="1:3" x14ac:dyDescent="0.4">
      <c r="A65">
        <v>160</v>
      </c>
      <c r="B65" t="s">
        <v>1749</v>
      </c>
      <c r="C65" t="s">
        <v>2245</v>
      </c>
    </row>
    <row r="66" spans="1:3" x14ac:dyDescent="0.4">
      <c r="A66">
        <v>161</v>
      </c>
      <c r="B66" t="s">
        <v>1749</v>
      </c>
      <c r="C66" t="s">
        <v>2244</v>
      </c>
    </row>
    <row r="67" spans="1:3" x14ac:dyDescent="0.4">
      <c r="A67">
        <v>162</v>
      </c>
      <c r="B67" t="s">
        <v>1749</v>
      </c>
      <c r="C67" t="s">
        <v>2243</v>
      </c>
    </row>
    <row r="68" spans="1:3" x14ac:dyDescent="0.4">
      <c r="A68">
        <v>163</v>
      </c>
      <c r="B68" t="s">
        <v>1749</v>
      </c>
      <c r="C68" t="s">
        <v>2242</v>
      </c>
    </row>
    <row r="69" spans="1:3" x14ac:dyDescent="0.4">
      <c r="A69">
        <v>166</v>
      </c>
      <c r="B69" t="s">
        <v>1749</v>
      </c>
      <c r="C69" t="s">
        <v>2241</v>
      </c>
    </row>
    <row r="70" spans="1:3" x14ac:dyDescent="0.4">
      <c r="A70">
        <v>167</v>
      </c>
      <c r="B70" t="s">
        <v>1749</v>
      </c>
      <c r="C70" t="s">
        <v>2240</v>
      </c>
    </row>
    <row r="71" spans="1:3" x14ac:dyDescent="0.4">
      <c r="A71">
        <v>168</v>
      </c>
      <c r="B71" t="s">
        <v>1749</v>
      </c>
      <c r="C71" t="s">
        <v>2239</v>
      </c>
    </row>
    <row r="72" spans="1:3" x14ac:dyDescent="0.4">
      <c r="A72">
        <v>169</v>
      </c>
      <c r="B72" t="s">
        <v>1749</v>
      </c>
      <c r="C72" t="s">
        <v>2238</v>
      </c>
    </row>
    <row r="73" spans="1:3" x14ac:dyDescent="0.4">
      <c r="A73">
        <v>170</v>
      </c>
      <c r="B73" t="s">
        <v>1749</v>
      </c>
      <c r="C73" t="s">
        <v>2237</v>
      </c>
    </row>
    <row r="74" spans="1:3" x14ac:dyDescent="0.4">
      <c r="A74">
        <v>171</v>
      </c>
      <c r="B74" t="s">
        <v>1749</v>
      </c>
      <c r="C74" t="s">
        <v>2236</v>
      </c>
    </row>
    <row r="75" spans="1:3" x14ac:dyDescent="0.4">
      <c r="A75">
        <v>172</v>
      </c>
      <c r="B75" t="s">
        <v>1749</v>
      </c>
      <c r="C75" t="s">
        <v>2235</v>
      </c>
    </row>
    <row r="76" spans="1:3" x14ac:dyDescent="0.4">
      <c r="A76">
        <v>173</v>
      </c>
      <c r="B76" t="s">
        <v>1749</v>
      </c>
      <c r="C76" t="s">
        <v>2234</v>
      </c>
    </row>
    <row r="77" spans="1:3" x14ac:dyDescent="0.4">
      <c r="A77">
        <v>174</v>
      </c>
      <c r="B77" t="s">
        <v>1749</v>
      </c>
      <c r="C77" t="s">
        <v>2233</v>
      </c>
    </row>
    <row r="78" spans="1:3" x14ac:dyDescent="0.4">
      <c r="A78">
        <v>175</v>
      </c>
      <c r="B78" t="s">
        <v>1749</v>
      </c>
      <c r="C78" t="s">
        <v>2232</v>
      </c>
    </row>
    <row r="79" spans="1:3" x14ac:dyDescent="0.4">
      <c r="A79">
        <v>176</v>
      </c>
      <c r="B79" t="s">
        <v>1749</v>
      </c>
      <c r="C79" t="s">
        <v>2231</v>
      </c>
    </row>
    <row r="80" spans="1:3" x14ac:dyDescent="0.4">
      <c r="A80">
        <v>177</v>
      </c>
      <c r="B80" t="s">
        <v>1749</v>
      </c>
      <c r="C80" t="s">
        <v>2230</v>
      </c>
    </row>
    <row r="81" spans="1:3" x14ac:dyDescent="0.4">
      <c r="A81">
        <v>178</v>
      </c>
      <c r="B81" t="s">
        <v>1749</v>
      </c>
      <c r="C81" t="s">
        <v>2229</v>
      </c>
    </row>
    <row r="82" spans="1:3" x14ac:dyDescent="0.4">
      <c r="A82">
        <v>180</v>
      </c>
      <c r="B82" t="s">
        <v>1749</v>
      </c>
      <c r="C82" t="s">
        <v>2228</v>
      </c>
    </row>
    <row r="83" spans="1:3" x14ac:dyDescent="0.4">
      <c r="A83">
        <v>181</v>
      </c>
      <c r="B83" t="s">
        <v>1749</v>
      </c>
      <c r="C83" t="s">
        <v>2227</v>
      </c>
    </row>
    <row r="84" spans="1:3" x14ac:dyDescent="0.4">
      <c r="A84">
        <v>182</v>
      </c>
      <c r="B84" t="s">
        <v>1749</v>
      </c>
      <c r="C84" t="s">
        <v>2226</v>
      </c>
    </row>
    <row r="85" spans="1:3" x14ac:dyDescent="0.4">
      <c r="A85">
        <v>184</v>
      </c>
      <c r="B85" t="s">
        <v>1749</v>
      </c>
      <c r="C85" t="s">
        <v>2225</v>
      </c>
    </row>
    <row r="86" spans="1:3" x14ac:dyDescent="0.4">
      <c r="A86">
        <v>185</v>
      </c>
      <c r="B86" t="s">
        <v>1749</v>
      </c>
      <c r="C86" t="s">
        <v>2224</v>
      </c>
    </row>
    <row r="87" spans="1:3" x14ac:dyDescent="0.4">
      <c r="A87">
        <v>186</v>
      </c>
      <c r="B87" t="s">
        <v>1749</v>
      </c>
      <c r="C87" t="s">
        <v>2223</v>
      </c>
    </row>
    <row r="88" spans="1:3" x14ac:dyDescent="0.4">
      <c r="A88">
        <v>187</v>
      </c>
      <c r="B88" t="s">
        <v>1749</v>
      </c>
      <c r="C88" t="s">
        <v>2222</v>
      </c>
    </row>
    <row r="89" spans="1:3" x14ac:dyDescent="0.4">
      <c r="A89">
        <v>188</v>
      </c>
      <c r="B89" t="s">
        <v>1749</v>
      </c>
      <c r="C89" t="s">
        <v>2221</v>
      </c>
    </row>
    <row r="90" spans="1:3" x14ac:dyDescent="0.4">
      <c r="A90">
        <v>192</v>
      </c>
      <c r="B90" t="s">
        <v>1749</v>
      </c>
      <c r="C90" t="s">
        <v>2220</v>
      </c>
    </row>
    <row r="91" spans="1:3" x14ac:dyDescent="0.4">
      <c r="A91">
        <v>193</v>
      </c>
      <c r="B91" t="s">
        <v>1749</v>
      </c>
      <c r="C91" t="s">
        <v>2219</v>
      </c>
    </row>
    <row r="92" spans="1:3" x14ac:dyDescent="0.4">
      <c r="A92">
        <v>194</v>
      </c>
      <c r="B92" t="s">
        <v>1749</v>
      </c>
      <c r="C92" t="s">
        <v>2218</v>
      </c>
    </row>
    <row r="93" spans="1:3" x14ac:dyDescent="0.4">
      <c r="A93">
        <v>195</v>
      </c>
      <c r="B93" t="s">
        <v>1749</v>
      </c>
      <c r="C93" t="s">
        <v>2217</v>
      </c>
    </row>
    <row r="94" spans="1:3" x14ac:dyDescent="0.4">
      <c r="A94">
        <v>198</v>
      </c>
      <c r="B94" t="s">
        <v>1749</v>
      </c>
      <c r="C94" t="s">
        <v>2216</v>
      </c>
    </row>
    <row r="95" spans="1:3" x14ac:dyDescent="0.4">
      <c r="A95">
        <v>199</v>
      </c>
      <c r="B95" t="s">
        <v>1749</v>
      </c>
      <c r="C95" t="s">
        <v>2215</v>
      </c>
    </row>
    <row r="96" spans="1:3" x14ac:dyDescent="0.4">
      <c r="A96">
        <v>200</v>
      </c>
      <c r="B96" t="s">
        <v>1749</v>
      </c>
      <c r="C96" t="s">
        <v>2214</v>
      </c>
    </row>
    <row r="97" spans="1:3" x14ac:dyDescent="0.4">
      <c r="A97">
        <v>201</v>
      </c>
      <c r="B97" t="s">
        <v>1749</v>
      </c>
      <c r="C97" t="s">
        <v>2213</v>
      </c>
    </row>
    <row r="98" spans="1:3" x14ac:dyDescent="0.4">
      <c r="A98">
        <v>202</v>
      </c>
      <c r="B98" t="s">
        <v>1749</v>
      </c>
      <c r="C98" t="s">
        <v>2212</v>
      </c>
    </row>
    <row r="99" spans="1:3" x14ac:dyDescent="0.4">
      <c r="A99">
        <v>204</v>
      </c>
      <c r="B99" t="s">
        <v>1749</v>
      </c>
      <c r="C99" t="s">
        <v>2211</v>
      </c>
    </row>
    <row r="100" spans="1:3" x14ac:dyDescent="0.4">
      <c r="A100">
        <v>205</v>
      </c>
      <c r="B100" t="s">
        <v>1749</v>
      </c>
      <c r="C100" t="s">
        <v>2210</v>
      </c>
    </row>
    <row r="101" spans="1:3" x14ac:dyDescent="0.4">
      <c r="A101">
        <v>208</v>
      </c>
      <c r="B101" t="s">
        <v>1749</v>
      </c>
      <c r="C101" t="s">
        <v>2209</v>
      </c>
    </row>
    <row r="102" spans="1:3" x14ac:dyDescent="0.4">
      <c r="A102">
        <v>209</v>
      </c>
      <c r="B102" t="s">
        <v>1749</v>
      </c>
      <c r="C102" t="s">
        <v>2208</v>
      </c>
    </row>
    <row r="103" spans="1:3" x14ac:dyDescent="0.4">
      <c r="A103">
        <v>210</v>
      </c>
      <c r="B103" t="s">
        <v>1749</v>
      </c>
      <c r="C103" t="s">
        <v>2207</v>
      </c>
    </row>
    <row r="104" spans="1:3" x14ac:dyDescent="0.4">
      <c r="A104">
        <v>211</v>
      </c>
      <c r="B104" t="s">
        <v>1749</v>
      </c>
      <c r="C104" t="s">
        <v>2206</v>
      </c>
    </row>
    <row r="105" spans="1:3" x14ac:dyDescent="0.4">
      <c r="A105">
        <v>213</v>
      </c>
      <c r="B105" t="s">
        <v>1749</v>
      </c>
      <c r="C105" t="s">
        <v>2205</v>
      </c>
    </row>
    <row r="106" spans="1:3" x14ac:dyDescent="0.4">
      <c r="A106">
        <v>214</v>
      </c>
      <c r="B106" t="s">
        <v>1749</v>
      </c>
      <c r="C106" t="s">
        <v>2204</v>
      </c>
    </row>
    <row r="107" spans="1:3" x14ac:dyDescent="0.4">
      <c r="A107">
        <v>215</v>
      </c>
      <c r="B107" t="s">
        <v>1749</v>
      </c>
      <c r="C107" t="s">
        <v>2203</v>
      </c>
    </row>
    <row r="108" spans="1:3" x14ac:dyDescent="0.4">
      <c r="A108">
        <v>216</v>
      </c>
      <c r="B108" t="s">
        <v>1749</v>
      </c>
      <c r="C108" t="s">
        <v>2202</v>
      </c>
    </row>
    <row r="109" spans="1:3" x14ac:dyDescent="0.4">
      <c r="A109">
        <v>217</v>
      </c>
      <c r="B109" t="s">
        <v>1749</v>
      </c>
      <c r="C109" t="s">
        <v>2201</v>
      </c>
    </row>
    <row r="110" spans="1:3" x14ac:dyDescent="0.4">
      <c r="A110">
        <v>218</v>
      </c>
      <c r="B110" t="s">
        <v>1749</v>
      </c>
      <c r="C110" t="s">
        <v>2200</v>
      </c>
    </row>
    <row r="111" spans="1:3" x14ac:dyDescent="0.4">
      <c r="A111">
        <v>219</v>
      </c>
      <c r="B111" t="s">
        <v>1749</v>
      </c>
      <c r="C111" t="s">
        <v>2199</v>
      </c>
    </row>
    <row r="112" spans="1:3" x14ac:dyDescent="0.4">
      <c r="A112">
        <v>220</v>
      </c>
      <c r="B112" t="s">
        <v>1749</v>
      </c>
      <c r="C112" t="s">
        <v>2198</v>
      </c>
    </row>
    <row r="113" spans="1:3" x14ac:dyDescent="0.4">
      <c r="A113">
        <v>221</v>
      </c>
      <c r="B113" t="s">
        <v>1749</v>
      </c>
      <c r="C113" t="s">
        <v>2197</v>
      </c>
    </row>
    <row r="114" spans="1:3" x14ac:dyDescent="0.4">
      <c r="A114">
        <v>222</v>
      </c>
      <c r="B114" t="s">
        <v>1749</v>
      </c>
      <c r="C114" t="s">
        <v>2196</v>
      </c>
    </row>
    <row r="115" spans="1:3" x14ac:dyDescent="0.4">
      <c r="A115">
        <v>223</v>
      </c>
      <c r="B115" t="s">
        <v>1749</v>
      </c>
      <c r="C115" t="s">
        <v>2195</v>
      </c>
    </row>
    <row r="116" spans="1:3" x14ac:dyDescent="0.4">
      <c r="A116">
        <v>224</v>
      </c>
      <c r="B116" t="s">
        <v>1749</v>
      </c>
      <c r="C116" t="s">
        <v>2194</v>
      </c>
    </row>
    <row r="117" spans="1:3" x14ac:dyDescent="0.4">
      <c r="A117">
        <v>225</v>
      </c>
      <c r="B117" t="s">
        <v>1749</v>
      </c>
      <c r="C117" t="s">
        <v>2193</v>
      </c>
    </row>
    <row r="118" spans="1:3" x14ac:dyDescent="0.4">
      <c r="A118">
        <v>226</v>
      </c>
      <c r="B118" t="s">
        <v>1749</v>
      </c>
      <c r="C118" t="s">
        <v>2192</v>
      </c>
    </row>
    <row r="119" spans="1:3" x14ac:dyDescent="0.4">
      <c r="A119">
        <v>228</v>
      </c>
      <c r="B119" t="s">
        <v>1749</v>
      </c>
      <c r="C119" t="s">
        <v>2191</v>
      </c>
    </row>
    <row r="120" spans="1:3" x14ac:dyDescent="0.4">
      <c r="A120">
        <v>229</v>
      </c>
      <c r="B120" t="s">
        <v>1749</v>
      </c>
      <c r="C120" t="s">
        <v>2190</v>
      </c>
    </row>
    <row r="121" spans="1:3" x14ac:dyDescent="0.4">
      <c r="A121">
        <v>230</v>
      </c>
      <c r="B121" t="s">
        <v>1749</v>
      </c>
      <c r="C121" t="s">
        <v>2189</v>
      </c>
    </row>
    <row r="122" spans="1:3" x14ac:dyDescent="0.4">
      <c r="A122">
        <v>232</v>
      </c>
      <c r="B122" t="s">
        <v>1749</v>
      </c>
      <c r="C122" t="s">
        <v>2188</v>
      </c>
    </row>
    <row r="123" spans="1:3" x14ac:dyDescent="0.4">
      <c r="A123">
        <v>233</v>
      </c>
      <c r="B123" t="s">
        <v>1749</v>
      </c>
      <c r="C123" t="s">
        <v>2187</v>
      </c>
    </row>
    <row r="124" spans="1:3" x14ac:dyDescent="0.4">
      <c r="A124">
        <v>235</v>
      </c>
      <c r="B124" t="s">
        <v>1749</v>
      </c>
      <c r="C124" t="s">
        <v>2186</v>
      </c>
    </row>
    <row r="125" spans="1:3" x14ac:dyDescent="0.4">
      <c r="A125">
        <v>236</v>
      </c>
      <c r="B125" t="s">
        <v>1749</v>
      </c>
      <c r="C125" t="s">
        <v>2185</v>
      </c>
    </row>
    <row r="126" spans="1:3" x14ac:dyDescent="0.4">
      <c r="A126">
        <v>237</v>
      </c>
      <c r="B126" t="s">
        <v>1749</v>
      </c>
      <c r="C126" t="s">
        <v>2184</v>
      </c>
    </row>
    <row r="127" spans="1:3" x14ac:dyDescent="0.4">
      <c r="A127">
        <v>238</v>
      </c>
      <c r="B127" t="s">
        <v>1749</v>
      </c>
      <c r="C127" t="s">
        <v>2183</v>
      </c>
    </row>
    <row r="128" spans="1:3" x14ac:dyDescent="0.4">
      <c r="A128">
        <v>239</v>
      </c>
      <c r="B128" t="s">
        <v>1749</v>
      </c>
      <c r="C128" t="s">
        <v>2182</v>
      </c>
    </row>
    <row r="129" spans="1:3" x14ac:dyDescent="0.4">
      <c r="A129">
        <v>240</v>
      </c>
      <c r="B129" t="s">
        <v>1749</v>
      </c>
      <c r="C129" t="s">
        <v>2181</v>
      </c>
    </row>
    <row r="130" spans="1:3" x14ac:dyDescent="0.4">
      <c r="A130">
        <v>241</v>
      </c>
      <c r="B130" t="s">
        <v>1749</v>
      </c>
      <c r="C130" t="s">
        <v>2180</v>
      </c>
    </row>
    <row r="131" spans="1:3" x14ac:dyDescent="0.4">
      <c r="A131">
        <v>242</v>
      </c>
      <c r="B131" t="s">
        <v>1749</v>
      </c>
      <c r="C131" t="s">
        <v>2179</v>
      </c>
    </row>
    <row r="132" spans="1:3" x14ac:dyDescent="0.4">
      <c r="A132">
        <v>243</v>
      </c>
      <c r="B132" t="s">
        <v>1749</v>
      </c>
      <c r="C132" t="s">
        <v>2178</v>
      </c>
    </row>
    <row r="133" spans="1:3" x14ac:dyDescent="0.4">
      <c r="A133">
        <v>248</v>
      </c>
      <c r="B133" t="s">
        <v>1749</v>
      </c>
      <c r="C133" t="s">
        <v>2177</v>
      </c>
    </row>
    <row r="134" spans="1:3" x14ac:dyDescent="0.4">
      <c r="A134">
        <v>249</v>
      </c>
      <c r="B134" t="s">
        <v>1749</v>
      </c>
      <c r="C134" t="s">
        <v>2176</v>
      </c>
    </row>
    <row r="135" spans="1:3" x14ac:dyDescent="0.4">
      <c r="A135">
        <v>251</v>
      </c>
      <c r="B135" t="s">
        <v>1749</v>
      </c>
      <c r="C135" t="s">
        <v>2175</v>
      </c>
    </row>
    <row r="136" spans="1:3" x14ac:dyDescent="0.4">
      <c r="A136">
        <v>252</v>
      </c>
      <c r="B136" t="s">
        <v>1749</v>
      </c>
      <c r="C136" t="s">
        <v>2174</v>
      </c>
    </row>
    <row r="137" spans="1:3" x14ac:dyDescent="0.4">
      <c r="A137">
        <v>253</v>
      </c>
      <c r="B137" t="s">
        <v>1749</v>
      </c>
      <c r="C137" t="s">
        <v>2173</v>
      </c>
    </row>
    <row r="138" spans="1:3" x14ac:dyDescent="0.4">
      <c r="A138">
        <v>254</v>
      </c>
      <c r="B138" t="s">
        <v>1749</v>
      </c>
      <c r="C138" t="s">
        <v>2172</v>
      </c>
    </row>
    <row r="139" spans="1:3" x14ac:dyDescent="0.4">
      <c r="A139">
        <v>255</v>
      </c>
      <c r="B139" t="s">
        <v>1749</v>
      </c>
      <c r="C139" t="s">
        <v>2171</v>
      </c>
    </row>
    <row r="140" spans="1:3" x14ac:dyDescent="0.4">
      <c r="A140">
        <v>256</v>
      </c>
      <c r="B140" t="s">
        <v>1749</v>
      </c>
      <c r="C140" t="s">
        <v>2170</v>
      </c>
    </row>
    <row r="141" spans="1:3" x14ac:dyDescent="0.4">
      <c r="A141">
        <v>257</v>
      </c>
      <c r="B141" t="s">
        <v>1749</v>
      </c>
      <c r="C141" t="s">
        <v>2169</v>
      </c>
    </row>
    <row r="142" spans="1:3" x14ac:dyDescent="0.4">
      <c r="A142">
        <v>258</v>
      </c>
      <c r="B142" t="s">
        <v>1749</v>
      </c>
      <c r="C142" t="s">
        <v>2168</v>
      </c>
    </row>
    <row r="143" spans="1:3" x14ac:dyDescent="0.4">
      <c r="A143">
        <v>259</v>
      </c>
      <c r="B143" t="s">
        <v>1749</v>
      </c>
      <c r="C143" t="s">
        <v>2167</v>
      </c>
    </row>
    <row r="144" spans="1:3" x14ac:dyDescent="0.4">
      <c r="A144">
        <v>260</v>
      </c>
      <c r="B144" t="s">
        <v>1749</v>
      </c>
      <c r="C144" t="s">
        <v>2166</v>
      </c>
    </row>
    <row r="145" spans="1:3" x14ac:dyDescent="0.4">
      <c r="A145">
        <v>261</v>
      </c>
      <c r="B145" t="s">
        <v>1749</v>
      </c>
      <c r="C145" t="s">
        <v>2165</v>
      </c>
    </row>
    <row r="146" spans="1:3" x14ac:dyDescent="0.4">
      <c r="A146">
        <v>262</v>
      </c>
      <c r="B146" t="s">
        <v>1749</v>
      </c>
      <c r="C146" t="s">
        <v>2164</v>
      </c>
    </row>
    <row r="147" spans="1:3" x14ac:dyDescent="0.4">
      <c r="A147">
        <v>263</v>
      </c>
      <c r="B147" t="s">
        <v>1749</v>
      </c>
      <c r="C147" t="s">
        <v>2163</v>
      </c>
    </row>
    <row r="148" spans="1:3" x14ac:dyDescent="0.4">
      <c r="A148">
        <v>264</v>
      </c>
      <c r="B148" t="s">
        <v>1749</v>
      </c>
      <c r="C148" t="s">
        <v>2162</v>
      </c>
    </row>
    <row r="149" spans="1:3" x14ac:dyDescent="0.4">
      <c r="A149">
        <v>265</v>
      </c>
      <c r="B149" t="s">
        <v>1749</v>
      </c>
      <c r="C149" t="s">
        <v>2161</v>
      </c>
    </row>
    <row r="150" spans="1:3" x14ac:dyDescent="0.4">
      <c r="A150">
        <v>267</v>
      </c>
      <c r="B150" t="s">
        <v>1749</v>
      </c>
      <c r="C150" t="s">
        <v>2160</v>
      </c>
    </row>
    <row r="151" spans="1:3" x14ac:dyDescent="0.4">
      <c r="A151">
        <v>268</v>
      </c>
      <c r="B151" t="s">
        <v>1749</v>
      </c>
      <c r="C151" t="s">
        <v>2159</v>
      </c>
    </row>
    <row r="152" spans="1:3" x14ac:dyDescent="0.4">
      <c r="A152">
        <v>269</v>
      </c>
      <c r="B152" t="s">
        <v>1749</v>
      </c>
      <c r="C152" t="s">
        <v>2158</v>
      </c>
    </row>
    <row r="153" spans="1:3" x14ac:dyDescent="0.4">
      <c r="A153">
        <v>270</v>
      </c>
      <c r="B153" t="s">
        <v>1749</v>
      </c>
      <c r="C153" t="s">
        <v>2157</v>
      </c>
    </row>
    <row r="154" spans="1:3" x14ac:dyDescent="0.4">
      <c r="A154">
        <v>272</v>
      </c>
      <c r="B154" t="s">
        <v>1749</v>
      </c>
      <c r="C154" t="s">
        <v>2156</v>
      </c>
    </row>
    <row r="155" spans="1:3" x14ac:dyDescent="0.4">
      <c r="A155">
        <v>273</v>
      </c>
      <c r="B155" t="s">
        <v>1749</v>
      </c>
      <c r="C155" t="s">
        <v>2155</v>
      </c>
    </row>
    <row r="156" spans="1:3" x14ac:dyDescent="0.4">
      <c r="A156">
        <v>275</v>
      </c>
      <c r="B156" t="s">
        <v>1749</v>
      </c>
      <c r="C156" t="s">
        <v>2154</v>
      </c>
    </row>
    <row r="157" spans="1:3" x14ac:dyDescent="0.4">
      <c r="A157">
        <v>276</v>
      </c>
      <c r="B157" t="s">
        <v>1749</v>
      </c>
      <c r="C157" t="s">
        <v>2153</v>
      </c>
    </row>
    <row r="158" spans="1:3" x14ac:dyDescent="0.4">
      <c r="A158">
        <v>277</v>
      </c>
      <c r="B158" t="s">
        <v>1749</v>
      </c>
      <c r="C158" t="s">
        <v>2152</v>
      </c>
    </row>
    <row r="159" spans="1:3" x14ac:dyDescent="0.4">
      <c r="A159">
        <v>278</v>
      </c>
      <c r="B159" t="s">
        <v>1749</v>
      </c>
      <c r="C159" t="s">
        <v>2151</v>
      </c>
    </row>
    <row r="160" spans="1:3" x14ac:dyDescent="0.4">
      <c r="A160">
        <v>279</v>
      </c>
      <c r="B160" t="s">
        <v>1749</v>
      </c>
      <c r="C160" t="s">
        <v>2150</v>
      </c>
    </row>
    <row r="161" spans="1:3" x14ac:dyDescent="0.4">
      <c r="A161">
        <v>280</v>
      </c>
      <c r="B161" t="s">
        <v>1749</v>
      </c>
      <c r="C161" t="s">
        <v>2149</v>
      </c>
    </row>
    <row r="162" spans="1:3" x14ac:dyDescent="0.4">
      <c r="A162">
        <v>281</v>
      </c>
      <c r="B162" t="s">
        <v>1749</v>
      </c>
      <c r="C162" t="s">
        <v>2148</v>
      </c>
    </row>
    <row r="163" spans="1:3" x14ac:dyDescent="0.4">
      <c r="A163">
        <v>283</v>
      </c>
      <c r="B163" t="s">
        <v>1749</v>
      </c>
      <c r="C163" t="s">
        <v>2147</v>
      </c>
    </row>
    <row r="164" spans="1:3" x14ac:dyDescent="0.4">
      <c r="A164">
        <v>284</v>
      </c>
      <c r="B164" t="s">
        <v>1749</v>
      </c>
      <c r="C164" t="s">
        <v>2146</v>
      </c>
    </row>
    <row r="165" spans="1:3" x14ac:dyDescent="0.4">
      <c r="A165">
        <v>285</v>
      </c>
      <c r="B165" t="s">
        <v>1749</v>
      </c>
      <c r="C165" t="s">
        <v>2145</v>
      </c>
    </row>
    <row r="166" spans="1:3" x14ac:dyDescent="0.4">
      <c r="A166">
        <v>288</v>
      </c>
      <c r="B166" t="s">
        <v>1749</v>
      </c>
      <c r="C166" t="s">
        <v>2144</v>
      </c>
    </row>
    <row r="167" spans="1:3" x14ac:dyDescent="0.4">
      <c r="A167">
        <v>291</v>
      </c>
      <c r="B167" t="s">
        <v>1749</v>
      </c>
      <c r="C167" t="s">
        <v>2143</v>
      </c>
    </row>
    <row r="168" spans="1:3" x14ac:dyDescent="0.4">
      <c r="A168">
        <v>292</v>
      </c>
      <c r="B168" t="s">
        <v>1749</v>
      </c>
      <c r="C168" t="s">
        <v>2142</v>
      </c>
    </row>
    <row r="169" spans="1:3" x14ac:dyDescent="0.4">
      <c r="A169">
        <v>293</v>
      </c>
      <c r="B169" t="s">
        <v>1749</v>
      </c>
      <c r="C169" t="s">
        <v>2141</v>
      </c>
    </row>
    <row r="170" spans="1:3" x14ac:dyDescent="0.4">
      <c r="A170">
        <v>295</v>
      </c>
      <c r="B170" t="s">
        <v>1749</v>
      </c>
      <c r="C170" t="s">
        <v>2140</v>
      </c>
    </row>
    <row r="171" spans="1:3" x14ac:dyDescent="0.4">
      <c r="A171">
        <v>296</v>
      </c>
      <c r="B171" t="s">
        <v>1749</v>
      </c>
      <c r="C171" t="s">
        <v>2139</v>
      </c>
    </row>
    <row r="172" spans="1:3" x14ac:dyDescent="0.4">
      <c r="A172">
        <v>297</v>
      </c>
      <c r="B172" t="s">
        <v>1749</v>
      </c>
      <c r="C172" t="s">
        <v>2138</v>
      </c>
    </row>
    <row r="173" spans="1:3" x14ac:dyDescent="0.4">
      <c r="A173">
        <v>299</v>
      </c>
      <c r="B173" t="s">
        <v>1749</v>
      </c>
      <c r="C173" t="s">
        <v>2137</v>
      </c>
    </row>
    <row r="174" spans="1:3" x14ac:dyDescent="0.4">
      <c r="A174">
        <v>300</v>
      </c>
      <c r="B174" t="s">
        <v>1749</v>
      </c>
      <c r="C174" t="s">
        <v>2136</v>
      </c>
    </row>
    <row r="175" spans="1:3" x14ac:dyDescent="0.4">
      <c r="A175">
        <v>301</v>
      </c>
      <c r="B175" t="s">
        <v>1749</v>
      </c>
      <c r="C175" t="s">
        <v>2135</v>
      </c>
    </row>
    <row r="176" spans="1:3" x14ac:dyDescent="0.4">
      <c r="A176">
        <v>302</v>
      </c>
      <c r="B176" t="s">
        <v>1749</v>
      </c>
      <c r="C176" t="s">
        <v>2134</v>
      </c>
    </row>
    <row r="177" spans="1:3" x14ac:dyDescent="0.4">
      <c r="A177">
        <v>303</v>
      </c>
      <c r="B177" t="s">
        <v>1749</v>
      </c>
      <c r="C177" t="s">
        <v>2133</v>
      </c>
    </row>
    <row r="178" spans="1:3" x14ac:dyDescent="0.4">
      <c r="A178">
        <v>304</v>
      </c>
      <c r="B178" t="s">
        <v>1749</v>
      </c>
      <c r="C178" t="s">
        <v>2132</v>
      </c>
    </row>
    <row r="179" spans="1:3" x14ac:dyDescent="0.4">
      <c r="A179">
        <v>305</v>
      </c>
      <c r="B179" t="s">
        <v>1749</v>
      </c>
      <c r="C179" t="s">
        <v>2131</v>
      </c>
    </row>
    <row r="180" spans="1:3" x14ac:dyDescent="0.4">
      <c r="A180">
        <v>306</v>
      </c>
      <c r="B180" t="s">
        <v>1749</v>
      </c>
      <c r="C180" t="s">
        <v>2130</v>
      </c>
    </row>
    <row r="181" spans="1:3" x14ac:dyDescent="0.4">
      <c r="A181">
        <v>307</v>
      </c>
      <c r="B181" t="s">
        <v>1749</v>
      </c>
      <c r="C181" t="s">
        <v>2129</v>
      </c>
    </row>
    <row r="182" spans="1:3" x14ac:dyDescent="0.4">
      <c r="A182">
        <v>308</v>
      </c>
      <c r="B182" t="s">
        <v>1749</v>
      </c>
      <c r="C182" t="s">
        <v>2128</v>
      </c>
    </row>
    <row r="183" spans="1:3" x14ac:dyDescent="0.4">
      <c r="A183">
        <v>309</v>
      </c>
      <c r="B183" t="s">
        <v>1749</v>
      </c>
      <c r="C183" t="s">
        <v>2127</v>
      </c>
    </row>
    <row r="184" spans="1:3" x14ac:dyDescent="0.4">
      <c r="A184">
        <v>312</v>
      </c>
      <c r="B184" t="s">
        <v>1749</v>
      </c>
      <c r="C184" t="s">
        <v>2126</v>
      </c>
    </row>
    <row r="185" spans="1:3" x14ac:dyDescent="0.4">
      <c r="A185">
        <v>313</v>
      </c>
      <c r="B185" t="s">
        <v>1749</v>
      </c>
      <c r="C185" t="s">
        <v>2125</v>
      </c>
    </row>
    <row r="186" spans="1:3" x14ac:dyDescent="0.4">
      <c r="A186">
        <v>316</v>
      </c>
      <c r="B186" t="s">
        <v>1749</v>
      </c>
      <c r="C186" t="s">
        <v>2124</v>
      </c>
    </row>
    <row r="187" spans="1:3" x14ac:dyDescent="0.4">
      <c r="A187">
        <v>317</v>
      </c>
      <c r="B187" t="s">
        <v>1749</v>
      </c>
      <c r="C187" t="s">
        <v>2123</v>
      </c>
    </row>
    <row r="188" spans="1:3" x14ac:dyDescent="0.4">
      <c r="A188">
        <v>320</v>
      </c>
      <c r="B188" t="s">
        <v>1749</v>
      </c>
      <c r="C188" t="s">
        <v>2122</v>
      </c>
    </row>
    <row r="189" spans="1:3" x14ac:dyDescent="0.4">
      <c r="A189">
        <v>321</v>
      </c>
      <c r="B189" t="s">
        <v>1749</v>
      </c>
      <c r="C189" t="s">
        <v>2121</v>
      </c>
    </row>
    <row r="190" spans="1:3" x14ac:dyDescent="0.4">
      <c r="A190">
        <v>322</v>
      </c>
      <c r="B190" t="s">
        <v>1749</v>
      </c>
      <c r="C190" t="s">
        <v>2120</v>
      </c>
    </row>
    <row r="191" spans="1:3" x14ac:dyDescent="0.4">
      <c r="A191">
        <v>323</v>
      </c>
      <c r="B191" t="s">
        <v>1749</v>
      </c>
      <c r="C191" t="s">
        <v>2119</v>
      </c>
    </row>
    <row r="192" spans="1:3" x14ac:dyDescent="0.4">
      <c r="A192">
        <v>324</v>
      </c>
      <c r="B192" t="s">
        <v>1749</v>
      </c>
      <c r="C192" t="s">
        <v>2118</v>
      </c>
    </row>
    <row r="193" spans="1:3" x14ac:dyDescent="0.4">
      <c r="A193">
        <v>325</v>
      </c>
      <c r="B193" t="s">
        <v>1749</v>
      </c>
      <c r="C193" t="s">
        <v>2117</v>
      </c>
    </row>
    <row r="194" spans="1:3" x14ac:dyDescent="0.4">
      <c r="A194">
        <v>328</v>
      </c>
      <c r="B194" t="s">
        <v>1749</v>
      </c>
      <c r="C194" t="s">
        <v>2116</v>
      </c>
    </row>
    <row r="195" spans="1:3" x14ac:dyDescent="0.4">
      <c r="A195">
        <v>329</v>
      </c>
      <c r="B195" t="s">
        <v>1749</v>
      </c>
      <c r="C195" t="s">
        <v>2115</v>
      </c>
    </row>
    <row r="196" spans="1:3" x14ac:dyDescent="0.4">
      <c r="A196">
        <v>332</v>
      </c>
      <c r="B196" t="s">
        <v>1749</v>
      </c>
      <c r="C196" t="s">
        <v>2114</v>
      </c>
    </row>
    <row r="197" spans="1:3" x14ac:dyDescent="0.4">
      <c r="A197">
        <v>333</v>
      </c>
      <c r="B197" t="s">
        <v>1749</v>
      </c>
      <c r="C197" t="s">
        <v>2113</v>
      </c>
    </row>
    <row r="198" spans="1:3" x14ac:dyDescent="0.4">
      <c r="A198">
        <v>334</v>
      </c>
      <c r="B198" t="s">
        <v>1749</v>
      </c>
      <c r="C198" t="s">
        <v>2112</v>
      </c>
    </row>
    <row r="199" spans="1:3" x14ac:dyDescent="0.4">
      <c r="A199">
        <v>336</v>
      </c>
      <c r="B199" t="s">
        <v>1749</v>
      </c>
      <c r="C199" t="s">
        <v>2111</v>
      </c>
    </row>
    <row r="200" spans="1:3" x14ac:dyDescent="0.4">
      <c r="A200">
        <v>339</v>
      </c>
      <c r="B200" t="s">
        <v>1749</v>
      </c>
      <c r="C200" t="s">
        <v>2110</v>
      </c>
    </row>
    <row r="201" spans="1:3" x14ac:dyDescent="0.4">
      <c r="A201">
        <v>340</v>
      </c>
      <c r="B201" t="s">
        <v>1749</v>
      </c>
      <c r="C201" t="s">
        <v>2109</v>
      </c>
    </row>
    <row r="202" spans="1:3" x14ac:dyDescent="0.4">
      <c r="A202">
        <v>341</v>
      </c>
      <c r="B202" t="s">
        <v>1749</v>
      </c>
      <c r="C202" t="s">
        <v>2108</v>
      </c>
    </row>
    <row r="203" spans="1:3" x14ac:dyDescent="0.4">
      <c r="A203">
        <v>343</v>
      </c>
      <c r="B203" t="s">
        <v>1749</v>
      </c>
      <c r="C203" t="s">
        <v>2107</v>
      </c>
    </row>
    <row r="204" spans="1:3" x14ac:dyDescent="0.4">
      <c r="A204">
        <v>344</v>
      </c>
      <c r="B204" t="s">
        <v>1749</v>
      </c>
      <c r="C204" t="s">
        <v>2106</v>
      </c>
    </row>
    <row r="205" spans="1:3" x14ac:dyDescent="0.4">
      <c r="A205">
        <v>345</v>
      </c>
      <c r="B205" t="s">
        <v>1749</v>
      </c>
      <c r="C205" t="s">
        <v>2105</v>
      </c>
    </row>
    <row r="206" spans="1:3" x14ac:dyDescent="0.4">
      <c r="A206">
        <v>347</v>
      </c>
      <c r="B206" t="s">
        <v>1749</v>
      </c>
      <c r="C206" t="s">
        <v>2104</v>
      </c>
    </row>
    <row r="207" spans="1:3" x14ac:dyDescent="0.4">
      <c r="A207">
        <v>348</v>
      </c>
      <c r="B207" t="s">
        <v>1749</v>
      </c>
      <c r="C207" t="s">
        <v>2103</v>
      </c>
    </row>
    <row r="208" spans="1:3" x14ac:dyDescent="0.4">
      <c r="A208">
        <v>349</v>
      </c>
      <c r="B208" t="s">
        <v>1749</v>
      </c>
      <c r="C208" t="s">
        <v>2102</v>
      </c>
    </row>
    <row r="209" spans="1:3" x14ac:dyDescent="0.4">
      <c r="A209">
        <v>350</v>
      </c>
      <c r="B209" t="s">
        <v>1749</v>
      </c>
      <c r="C209" t="s">
        <v>2101</v>
      </c>
    </row>
    <row r="210" spans="1:3" x14ac:dyDescent="0.4">
      <c r="A210">
        <v>351</v>
      </c>
      <c r="B210" t="s">
        <v>1749</v>
      </c>
      <c r="C210" t="s">
        <v>2100</v>
      </c>
    </row>
    <row r="211" spans="1:3" x14ac:dyDescent="0.4">
      <c r="A211">
        <v>352</v>
      </c>
      <c r="B211" t="s">
        <v>1749</v>
      </c>
      <c r="C211" t="s">
        <v>2099</v>
      </c>
    </row>
    <row r="212" spans="1:3" x14ac:dyDescent="0.4">
      <c r="A212">
        <v>353</v>
      </c>
      <c r="B212" t="s">
        <v>1749</v>
      </c>
      <c r="C212" t="s">
        <v>2098</v>
      </c>
    </row>
    <row r="213" spans="1:3" x14ac:dyDescent="0.4">
      <c r="A213">
        <v>354</v>
      </c>
      <c r="B213" t="s">
        <v>1749</v>
      </c>
      <c r="C213" t="s">
        <v>2097</v>
      </c>
    </row>
    <row r="214" spans="1:3" x14ac:dyDescent="0.4">
      <c r="A214">
        <v>355</v>
      </c>
      <c r="B214" t="s">
        <v>1749</v>
      </c>
      <c r="C214" t="s">
        <v>2096</v>
      </c>
    </row>
    <row r="215" spans="1:3" x14ac:dyDescent="0.4">
      <c r="A215">
        <v>356</v>
      </c>
      <c r="B215" t="s">
        <v>1749</v>
      </c>
      <c r="C215" t="s">
        <v>2095</v>
      </c>
    </row>
    <row r="216" spans="1:3" x14ac:dyDescent="0.4">
      <c r="A216">
        <v>357</v>
      </c>
      <c r="B216" t="s">
        <v>1749</v>
      </c>
      <c r="C216" t="s">
        <v>2094</v>
      </c>
    </row>
    <row r="217" spans="1:3" x14ac:dyDescent="0.4">
      <c r="A217">
        <v>360</v>
      </c>
      <c r="B217" t="s">
        <v>1749</v>
      </c>
      <c r="C217" t="s">
        <v>2093</v>
      </c>
    </row>
    <row r="218" spans="1:3" x14ac:dyDescent="0.4">
      <c r="A218">
        <v>361</v>
      </c>
      <c r="B218" t="s">
        <v>1749</v>
      </c>
      <c r="C218" t="s">
        <v>2092</v>
      </c>
    </row>
    <row r="219" spans="1:3" x14ac:dyDescent="0.4">
      <c r="A219">
        <v>364</v>
      </c>
      <c r="B219" t="s">
        <v>1749</v>
      </c>
      <c r="C219" t="s">
        <v>2091</v>
      </c>
    </row>
    <row r="220" spans="1:3" x14ac:dyDescent="0.4">
      <c r="A220">
        <v>365</v>
      </c>
      <c r="B220" t="s">
        <v>1749</v>
      </c>
      <c r="C220" t="s">
        <v>2090</v>
      </c>
    </row>
    <row r="221" spans="1:3" x14ac:dyDescent="0.4">
      <c r="A221">
        <v>368</v>
      </c>
      <c r="B221" t="s">
        <v>1749</v>
      </c>
      <c r="C221" t="s">
        <v>2089</v>
      </c>
    </row>
    <row r="222" spans="1:3" x14ac:dyDescent="0.4">
      <c r="A222">
        <v>369</v>
      </c>
      <c r="B222" t="s">
        <v>1749</v>
      </c>
      <c r="C222" t="s">
        <v>2088</v>
      </c>
    </row>
    <row r="223" spans="1:3" x14ac:dyDescent="0.4">
      <c r="A223">
        <v>370</v>
      </c>
      <c r="B223" t="s">
        <v>1749</v>
      </c>
      <c r="C223" t="s">
        <v>2087</v>
      </c>
    </row>
    <row r="224" spans="1:3" x14ac:dyDescent="0.4">
      <c r="A224">
        <v>371</v>
      </c>
      <c r="B224" t="s">
        <v>1749</v>
      </c>
      <c r="C224" t="s">
        <v>2086</v>
      </c>
    </row>
    <row r="225" spans="1:3" x14ac:dyDescent="0.4">
      <c r="A225">
        <v>372</v>
      </c>
      <c r="B225" t="s">
        <v>1749</v>
      </c>
      <c r="C225" t="s">
        <v>2085</v>
      </c>
    </row>
    <row r="226" spans="1:3" x14ac:dyDescent="0.4">
      <c r="A226">
        <v>373</v>
      </c>
      <c r="B226" t="s">
        <v>1749</v>
      </c>
      <c r="C226" t="s">
        <v>2084</v>
      </c>
    </row>
    <row r="227" spans="1:3" x14ac:dyDescent="0.4">
      <c r="A227">
        <v>376</v>
      </c>
      <c r="B227" t="s">
        <v>1749</v>
      </c>
      <c r="C227" t="s">
        <v>2083</v>
      </c>
    </row>
    <row r="228" spans="1:3" x14ac:dyDescent="0.4">
      <c r="A228">
        <v>377</v>
      </c>
      <c r="B228" t="s">
        <v>1749</v>
      </c>
      <c r="C228" t="s">
        <v>2082</v>
      </c>
    </row>
    <row r="229" spans="1:3" x14ac:dyDescent="0.4">
      <c r="A229">
        <v>380</v>
      </c>
      <c r="B229" t="s">
        <v>1749</v>
      </c>
      <c r="C229" t="s">
        <v>2081</v>
      </c>
    </row>
    <row r="230" spans="1:3" x14ac:dyDescent="0.4">
      <c r="A230">
        <v>381</v>
      </c>
      <c r="B230" t="s">
        <v>1749</v>
      </c>
      <c r="C230" t="s">
        <v>2080</v>
      </c>
    </row>
    <row r="231" spans="1:3" x14ac:dyDescent="0.4">
      <c r="A231">
        <v>382</v>
      </c>
      <c r="B231" t="s">
        <v>1749</v>
      </c>
      <c r="C231" t="s">
        <v>2079</v>
      </c>
    </row>
    <row r="232" spans="1:3" x14ac:dyDescent="0.4">
      <c r="A232">
        <v>2032</v>
      </c>
      <c r="B232" t="s">
        <v>1749</v>
      </c>
      <c r="C232" t="s">
        <v>2078</v>
      </c>
    </row>
    <row r="233" spans="1:3" x14ac:dyDescent="0.4">
      <c r="A233">
        <v>2033</v>
      </c>
      <c r="B233" t="s">
        <v>1749</v>
      </c>
      <c r="C233" t="s">
        <v>2077</v>
      </c>
    </row>
    <row r="234" spans="1:3" x14ac:dyDescent="0.4">
      <c r="A234">
        <v>2034</v>
      </c>
      <c r="B234" t="s">
        <v>1749</v>
      </c>
      <c r="C234" t="s">
        <v>2076</v>
      </c>
    </row>
    <row r="235" spans="1:3" x14ac:dyDescent="0.4">
      <c r="A235">
        <v>2035</v>
      </c>
      <c r="B235" t="s">
        <v>1749</v>
      </c>
      <c r="C235" t="s">
        <v>2075</v>
      </c>
    </row>
    <row r="236" spans="1:3" x14ac:dyDescent="0.4">
      <c r="A236">
        <v>2036</v>
      </c>
      <c r="B236" t="s">
        <v>1749</v>
      </c>
      <c r="C236" t="s">
        <v>2074</v>
      </c>
    </row>
    <row r="237" spans="1:3" x14ac:dyDescent="0.4">
      <c r="A237">
        <v>2037</v>
      </c>
      <c r="B237" t="s">
        <v>1749</v>
      </c>
      <c r="C237" t="s">
        <v>2073</v>
      </c>
    </row>
    <row r="238" spans="1:3" x14ac:dyDescent="0.4">
      <c r="A238">
        <v>2038</v>
      </c>
      <c r="B238" t="s">
        <v>1749</v>
      </c>
      <c r="C238" t="s">
        <v>2072</v>
      </c>
    </row>
    <row r="239" spans="1:3" x14ac:dyDescent="0.4">
      <c r="A239">
        <v>2039</v>
      </c>
      <c r="B239" t="s">
        <v>1749</v>
      </c>
      <c r="C239" t="s">
        <v>2071</v>
      </c>
    </row>
    <row r="240" spans="1:3" x14ac:dyDescent="0.4">
      <c r="A240">
        <v>2040</v>
      </c>
      <c r="B240" t="s">
        <v>1749</v>
      </c>
      <c r="C240" t="s">
        <v>2070</v>
      </c>
    </row>
    <row r="241" spans="1:3" x14ac:dyDescent="0.4">
      <c r="A241">
        <v>2041</v>
      </c>
      <c r="B241" t="s">
        <v>1749</v>
      </c>
      <c r="C241" t="s">
        <v>2069</v>
      </c>
    </row>
    <row r="242" spans="1:3" x14ac:dyDescent="0.4">
      <c r="A242">
        <v>2042</v>
      </c>
      <c r="B242" t="s">
        <v>1749</v>
      </c>
      <c r="C242" t="s">
        <v>2068</v>
      </c>
    </row>
    <row r="243" spans="1:3" x14ac:dyDescent="0.4">
      <c r="A243">
        <v>2043</v>
      </c>
      <c r="B243" t="s">
        <v>1749</v>
      </c>
      <c r="C243" t="s">
        <v>2067</v>
      </c>
    </row>
    <row r="244" spans="1:3" x14ac:dyDescent="0.4">
      <c r="A244">
        <v>2044</v>
      </c>
      <c r="B244" t="s">
        <v>1749</v>
      </c>
      <c r="C244" t="s">
        <v>2066</v>
      </c>
    </row>
    <row r="245" spans="1:3" x14ac:dyDescent="0.4">
      <c r="A245">
        <v>2045</v>
      </c>
      <c r="B245" t="s">
        <v>1749</v>
      </c>
      <c r="C245" t="s">
        <v>2065</v>
      </c>
    </row>
    <row r="246" spans="1:3" x14ac:dyDescent="0.4">
      <c r="A246">
        <v>2046</v>
      </c>
      <c r="B246" t="s">
        <v>1749</v>
      </c>
      <c r="C246" t="s">
        <v>2064</v>
      </c>
    </row>
    <row r="247" spans="1:3" x14ac:dyDescent="0.4">
      <c r="A247">
        <v>2047</v>
      </c>
      <c r="B247" t="s">
        <v>1749</v>
      </c>
      <c r="C247" t="s">
        <v>2063</v>
      </c>
    </row>
    <row r="248" spans="1:3" x14ac:dyDescent="0.4">
      <c r="A248">
        <v>2048</v>
      </c>
      <c r="B248" t="s">
        <v>1749</v>
      </c>
      <c r="C248" t="s">
        <v>2062</v>
      </c>
    </row>
    <row r="249" spans="1:3" x14ac:dyDescent="0.4">
      <c r="A249">
        <v>2049</v>
      </c>
      <c r="B249" t="s">
        <v>1749</v>
      </c>
      <c r="C249" t="s">
        <v>2061</v>
      </c>
    </row>
    <row r="250" spans="1:3" x14ac:dyDescent="0.4">
      <c r="A250">
        <v>2050</v>
      </c>
      <c r="B250" t="s">
        <v>1749</v>
      </c>
      <c r="C250" t="s">
        <v>2060</v>
      </c>
    </row>
    <row r="251" spans="1:3" x14ac:dyDescent="0.4">
      <c r="A251">
        <v>2051</v>
      </c>
      <c r="B251" t="s">
        <v>1749</v>
      </c>
      <c r="C251" t="s">
        <v>2059</v>
      </c>
    </row>
    <row r="252" spans="1:3" x14ac:dyDescent="0.4">
      <c r="A252">
        <v>2052</v>
      </c>
      <c r="B252" t="s">
        <v>1749</v>
      </c>
      <c r="C252" t="s">
        <v>2058</v>
      </c>
    </row>
    <row r="253" spans="1:3" x14ac:dyDescent="0.4">
      <c r="A253">
        <v>2053</v>
      </c>
      <c r="B253" t="s">
        <v>1749</v>
      </c>
      <c r="C253" t="s">
        <v>2057</v>
      </c>
    </row>
    <row r="254" spans="1:3" x14ac:dyDescent="0.4">
      <c r="A254">
        <v>2054</v>
      </c>
      <c r="B254" t="s">
        <v>1749</v>
      </c>
      <c r="C254" t="s">
        <v>2056</v>
      </c>
    </row>
    <row r="255" spans="1:3" x14ac:dyDescent="0.4">
      <c r="A255">
        <v>2055</v>
      </c>
      <c r="B255" t="s">
        <v>1749</v>
      </c>
      <c r="C255" t="s">
        <v>2055</v>
      </c>
    </row>
    <row r="256" spans="1:3" x14ac:dyDescent="0.4">
      <c r="A256">
        <v>2056</v>
      </c>
      <c r="B256" t="s">
        <v>1749</v>
      </c>
      <c r="C256" t="s">
        <v>2054</v>
      </c>
    </row>
    <row r="257" spans="1:3" x14ac:dyDescent="0.4">
      <c r="A257">
        <v>2057</v>
      </c>
      <c r="B257" t="s">
        <v>1749</v>
      </c>
      <c r="C257" t="s">
        <v>2053</v>
      </c>
    </row>
    <row r="258" spans="1:3" x14ac:dyDescent="0.4">
      <c r="A258">
        <v>2058</v>
      </c>
      <c r="B258" t="s">
        <v>1749</v>
      </c>
      <c r="C258" t="s">
        <v>2052</v>
      </c>
    </row>
    <row r="259" spans="1:3" x14ac:dyDescent="0.4">
      <c r="A259">
        <v>2059</v>
      </c>
      <c r="B259" t="s">
        <v>1749</v>
      </c>
      <c r="C259" t="s">
        <v>2051</v>
      </c>
    </row>
    <row r="260" spans="1:3" x14ac:dyDescent="0.4">
      <c r="A260">
        <v>2060</v>
      </c>
      <c r="B260" t="s">
        <v>1749</v>
      </c>
      <c r="C260" t="s">
        <v>2050</v>
      </c>
    </row>
    <row r="261" spans="1:3" x14ac:dyDescent="0.4">
      <c r="A261">
        <v>2061</v>
      </c>
      <c r="B261" t="s">
        <v>1749</v>
      </c>
      <c r="C261" t="s">
        <v>2049</v>
      </c>
    </row>
    <row r="262" spans="1:3" x14ac:dyDescent="0.4">
      <c r="A262">
        <v>2062</v>
      </c>
      <c r="B262" t="s">
        <v>1749</v>
      </c>
      <c r="C262" t="s">
        <v>2048</v>
      </c>
    </row>
    <row r="263" spans="1:3" x14ac:dyDescent="0.4">
      <c r="A263">
        <v>2063</v>
      </c>
      <c r="B263" t="s">
        <v>1749</v>
      </c>
      <c r="C263" t="s">
        <v>2047</v>
      </c>
    </row>
    <row r="264" spans="1:3" x14ac:dyDescent="0.4">
      <c r="A264">
        <v>2096</v>
      </c>
      <c r="B264" t="s">
        <v>1749</v>
      </c>
      <c r="C264" t="s">
        <v>2046</v>
      </c>
    </row>
    <row r="265" spans="1:3" x14ac:dyDescent="0.4">
      <c r="A265">
        <v>2097</v>
      </c>
      <c r="B265" t="s">
        <v>1749</v>
      </c>
      <c r="C265" t="s">
        <v>2045</v>
      </c>
    </row>
    <row r="266" spans="1:3" x14ac:dyDescent="0.4">
      <c r="A266">
        <v>2098</v>
      </c>
      <c r="B266" t="s">
        <v>1749</v>
      </c>
      <c r="C266" t="s">
        <v>2044</v>
      </c>
    </row>
    <row r="267" spans="1:3" x14ac:dyDescent="0.4">
      <c r="A267">
        <v>2099</v>
      </c>
      <c r="B267" t="s">
        <v>1749</v>
      </c>
      <c r="C267" t="s">
        <v>2043</v>
      </c>
    </row>
    <row r="268" spans="1:3" x14ac:dyDescent="0.4">
      <c r="A268">
        <v>2100</v>
      </c>
      <c r="B268" t="s">
        <v>1749</v>
      </c>
      <c r="C268" t="s">
        <v>2042</v>
      </c>
    </row>
    <row r="269" spans="1:3" x14ac:dyDescent="0.4">
      <c r="A269">
        <v>2101</v>
      </c>
      <c r="B269" t="s">
        <v>1749</v>
      </c>
      <c r="C269" t="s">
        <v>2041</v>
      </c>
    </row>
    <row r="270" spans="1:3" x14ac:dyDescent="0.4">
      <c r="A270">
        <v>2102</v>
      </c>
      <c r="B270" t="s">
        <v>1749</v>
      </c>
      <c r="C270" t="s">
        <v>2040</v>
      </c>
    </row>
    <row r="271" spans="1:3" x14ac:dyDescent="0.4">
      <c r="A271">
        <v>2103</v>
      </c>
      <c r="B271" t="s">
        <v>1749</v>
      </c>
      <c r="C271" t="s">
        <v>2039</v>
      </c>
    </row>
    <row r="272" spans="1:3" x14ac:dyDescent="0.4">
      <c r="A272">
        <v>2108</v>
      </c>
      <c r="B272" t="s">
        <v>1749</v>
      </c>
      <c r="C272" t="s">
        <v>2038</v>
      </c>
    </row>
    <row r="273" spans="1:3" x14ac:dyDescent="0.4">
      <c r="A273">
        <v>2109</v>
      </c>
      <c r="B273" t="s">
        <v>1749</v>
      </c>
      <c r="C273" t="s">
        <v>2037</v>
      </c>
    </row>
    <row r="274" spans="1:3" x14ac:dyDescent="0.4">
      <c r="A274">
        <v>2128</v>
      </c>
      <c r="B274" t="s">
        <v>1749</v>
      </c>
      <c r="C274" t="s">
        <v>2036</v>
      </c>
    </row>
    <row r="275" spans="1:3" x14ac:dyDescent="0.4">
      <c r="A275">
        <v>2129</v>
      </c>
      <c r="B275" t="s">
        <v>1749</v>
      </c>
      <c r="C275" t="s">
        <v>2035</v>
      </c>
    </row>
    <row r="276" spans="1:3" x14ac:dyDescent="0.4">
      <c r="A276">
        <v>2130</v>
      </c>
      <c r="B276" t="s">
        <v>1749</v>
      </c>
      <c r="C276" t="s">
        <v>2034</v>
      </c>
    </row>
    <row r="277" spans="1:3" x14ac:dyDescent="0.4">
      <c r="A277">
        <v>2132</v>
      </c>
      <c r="B277" t="s">
        <v>1749</v>
      </c>
      <c r="C277" t="s">
        <v>2033</v>
      </c>
    </row>
    <row r="278" spans="1:3" x14ac:dyDescent="0.4">
      <c r="A278">
        <v>2133</v>
      </c>
      <c r="B278" t="s">
        <v>1749</v>
      </c>
      <c r="C278" t="s">
        <v>2032</v>
      </c>
    </row>
    <row r="279" spans="1:3" x14ac:dyDescent="0.4">
      <c r="A279">
        <v>2134</v>
      </c>
      <c r="B279" t="s">
        <v>1749</v>
      </c>
      <c r="C279" t="s">
        <v>2031</v>
      </c>
    </row>
    <row r="280" spans="1:3" x14ac:dyDescent="0.4">
      <c r="A280">
        <v>2136</v>
      </c>
      <c r="B280" t="s">
        <v>1749</v>
      </c>
      <c r="C280" t="s">
        <v>2030</v>
      </c>
    </row>
    <row r="281" spans="1:3" x14ac:dyDescent="0.4">
      <c r="A281">
        <v>2137</v>
      </c>
      <c r="B281" t="s">
        <v>1749</v>
      </c>
      <c r="C281" t="s">
        <v>2029</v>
      </c>
    </row>
    <row r="282" spans="1:3" x14ac:dyDescent="0.4">
      <c r="A282">
        <v>2138</v>
      </c>
      <c r="B282" t="s">
        <v>1749</v>
      </c>
      <c r="C282" t="s">
        <v>2028</v>
      </c>
    </row>
    <row r="283" spans="1:3" x14ac:dyDescent="0.4">
      <c r="A283">
        <v>2139</v>
      </c>
      <c r="B283" t="s">
        <v>1749</v>
      </c>
      <c r="C283" t="s">
        <v>2027</v>
      </c>
    </row>
    <row r="284" spans="1:3" x14ac:dyDescent="0.4">
      <c r="A284">
        <v>2140</v>
      </c>
      <c r="B284" t="s">
        <v>1749</v>
      </c>
      <c r="C284" t="s">
        <v>2026</v>
      </c>
    </row>
    <row r="285" spans="1:3" x14ac:dyDescent="0.4">
      <c r="A285">
        <v>2144</v>
      </c>
      <c r="B285" t="s">
        <v>1749</v>
      </c>
      <c r="C285" t="s">
        <v>2025</v>
      </c>
    </row>
    <row r="286" spans="1:3" x14ac:dyDescent="0.4">
      <c r="A286">
        <v>2145</v>
      </c>
      <c r="B286" t="s">
        <v>1749</v>
      </c>
      <c r="C286" t="s">
        <v>2024</v>
      </c>
    </row>
    <row r="287" spans="1:3" x14ac:dyDescent="0.4">
      <c r="A287">
        <v>2146</v>
      </c>
      <c r="B287" t="s">
        <v>1749</v>
      </c>
      <c r="C287" t="s">
        <v>2023</v>
      </c>
    </row>
    <row r="288" spans="1:3" x14ac:dyDescent="0.4">
      <c r="A288">
        <v>2147</v>
      </c>
      <c r="B288" t="s">
        <v>1749</v>
      </c>
      <c r="C288" t="s">
        <v>2022</v>
      </c>
    </row>
    <row r="289" spans="1:3" x14ac:dyDescent="0.4">
      <c r="A289">
        <v>2150</v>
      </c>
      <c r="B289" t="s">
        <v>1749</v>
      </c>
      <c r="C289" t="s">
        <v>2021</v>
      </c>
    </row>
    <row r="290" spans="1:3" x14ac:dyDescent="0.4">
      <c r="A290">
        <v>2151</v>
      </c>
      <c r="B290" t="s">
        <v>1749</v>
      </c>
      <c r="C290" t="s">
        <v>2020</v>
      </c>
    </row>
    <row r="291" spans="1:3" x14ac:dyDescent="0.4">
      <c r="A291">
        <v>2152</v>
      </c>
      <c r="B291" t="s">
        <v>1749</v>
      </c>
      <c r="C291" t="s">
        <v>2019</v>
      </c>
    </row>
    <row r="292" spans="1:3" x14ac:dyDescent="0.4">
      <c r="A292">
        <v>2153</v>
      </c>
      <c r="B292" t="s">
        <v>1749</v>
      </c>
      <c r="C292" t="s">
        <v>2018</v>
      </c>
    </row>
    <row r="293" spans="1:3" x14ac:dyDescent="0.4">
      <c r="A293">
        <v>2154</v>
      </c>
      <c r="B293" t="s">
        <v>1749</v>
      </c>
      <c r="C293" t="s">
        <v>2017</v>
      </c>
    </row>
    <row r="294" spans="1:3" x14ac:dyDescent="0.4">
      <c r="A294">
        <v>2156</v>
      </c>
      <c r="B294" t="s">
        <v>1749</v>
      </c>
      <c r="C294" t="s">
        <v>2016</v>
      </c>
    </row>
    <row r="295" spans="1:3" x14ac:dyDescent="0.4">
      <c r="A295">
        <v>2157</v>
      </c>
      <c r="B295" t="s">
        <v>1749</v>
      </c>
      <c r="C295" t="s">
        <v>2015</v>
      </c>
    </row>
    <row r="296" spans="1:3" x14ac:dyDescent="0.4">
      <c r="A296">
        <v>2160</v>
      </c>
      <c r="B296" t="s">
        <v>1749</v>
      </c>
      <c r="C296" t="s">
        <v>2014</v>
      </c>
    </row>
    <row r="297" spans="1:3" x14ac:dyDescent="0.4">
      <c r="A297">
        <v>2161</v>
      </c>
      <c r="B297" t="s">
        <v>1749</v>
      </c>
      <c r="C297" t="s">
        <v>2013</v>
      </c>
    </row>
    <row r="298" spans="1:3" x14ac:dyDescent="0.4">
      <c r="A298">
        <v>2162</v>
      </c>
      <c r="B298" t="s">
        <v>1749</v>
      </c>
      <c r="C298" t="s">
        <v>2012</v>
      </c>
    </row>
    <row r="299" spans="1:3" x14ac:dyDescent="0.4">
      <c r="A299">
        <v>2163</v>
      </c>
      <c r="B299" t="s">
        <v>1749</v>
      </c>
      <c r="C299" t="s">
        <v>2011</v>
      </c>
    </row>
    <row r="300" spans="1:3" x14ac:dyDescent="0.4">
      <c r="A300">
        <v>2166</v>
      </c>
      <c r="B300" t="s">
        <v>1749</v>
      </c>
      <c r="C300" t="s">
        <v>2010</v>
      </c>
    </row>
    <row r="301" spans="1:3" x14ac:dyDescent="0.4">
      <c r="A301">
        <v>2167</v>
      </c>
      <c r="B301" t="s">
        <v>1749</v>
      </c>
      <c r="C301" t="s">
        <v>2009</v>
      </c>
    </row>
    <row r="302" spans="1:3" x14ac:dyDescent="0.4">
      <c r="A302">
        <v>2168</v>
      </c>
      <c r="B302" t="s">
        <v>1749</v>
      </c>
      <c r="C302" t="s">
        <v>2008</v>
      </c>
    </row>
    <row r="303" spans="1:3" x14ac:dyDescent="0.4">
      <c r="A303">
        <v>2169</v>
      </c>
      <c r="B303" t="s">
        <v>1749</v>
      </c>
      <c r="C303" t="s">
        <v>2007</v>
      </c>
    </row>
    <row r="304" spans="1:3" x14ac:dyDescent="0.4">
      <c r="A304">
        <v>2170</v>
      </c>
      <c r="B304" t="s">
        <v>1749</v>
      </c>
      <c r="C304" t="s">
        <v>2006</v>
      </c>
    </row>
    <row r="305" spans="1:3" x14ac:dyDescent="0.4">
      <c r="A305">
        <v>2171</v>
      </c>
      <c r="B305" t="s">
        <v>1749</v>
      </c>
      <c r="C305" t="s">
        <v>2005</v>
      </c>
    </row>
    <row r="306" spans="1:3" x14ac:dyDescent="0.4">
      <c r="A306">
        <v>2172</v>
      </c>
      <c r="B306" t="s">
        <v>1749</v>
      </c>
      <c r="C306" t="s">
        <v>2004</v>
      </c>
    </row>
    <row r="307" spans="1:3" x14ac:dyDescent="0.4">
      <c r="A307">
        <v>2173</v>
      </c>
      <c r="B307" t="s">
        <v>1749</v>
      </c>
      <c r="C307" t="s">
        <v>2003</v>
      </c>
    </row>
    <row r="308" spans="1:3" x14ac:dyDescent="0.4">
      <c r="A308">
        <v>2174</v>
      </c>
      <c r="B308" t="s">
        <v>1749</v>
      </c>
      <c r="C308" t="s">
        <v>2002</v>
      </c>
    </row>
    <row r="309" spans="1:3" x14ac:dyDescent="0.4">
      <c r="A309">
        <v>2175</v>
      </c>
      <c r="B309" t="s">
        <v>1749</v>
      </c>
      <c r="C309" t="s">
        <v>2001</v>
      </c>
    </row>
    <row r="310" spans="1:3" x14ac:dyDescent="0.4">
      <c r="A310">
        <v>2176</v>
      </c>
      <c r="B310" t="s">
        <v>1749</v>
      </c>
      <c r="C310" t="s">
        <v>2000</v>
      </c>
    </row>
    <row r="311" spans="1:3" x14ac:dyDescent="0.4">
      <c r="A311">
        <v>2177</v>
      </c>
      <c r="B311" t="s">
        <v>1749</v>
      </c>
      <c r="C311" t="s">
        <v>1999</v>
      </c>
    </row>
    <row r="312" spans="1:3" x14ac:dyDescent="0.4">
      <c r="A312">
        <v>2178</v>
      </c>
      <c r="B312" t="s">
        <v>1749</v>
      </c>
      <c r="C312" t="s">
        <v>1998</v>
      </c>
    </row>
    <row r="313" spans="1:3" x14ac:dyDescent="0.4">
      <c r="A313">
        <v>2180</v>
      </c>
      <c r="B313" t="s">
        <v>1749</v>
      </c>
      <c r="C313" t="s">
        <v>1997</v>
      </c>
    </row>
    <row r="314" spans="1:3" x14ac:dyDescent="0.4">
      <c r="A314">
        <v>2181</v>
      </c>
      <c r="B314" t="s">
        <v>1749</v>
      </c>
      <c r="C314" t="s">
        <v>1996</v>
      </c>
    </row>
    <row r="315" spans="1:3" x14ac:dyDescent="0.4">
      <c r="A315">
        <v>2182</v>
      </c>
      <c r="B315" t="s">
        <v>1749</v>
      </c>
      <c r="C315" t="s">
        <v>1995</v>
      </c>
    </row>
    <row r="316" spans="1:3" x14ac:dyDescent="0.4">
      <c r="A316">
        <v>2184</v>
      </c>
      <c r="B316" t="s">
        <v>1749</v>
      </c>
      <c r="C316" t="s">
        <v>1994</v>
      </c>
    </row>
    <row r="317" spans="1:3" x14ac:dyDescent="0.4">
      <c r="A317">
        <v>2185</v>
      </c>
      <c r="B317" t="s">
        <v>1749</v>
      </c>
      <c r="C317" t="s">
        <v>1993</v>
      </c>
    </row>
    <row r="318" spans="1:3" x14ac:dyDescent="0.4">
      <c r="A318">
        <v>2186</v>
      </c>
      <c r="B318" t="s">
        <v>1749</v>
      </c>
      <c r="C318" t="s">
        <v>1992</v>
      </c>
    </row>
    <row r="319" spans="1:3" x14ac:dyDescent="0.4">
      <c r="A319">
        <v>2187</v>
      </c>
      <c r="B319" t="s">
        <v>1749</v>
      </c>
      <c r="C319" t="s">
        <v>1991</v>
      </c>
    </row>
    <row r="320" spans="1:3" x14ac:dyDescent="0.4">
      <c r="A320">
        <v>2188</v>
      </c>
      <c r="B320" t="s">
        <v>1749</v>
      </c>
      <c r="C320" t="s">
        <v>1990</v>
      </c>
    </row>
    <row r="321" spans="1:3" x14ac:dyDescent="0.4">
      <c r="A321">
        <v>2192</v>
      </c>
      <c r="B321" t="s">
        <v>1749</v>
      </c>
      <c r="C321" t="s">
        <v>1989</v>
      </c>
    </row>
    <row r="322" spans="1:3" x14ac:dyDescent="0.4">
      <c r="A322">
        <v>2193</v>
      </c>
      <c r="B322" t="s">
        <v>1749</v>
      </c>
      <c r="C322" t="s">
        <v>1988</v>
      </c>
    </row>
    <row r="323" spans="1:3" x14ac:dyDescent="0.4">
      <c r="A323">
        <v>2194</v>
      </c>
      <c r="B323" t="s">
        <v>1749</v>
      </c>
      <c r="C323" t="s">
        <v>1987</v>
      </c>
    </row>
    <row r="324" spans="1:3" x14ac:dyDescent="0.4">
      <c r="A324">
        <v>2195</v>
      </c>
      <c r="B324" t="s">
        <v>1749</v>
      </c>
      <c r="C324" t="s">
        <v>1986</v>
      </c>
    </row>
    <row r="325" spans="1:3" x14ac:dyDescent="0.4">
      <c r="A325">
        <v>2198</v>
      </c>
      <c r="B325" t="s">
        <v>1749</v>
      </c>
      <c r="C325" t="s">
        <v>1985</v>
      </c>
    </row>
    <row r="326" spans="1:3" x14ac:dyDescent="0.4">
      <c r="A326">
        <v>2199</v>
      </c>
      <c r="B326" t="s">
        <v>1749</v>
      </c>
      <c r="C326" t="s">
        <v>1984</v>
      </c>
    </row>
    <row r="327" spans="1:3" x14ac:dyDescent="0.4">
      <c r="A327">
        <v>2200</v>
      </c>
      <c r="B327" t="s">
        <v>1749</v>
      </c>
      <c r="C327" t="s">
        <v>1983</v>
      </c>
    </row>
    <row r="328" spans="1:3" x14ac:dyDescent="0.4">
      <c r="A328">
        <v>2201</v>
      </c>
      <c r="B328" t="s">
        <v>1749</v>
      </c>
      <c r="C328" t="s">
        <v>1982</v>
      </c>
    </row>
    <row r="329" spans="1:3" x14ac:dyDescent="0.4">
      <c r="A329">
        <v>2202</v>
      </c>
      <c r="B329" t="s">
        <v>1749</v>
      </c>
      <c r="C329" t="s">
        <v>1981</v>
      </c>
    </row>
    <row r="330" spans="1:3" x14ac:dyDescent="0.4">
      <c r="A330">
        <v>2204</v>
      </c>
      <c r="B330" t="s">
        <v>1749</v>
      </c>
      <c r="C330" t="s">
        <v>1980</v>
      </c>
    </row>
    <row r="331" spans="1:3" x14ac:dyDescent="0.4">
      <c r="A331">
        <v>2205</v>
      </c>
      <c r="B331" t="s">
        <v>1749</v>
      </c>
      <c r="C331" t="s">
        <v>1979</v>
      </c>
    </row>
    <row r="332" spans="1:3" x14ac:dyDescent="0.4">
      <c r="A332">
        <v>2208</v>
      </c>
      <c r="B332" t="s">
        <v>1749</v>
      </c>
      <c r="C332" t="s">
        <v>1978</v>
      </c>
    </row>
    <row r="333" spans="1:3" x14ac:dyDescent="0.4">
      <c r="A333">
        <v>2209</v>
      </c>
      <c r="B333" t="s">
        <v>1749</v>
      </c>
      <c r="C333" t="s">
        <v>1977</v>
      </c>
    </row>
    <row r="334" spans="1:3" x14ac:dyDescent="0.4">
      <c r="A334">
        <v>2210</v>
      </c>
      <c r="B334" t="s">
        <v>1749</v>
      </c>
      <c r="C334" t="s">
        <v>1976</v>
      </c>
    </row>
    <row r="335" spans="1:3" x14ac:dyDescent="0.4">
      <c r="A335">
        <v>2211</v>
      </c>
      <c r="B335" t="s">
        <v>1749</v>
      </c>
      <c r="C335" t="s">
        <v>1975</v>
      </c>
    </row>
    <row r="336" spans="1:3" x14ac:dyDescent="0.4">
      <c r="A336">
        <v>2213</v>
      </c>
      <c r="B336" t="s">
        <v>1749</v>
      </c>
      <c r="C336" t="s">
        <v>1974</v>
      </c>
    </row>
    <row r="337" spans="1:3" x14ac:dyDescent="0.4">
      <c r="A337">
        <v>2214</v>
      </c>
      <c r="B337" t="s">
        <v>1749</v>
      </c>
      <c r="C337" t="s">
        <v>1973</v>
      </c>
    </row>
    <row r="338" spans="1:3" x14ac:dyDescent="0.4">
      <c r="A338">
        <v>2215</v>
      </c>
      <c r="B338" t="s">
        <v>1749</v>
      </c>
      <c r="C338" t="s">
        <v>1972</v>
      </c>
    </row>
    <row r="339" spans="1:3" x14ac:dyDescent="0.4">
      <c r="A339">
        <v>2216</v>
      </c>
      <c r="B339" t="s">
        <v>1749</v>
      </c>
      <c r="C339" t="s">
        <v>1971</v>
      </c>
    </row>
    <row r="340" spans="1:3" x14ac:dyDescent="0.4">
      <c r="A340">
        <v>2217</v>
      </c>
      <c r="B340" t="s">
        <v>1749</v>
      </c>
      <c r="C340" t="s">
        <v>1970</v>
      </c>
    </row>
    <row r="341" spans="1:3" x14ac:dyDescent="0.4">
      <c r="A341">
        <v>2218</v>
      </c>
      <c r="B341" t="s">
        <v>1749</v>
      </c>
      <c r="C341" t="s">
        <v>1969</v>
      </c>
    </row>
    <row r="342" spans="1:3" x14ac:dyDescent="0.4">
      <c r="A342">
        <v>2219</v>
      </c>
      <c r="B342" t="s">
        <v>1749</v>
      </c>
      <c r="C342" t="s">
        <v>1968</v>
      </c>
    </row>
    <row r="343" spans="1:3" x14ac:dyDescent="0.4">
      <c r="A343">
        <v>2220</v>
      </c>
      <c r="B343" t="s">
        <v>1749</v>
      </c>
      <c r="C343" t="s">
        <v>1967</v>
      </c>
    </row>
    <row r="344" spans="1:3" x14ac:dyDescent="0.4">
      <c r="A344">
        <v>2221</v>
      </c>
      <c r="B344" t="s">
        <v>1749</v>
      </c>
      <c r="C344" t="s">
        <v>1966</v>
      </c>
    </row>
    <row r="345" spans="1:3" x14ac:dyDescent="0.4">
      <c r="A345">
        <v>2222</v>
      </c>
      <c r="B345" t="s">
        <v>1749</v>
      </c>
      <c r="C345" t="s">
        <v>1965</v>
      </c>
    </row>
    <row r="346" spans="1:3" x14ac:dyDescent="0.4">
      <c r="A346">
        <v>2223</v>
      </c>
      <c r="B346" t="s">
        <v>1749</v>
      </c>
      <c r="C346" t="s">
        <v>1964</v>
      </c>
    </row>
    <row r="347" spans="1:3" x14ac:dyDescent="0.4">
      <c r="A347">
        <v>2224</v>
      </c>
      <c r="B347" t="s">
        <v>1749</v>
      </c>
      <c r="C347" t="s">
        <v>1963</v>
      </c>
    </row>
    <row r="348" spans="1:3" x14ac:dyDescent="0.4">
      <c r="A348">
        <v>2225</v>
      </c>
      <c r="B348" t="s">
        <v>1749</v>
      </c>
      <c r="C348" t="s">
        <v>1962</v>
      </c>
    </row>
    <row r="349" spans="1:3" x14ac:dyDescent="0.4">
      <c r="A349">
        <v>2226</v>
      </c>
      <c r="B349" t="s">
        <v>1749</v>
      </c>
      <c r="C349" t="s">
        <v>1961</v>
      </c>
    </row>
    <row r="350" spans="1:3" x14ac:dyDescent="0.4">
      <c r="A350">
        <v>2228</v>
      </c>
      <c r="B350" t="s">
        <v>1749</v>
      </c>
      <c r="C350" t="s">
        <v>1960</v>
      </c>
    </row>
    <row r="351" spans="1:3" x14ac:dyDescent="0.4">
      <c r="A351">
        <v>2229</v>
      </c>
      <c r="B351" t="s">
        <v>1749</v>
      </c>
      <c r="C351" t="s">
        <v>1959</v>
      </c>
    </row>
    <row r="352" spans="1:3" x14ac:dyDescent="0.4">
      <c r="A352">
        <v>2230</v>
      </c>
      <c r="B352" t="s">
        <v>1749</v>
      </c>
      <c r="C352" t="s">
        <v>1958</v>
      </c>
    </row>
    <row r="353" spans="1:3" x14ac:dyDescent="0.4">
      <c r="A353">
        <v>2232</v>
      </c>
      <c r="B353" t="s">
        <v>1749</v>
      </c>
      <c r="C353" t="s">
        <v>1957</v>
      </c>
    </row>
    <row r="354" spans="1:3" x14ac:dyDescent="0.4">
      <c r="A354">
        <v>2233</v>
      </c>
      <c r="B354" t="s">
        <v>1749</v>
      </c>
      <c r="C354" t="s">
        <v>1956</v>
      </c>
    </row>
    <row r="355" spans="1:3" x14ac:dyDescent="0.4">
      <c r="A355">
        <v>2235</v>
      </c>
      <c r="B355" t="s">
        <v>1749</v>
      </c>
      <c r="C355" t="s">
        <v>1955</v>
      </c>
    </row>
    <row r="356" spans="1:3" x14ac:dyDescent="0.4">
      <c r="A356">
        <v>2236</v>
      </c>
      <c r="B356" t="s">
        <v>1749</v>
      </c>
      <c r="C356" t="s">
        <v>1954</v>
      </c>
    </row>
    <row r="357" spans="1:3" x14ac:dyDescent="0.4">
      <c r="A357">
        <v>2237</v>
      </c>
      <c r="B357" t="s">
        <v>1749</v>
      </c>
      <c r="C357" t="s">
        <v>1953</v>
      </c>
    </row>
    <row r="358" spans="1:3" x14ac:dyDescent="0.4">
      <c r="A358">
        <v>2238</v>
      </c>
      <c r="B358" t="s">
        <v>1749</v>
      </c>
      <c r="C358" t="s">
        <v>1952</v>
      </c>
    </row>
    <row r="359" spans="1:3" x14ac:dyDescent="0.4">
      <c r="A359">
        <v>2239</v>
      </c>
      <c r="B359" t="s">
        <v>1749</v>
      </c>
      <c r="C359" t="s">
        <v>1951</v>
      </c>
    </row>
    <row r="360" spans="1:3" x14ac:dyDescent="0.4">
      <c r="A360">
        <v>2240</v>
      </c>
      <c r="B360" t="s">
        <v>1749</v>
      </c>
      <c r="C360" t="s">
        <v>1950</v>
      </c>
    </row>
    <row r="361" spans="1:3" x14ac:dyDescent="0.4">
      <c r="A361">
        <v>2241</v>
      </c>
      <c r="B361" t="s">
        <v>1749</v>
      </c>
      <c r="C361" t="s">
        <v>1949</v>
      </c>
    </row>
    <row r="362" spans="1:3" x14ac:dyDescent="0.4">
      <c r="A362">
        <v>2242</v>
      </c>
      <c r="B362" t="s">
        <v>1749</v>
      </c>
      <c r="C362" t="s">
        <v>1948</v>
      </c>
    </row>
    <row r="363" spans="1:3" x14ac:dyDescent="0.4">
      <c r="A363">
        <v>2243</v>
      </c>
      <c r="B363" t="s">
        <v>1749</v>
      </c>
      <c r="C363" t="s">
        <v>1947</v>
      </c>
    </row>
    <row r="364" spans="1:3" x14ac:dyDescent="0.4">
      <c r="A364">
        <v>2248</v>
      </c>
      <c r="B364" t="s">
        <v>1749</v>
      </c>
      <c r="C364" t="s">
        <v>1946</v>
      </c>
    </row>
    <row r="365" spans="1:3" x14ac:dyDescent="0.4">
      <c r="A365">
        <v>2249</v>
      </c>
      <c r="B365" t="s">
        <v>1749</v>
      </c>
      <c r="C365" t="s">
        <v>1945</v>
      </c>
    </row>
    <row r="366" spans="1:3" x14ac:dyDescent="0.4">
      <c r="A366">
        <v>2251</v>
      </c>
      <c r="B366" t="s">
        <v>1749</v>
      </c>
      <c r="C366" t="s">
        <v>1944</v>
      </c>
    </row>
    <row r="367" spans="1:3" x14ac:dyDescent="0.4">
      <c r="A367">
        <v>2252</v>
      </c>
      <c r="B367" t="s">
        <v>1749</v>
      </c>
      <c r="C367" t="s">
        <v>1943</v>
      </c>
    </row>
    <row r="368" spans="1:3" x14ac:dyDescent="0.4">
      <c r="A368">
        <v>2253</v>
      </c>
      <c r="B368" t="s">
        <v>1749</v>
      </c>
      <c r="C368" t="s">
        <v>1942</v>
      </c>
    </row>
    <row r="369" spans="1:3" x14ac:dyDescent="0.4">
      <c r="A369">
        <v>2254</v>
      </c>
      <c r="B369" t="s">
        <v>1749</v>
      </c>
      <c r="C369" t="s">
        <v>1941</v>
      </c>
    </row>
    <row r="370" spans="1:3" x14ac:dyDescent="0.4">
      <c r="A370">
        <v>2255</v>
      </c>
      <c r="B370" t="s">
        <v>1749</v>
      </c>
      <c r="C370" t="s">
        <v>1940</v>
      </c>
    </row>
    <row r="371" spans="1:3" x14ac:dyDescent="0.4">
      <c r="A371">
        <v>2256</v>
      </c>
      <c r="B371" t="s">
        <v>1749</v>
      </c>
      <c r="C371" t="s">
        <v>1939</v>
      </c>
    </row>
    <row r="372" spans="1:3" x14ac:dyDescent="0.4">
      <c r="A372">
        <v>2257</v>
      </c>
      <c r="B372" t="s">
        <v>1749</v>
      </c>
      <c r="C372" t="s">
        <v>1938</v>
      </c>
    </row>
    <row r="373" spans="1:3" x14ac:dyDescent="0.4">
      <c r="A373">
        <v>2258</v>
      </c>
      <c r="B373" t="s">
        <v>1749</v>
      </c>
      <c r="C373" t="s">
        <v>1937</v>
      </c>
    </row>
    <row r="374" spans="1:3" x14ac:dyDescent="0.4">
      <c r="A374">
        <v>2259</v>
      </c>
      <c r="B374" t="s">
        <v>1749</v>
      </c>
      <c r="C374" t="s">
        <v>1936</v>
      </c>
    </row>
    <row r="375" spans="1:3" x14ac:dyDescent="0.4">
      <c r="A375">
        <v>2260</v>
      </c>
      <c r="B375" t="s">
        <v>1749</v>
      </c>
      <c r="C375" t="s">
        <v>1935</v>
      </c>
    </row>
    <row r="376" spans="1:3" x14ac:dyDescent="0.4">
      <c r="A376">
        <v>2261</v>
      </c>
      <c r="B376" t="s">
        <v>1749</v>
      </c>
      <c r="C376" t="s">
        <v>1934</v>
      </c>
    </row>
    <row r="377" spans="1:3" x14ac:dyDescent="0.4">
      <c r="A377">
        <v>2262</v>
      </c>
      <c r="B377" t="s">
        <v>1749</v>
      </c>
      <c r="C377" t="s">
        <v>1933</v>
      </c>
    </row>
    <row r="378" spans="1:3" x14ac:dyDescent="0.4">
      <c r="A378">
        <v>2263</v>
      </c>
      <c r="B378" t="s">
        <v>1749</v>
      </c>
      <c r="C378" t="s">
        <v>1932</v>
      </c>
    </row>
    <row r="379" spans="1:3" x14ac:dyDescent="0.4">
      <c r="A379">
        <v>2264</v>
      </c>
      <c r="B379" t="s">
        <v>1749</v>
      </c>
      <c r="C379" t="s">
        <v>1931</v>
      </c>
    </row>
    <row r="380" spans="1:3" x14ac:dyDescent="0.4">
      <c r="A380">
        <v>2265</v>
      </c>
      <c r="B380" t="s">
        <v>1749</v>
      </c>
      <c r="C380" t="s">
        <v>1930</v>
      </c>
    </row>
    <row r="381" spans="1:3" x14ac:dyDescent="0.4">
      <c r="A381">
        <v>2267</v>
      </c>
      <c r="B381" t="s">
        <v>1749</v>
      </c>
      <c r="C381" t="s">
        <v>1929</v>
      </c>
    </row>
    <row r="382" spans="1:3" x14ac:dyDescent="0.4">
      <c r="A382">
        <v>2268</v>
      </c>
      <c r="B382" t="s">
        <v>1749</v>
      </c>
      <c r="C382" t="s">
        <v>1928</v>
      </c>
    </row>
    <row r="383" spans="1:3" x14ac:dyDescent="0.4">
      <c r="A383">
        <v>2269</v>
      </c>
      <c r="B383" t="s">
        <v>1749</v>
      </c>
      <c r="C383" t="s">
        <v>1927</v>
      </c>
    </row>
    <row r="384" spans="1:3" x14ac:dyDescent="0.4">
      <c r="A384">
        <v>2270</v>
      </c>
      <c r="B384" t="s">
        <v>1749</v>
      </c>
      <c r="C384" t="s">
        <v>1926</v>
      </c>
    </row>
    <row r="385" spans="1:3" x14ac:dyDescent="0.4">
      <c r="A385">
        <v>2272</v>
      </c>
      <c r="B385" t="s">
        <v>1749</v>
      </c>
      <c r="C385" t="s">
        <v>1925</v>
      </c>
    </row>
    <row r="386" spans="1:3" x14ac:dyDescent="0.4">
      <c r="A386">
        <v>2273</v>
      </c>
      <c r="B386" t="s">
        <v>1749</v>
      </c>
      <c r="C386" t="s">
        <v>1924</v>
      </c>
    </row>
    <row r="387" spans="1:3" x14ac:dyDescent="0.4">
      <c r="A387">
        <v>2275</v>
      </c>
      <c r="B387" t="s">
        <v>1749</v>
      </c>
      <c r="C387" t="s">
        <v>1923</v>
      </c>
    </row>
    <row r="388" spans="1:3" x14ac:dyDescent="0.4">
      <c r="A388">
        <v>2276</v>
      </c>
      <c r="B388" t="s">
        <v>1749</v>
      </c>
      <c r="C388" t="s">
        <v>1922</v>
      </c>
    </row>
    <row r="389" spans="1:3" x14ac:dyDescent="0.4">
      <c r="A389">
        <v>2277</v>
      </c>
      <c r="B389" t="s">
        <v>1749</v>
      </c>
      <c r="C389" t="s">
        <v>1921</v>
      </c>
    </row>
    <row r="390" spans="1:3" x14ac:dyDescent="0.4">
      <c r="A390">
        <v>2278</v>
      </c>
      <c r="B390" t="s">
        <v>1749</v>
      </c>
      <c r="C390" t="s">
        <v>1920</v>
      </c>
    </row>
    <row r="391" spans="1:3" x14ac:dyDescent="0.4">
      <c r="A391">
        <v>2279</v>
      </c>
      <c r="B391" t="s">
        <v>1749</v>
      </c>
      <c r="C391" t="s">
        <v>1919</v>
      </c>
    </row>
    <row r="392" spans="1:3" x14ac:dyDescent="0.4">
      <c r="A392">
        <v>2280</v>
      </c>
      <c r="B392" t="s">
        <v>1749</v>
      </c>
      <c r="C392" t="s">
        <v>1918</v>
      </c>
    </row>
    <row r="393" spans="1:3" x14ac:dyDescent="0.4">
      <c r="A393">
        <v>2281</v>
      </c>
      <c r="B393" t="s">
        <v>1749</v>
      </c>
      <c r="C393" t="s">
        <v>1917</v>
      </c>
    </row>
    <row r="394" spans="1:3" x14ac:dyDescent="0.4">
      <c r="A394">
        <v>2283</v>
      </c>
      <c r="B394" t="s">
        <v>1749</v>
      </c>
      <c r="C394" t="s">
        <v>1916</v>
      </c>
    </row>
    <row r="395" spans="1:3" x14ac:dyDescent="0.4">
      <c r="A395">
        <v>2284</v>
      </c>
      <c r="B395" t="s">
        <v>1749</v>
      </c>
      <c r="C395" t="s">
        <v>1915</v>
      </c>
    </row>
    <row r="396" spans="1:3" x14ac:dyDescent="0.4">
      <c r="A396">
        <v>2285</v>
      </c>
      <c r="B396" t="s">
        <v>1749</v>
      </c>
      <c r="C396" t="s">
        <v>1914</v>
      </c>
    </row>
    <row r="397" spans="1:3" x14ac:dyDescent="0.4">
      <c r="A397">
        <v>2288</v>
      </c>
      <c r="B397" t="s">
        <v>1749</v>
      </c>
      <c r="C397" t="s">
        <v>1913</v>
      </c>
    </row>
    <row r="398" spans="1:3" x14ac:dyDescent="0.4">
      <c r="A398">
        <v>2291</v>
      </c>
      <c r="B398" t="s">
        <v>1749</v>
      </c>
      <c r="C398" t="s">
        <v>1912</v>
      </c>
    </row>
    <row r="399" spans="1:3" x14ac:dyDescent="0.4">
      <c r="A399">
        <v>2292</v>
      </c>
      <c r="B399" t="s">
        <v>1749</v>
      </c>
      <c r="C399" t="s">
        <v>1911</v>
      </c>
    </row>
    <row r="400" spans="1:3" x14ac:dyDescent="0.4">
      <c r="A400">
        <v>2293</v>
      </c>
      <c r="B400" t="s">
        <v>1749</v>
      </c>
      <c r="C400" t="s">
        <v>1910</v>
      </c>
    </row>
    <row r="401" spans="1:3" x14ac:dyDescent="0.4">
      <c r="A401">
        <v>2295</v>
      </c>
      <c r="B401" t="s">
        <v>1749</v>
      </c>
      <c r="C401" t="s">
        <v>1909</v>
      </c>
    </row>
    <row r="402" spans="1:3" x14ac:dyDescent="0.4">
      <c r="A402">
        <v>2296</v>
      </c>
      <c r="B402" t="s">
        <v>1749</v>
      </c>
      <c r="C402" t="s">
        <v>1908</v>
      </c>
    </row>
    <row r="403" spans="1:3" x14ac:dyDescent="0.4">
      <c r="A403">
        <v>2297</v>
      </c>
      <c r="B403" t="s">
        <v>1749</v>
      </c>
      <c r="C403" t="s">
        <v>1907</v>
      </c>
    </row>
    <row r="404" spans="1:3" x14ac:dyDescent="0.4">
      <c r="A404">
        <v>2299</v>
      </c>
      <c r="B404" t="s">
        <v>1749</v>
      </c>
      <c r="C404" t="s">
        <v>1906</v>
      </c>
    </row>
    <row r="405" spans="1:3" x14ac:dyDescent="0.4">
      <c r="A405">
        <v>2300</v>
      </c>
      <c r="B405" t="s">
        <v>1749</v>
      </c>
      <c r="C405" t="s">
        <v>1905</v>
      </c>
    </row>
    <row r="406" spans="1:3" x14ac:dyDescent="0.4">
      <c r="A406">
        <v>2301</v>
      </c>
      <c r="B406" t="s">
        <v>1749</v>
      </c>
      <c r="C406" t="s">
        <v>1904</v>
      </c>
    </row>
    <row r="407" spans="1:3" x14ac:dyDescent="0.4">
      <c r="A407">
        <v>2302</v>
      </c>
      <c r="B407" t="s">
        <v>1749</v>
      </c>
      <c r="C407" t="s">
        <v>1903</v>
      </c>
    </row>
    <row r="408" spans="1:3" x14ac:dyDescent="0.4">
      <c r="A408">
        <v>2303</v>
      </c>
      <c r="B408" t="s">
        <v>1749</v>
      </c>
      <c r="C408" t="s">
        <v>1902</v>
      </c>
    </row>
    <row r="409" spans="1:3" x14ac:dyDescent="0.4">
      <c r="A409">
        <v>2304</v>
      </c>
      <c r="B409" t="s">
        <v>1749</v>
      </c>
      <c r="C409" t="s">
        <v>1901</v>
      </c>
    </row>
    <row r="410" spans="1:3" x14ac:dyDescent="0.4">
      <c r="A410">
        <v>2305</v>
      </c>
      <c r="B410" t="s">
        <v>1749</v>
      </c>
      <c r="C410" t="s">
        <v>1900</v>
      </c>
    </row>
    <row r="411" spans="1:3" x14ac:dyDescent="0.4">
      <c r="A411">
        <v>2306</v>
      </c>
      <c r="B411" t="s">
        <v>1749</v>
      </c>
      <c r="C411" t="s">
        <v>1899</v>
      </c>
    </row>
    <row r="412" spans="1:3" x14ac:dyDescent="0.4">
      <c r="A412">
        <v>2307</v>
      </c>
      <c r="B412" t="s">
        <v>1749</v>
      </c>
      <c r="C412" t="s">
        <v>1898</v>
      </c>
    </row>
    <row r="413" spans="1:3" x14ac:dyDescent="0.4">
      <c r="A413">
        <v>2308</v>
      </c>
      <c r="B413" t="s">
        <v>1749</v>
      </c>
      <c r="C413" t="s">
        <v>1897</v>
      </c>
    </row>
    <row r="414" spans="1:3" x14ac:dyDescent="0.4">
      <c r="A414">
        <v>2309</v>
      </c>
      <c r="B414" t="s">
        <v>1749</v>
      </c>
      <c r="C414" t="s">
        <v>1896</v>
      </c>
    </row>
    <row r="415" spans="1:3" x14ac:dyDescent="0.4">
      <c r="A415">
        <v>2312</v>
      </c>
      <c r="B415" t="s">
        <v>1749</v>
      </c>
      <c r="C415" t="s">
        <v>1895</v>
      </c>
    </row>
    <row r="416" spans="1:3" x14ac:dyDescent="0.4">
      <c r="A416">
        <v>2313</v>
      </c>
      <c r="B416" t="s">
        <v>1749</v>
      </c>
      <c r="C416" t="s">
        <v>1894</v>
      </c>
    </row>
    <row r="417" spans="1:3" x14ac:dyDescent="0.4">
      <c r="A417">
        <v>2316</v>
      </c>
      <c r="B417" t="s">
        <v>1749</v>
      </c>
      <c r="C417" t="s">
        <v>1893</v>
      </c>
    </row>
    <row r="418" spans="1:3" x14ac:dyDescent="0.4">
      <c r="A418">
        <v>2317</v>
      </c>
      <c r="B418" t="s">
        <v>1749</v>
      </c>
      <c r="C418" t="s">
        <v>1892</v>
      </c>
    </row>
    <row r="419" spans="1:3" x14ac:dyDescent="0.4">
      <c r="A419">
        <v>2320</v>
      </c>
      <c r="B419" t="s">
        <v>1749</v>
      </c>
      <c r="C419" t="s">
        <v>1891</v>
      </c>
    </row>
    <row r="420" spans="1:3" x14ac:dyDescent="0.4">
      <c r="A420">
        <v>2321</v>
      </c>
      <c r="B420" t="s">
        <v>1749</v>
      </c>
      <c r="C420" t="s">
        <v>1890</v>
      </c>
    </row>
    <row r="421" spans="1:3" x14ac:dyDescent="0.4">
      <c r="A421">
        <v>2322</v>
      </c>
      <c r="B421" t="s">
        <v>1749</v>
      </c>
      <c r="C421" t="s">
        <v>1889</v>
      </c>
    </row>
    <row r="422" spans="1:3" x14ac:dyDescent="0.4">
      <c r="A422">
        <v>2323</v>
      </c>
      <c r="B422" t="s">
        <v>1749</v>
      </c>
      <c r="C422" t="s">
        <v>1888</v>
      </c>
    </row>
    <row r="423" spans="1:3" x14ac:dyDescent="0.4">
      <c r="A423">
        <v>2324</v>
      </c>
      <c r="B423" t="s">
        <v>1749</v>
      </c>
      <c r="C423" t="s">
        <v>1887</v>
      </c>
    </row>
    <row r="424" spans="1:3" x14ac:dyDescent="0.4">
      <c r="A424">
        <v>2325</v>
      </c>
      <c r="B424" t="s">
        <v>1749</v>
      </c>
      <c r="C424" t="s">
        <v>1886</v>
      </c>
    </row>
    <row r="425" spans="1:3" x14ac:dyDescent="0.4">
      <c r="A425">
        <v>2328</v>
      </c>
      <c r="B425" t="s">
        <v>1749</v>
      </c>
      <c r="C425" t="s">
        <v>1885</v>
      </c>
    </row>
    <row r="426" spans="1:3" x14ac:dyDescent="0.4">
      <c r="A426">
        <v>2329</v>
      </c>
      <c r="B426" t="s">
        <v>1749</v>
      </c>
      <c r="C426" t="s">
        <v>1884</v>
      </c>
    </row>
    <row r="427" spans="1:3" x14ac:dyDescent="0.4">
      <c r="A427">
        <v>2332</v>
      </c>
      <c r="B427" t="s">
        <v>1749</v>
      </c>
      <c r="C427" t="s">
        <v>1883</v>
      </c>
    </row>
    <row r="428" spans="1:3" x14ac:dyDescent="0.4">
      <c r="A428">
        <v>2333</v>
      </c>
      <c r="B428" t="s">
        <v>1749</v>
      </c>
      <c r="C428" t="s">
        <v>1882</v>
      </c>
    </row>
    <row r="429" spans="1:3" x14ac:dyDescent="0.4">
      <c r="A429">
        <v>2334</v>
      </c>
      <c r="B429" t="s">
        <v>1749</v>
      </c>
      <c r="C429" t="s">
        <v>1881</v>
      </c>
    </row>
    <row r="430" spans="1:3" x14ac:dyDescent="0.4">
      <c r="A430">
        <v>2336</v>
      </c>
      <c r="B430" t="s">
        <v>1749</v>
      </c>
      <c r="C430" t="s">
        <v>1880</v>
      </c>
    </row>
    <row r="431" spans="1:3" x14ac:dyDescent="0.4">
      <c r="A431">
        <v>2339</v>
      </c>
      <c r="B431" t="s">
        <v>1749</v>
      </c>
      <c r="C431" t="s">
        <v>1879</v>
      </c>
    </row>
    <row r="432" spans="1:3" x14ac:dyDescent="0.4">
      <c r="A432">
        <v>2340</v>
      </c>
      <c r="B432" t="s">
        <v>1749</v>
      </c>
      <c r="C432" t="s">
        <v>1878</v>
      </c>
    </row>
    <row r="433" spans="1:3" x14ac:dyDescent="0.4">
      <c r="A433">
        <v>2341</v>
      </c>
      <c r="B433" t="s">
        <v>1749</v>
      </c>
      <c r="C433" t="s">
        <v>1877</v>
      </c>
    </row>
    <row r="434" spans="1:3" x14ac:dyDescent="0.4">
      <c r="A434">
        <v>2343</v>
      </c>
      <c r="B434" t="s">
        <v>1749</v>
      </c>
      <c r="C434" t="s">
        <v>1876</v>
      </c>
    </row>
    <row r="435" spans="1:3" x14ac:dyDescent="0.4">
      <c r="A435">
        <v>2344</v>
      </c>
      <c r="B435" t="s">
        <v>1749</v>
      </c>
      <c r="C435" t="s">
        <v>1875</v>
      </c>
    </row>
    <row r="436" spans="1:3" x14ac:dyDescent="0.4">
      <c r="A436">
        <v>2345</v>
      </c>
      <c r="B436" t="s">
        <v>1749</v>
      </c>
      <c r="C436" t="s">
        <v>1874</v>
      </c>
    </row>
    <row r="437" spans="1:3" x14ac:dyDescent="0.4">
      <c r="A437">
        <v>2347</v>
      </c>
      <c r="B437" t="s">
        <v>1749</v>
      </c>
      <c r="C437" t="s">
        <v>1873</v>
      </c>
    </row>
    <row r="438" spans="1:3" x14ac:dyDescent="0.4">
      <c r="A438">
        <v>2348</v>
      </c>
      <c r="B438" t="s">
        <v>1749</v>
      </c>
      <c r="C438" t="s">
        <v>1872</v>
      </c>
    </row>
    <row r="439" spans="1:3" x14ac:dyDescent="0.4">
      <c r="A439">
        <v>2349</v>
      </c>
      <c r="B439" t="s">
        <v>1749</v>
      </c>
      <c r="C439" t="s">
        <v>1871</v>
      </c>
    </row>
    <row r="440" spans="1:3" x14ac:dyDescent="0.4">
      <c r="A440">
        <v>2350</v>
      </c>
      <c r="B440" t="s">
        <v>1749</v>
      </c>
      <c r="C440" t="s">
        <v>1870</v>
      </c>
    </row>
    <row r="441" spans="1:3" x14ac:dyDescent="0.4">
      <c r="A441">
        <v>2351</v>
      </c>
      <c r="B441" t="s">
        <v>1749</v>
      </c>
      <c r="C441" t="s">
        <v>1869</v>
      </c>
    </row>
    <row r="442" spans="1:3" x14ac:dyDescent="0.4">
      <c r="A442">
        <v>2352</v>
      </c>
      <c r="B442" t="s">
        <v>1749</v>
      </c>
      <c r="C442" t="s">
        <v>1868</v>
      </c>
    </row>
    <row r="443" spans="1:3" x14ac:dyDescent="0.4">
      <c r="A443">
        <v>2353</v>
      </c>
      <c r="B443" t="s">
        <v>1749</v>
      </c>
      <c r="C443" t="s">
        <v>1867</v>
      </c>
    </row>
    <row r="444" spans="1:3" x14ac:dyDescent="0.4">
      <c r="A444">
        <v>2354</v>
      </c>
      <c r="B444" t="s">
        <v>1749</v>
      </c>
      <c r="C444" t="s">
        <v>1866</v>
      </c>
    </row>
    <row r="445" spans="1:3" x14ac:dyDescent="0.4">
      <c r="A445">
        <v>2355</v>
      </c>
      <c r="B445" t="s">
        <v>1749</v>
      </c>
      <c r="C445" t="s">
        <v>1865</v>
      </c>
    </row>
    <row r="446" spans="1:3" x14ac:dyDescent="0.4">
      <c r="A446">
        <v>2356</v>
      </c>
      <c r="B446" t="s">
        <v>1749</v>
      </c>
      <c r="C446" t="s">
        <v>1864</v>
      </c>
    </row>
    <row r="447" spans="1:3" x14ac:dyDescent="0.4">
      <c r="A447">
        <v>2357</v>
      </c>
      <c r="B447" t="s">
        <v>1749</v>
      </c>
      <c r="C447" t="s">
        <v>1863</v>
      </c>
    </row>
    <row r="448" spans="1:3" x14ac:dyDescent="0.4">
      <c r="A448">
        <v>2360</v>
      </c>
      <c r="B448" t="s">
        <v>1749</v>
      </c>
      <c r="C448" t="s">
        <v>1862</v>
      </c>
    </row>
    <row r="449" spans="1:3" x14ac:dyDescent="0.4">
      <c r="A449">
        <v>2361</v>
      </c>
      <c r="B449" t="s">
        <v>1749</v>
      </c>
      <c r="C449" t="s">
        <v>1861</v>
      </c>
    </row>
    <row r="450" spans="1:3" x14ac:dyDescent="0.4">
      <c r="A450">
        <v>2364</v>
      </c>
      <c r="B450" t="s">
        <v>1749</v>
      </c>
      <c r="C450" t="s">
        <v>1860</v>
      </c>
    </row>
    <row r="451" spans="1:3" x14ac:dyDescent="0.4">
      <c r="A451">
        <v>2365</v>
      </c>
      <c r="B451" t="s">
        <v>1749</v>
      </c>
      <c r="C451" t="s">
        <v>1859</v>
      </c>
    </row>
    <row r="452" spans="1:3" x14ac:dyDescent="0.4">
      <c r="A452">
        <v>2368</v>
      </c>
      <c r="B452" t="s">
        <v>1749</v>
      </c>
      <c r="C452" t="s">
        <v>1858</v>
      </c>
    </row>
    <row r="453" spans="1:3" x14ac:dyDescent="0.4">
      <c r="A453">
        <v>2369</v>
      </c>
      <c r="B453" t="s">
        <v>1749</v>
      </c>
      <c r="C453" t="s">
        <v>1857</v>
      </c>
    </row>
    <row r="454" spans="1:3" x14ac:dyDescent="0.4">
      <c r="A454">
        <v>2370</v>
      </c>
      <c r="B454" t="s">
        <v>1749</v>
      </c>
      <c r="C454" t="s">
        <v>1856</v>
      </c>
    </row>
    <row r="455" spans="1:3" x14ac:dyDescent="0.4">
      <c r="A455">
        <v>2371</v>
      </c>
      <c r="B455" t="s">
        <v>1749</v>
      </c>
      <c r="C455" t="s">
        <v>1855</v>
      </c>
    </row>
    <row r="456" spans="1:3" x14ac:dyDescent="0.4">
      <c r="A456">
        <v>2372</v>
      </c>
      <c r="B456" t="s">
        <v>1749</v>
      </c>
      <c r="C456" t="s">
        <v>1854</v>
      </c>
    </row>
    <row r="457" spans="1:3" x14ac:dyDescent="0.4">
      <c r="A457">
        <v>2373</v>
      </c>
      <c r="B457" t="s">
        <v>1749</v>
      </c>
      <c r="C457" t="s">
        <v>1853</v>
      </c>
    </row>
    <row r="458" spans="1:3" x14ac:dyDescent="0.4">
      <c r="A458">
        <v>2376</v>
      </c>
      <c r="B458" t="s">
        <v>1749</v>
      </c>
      <c r="C458" t="s">
        <v>1852</v>
      </c>
    </row>
    <row r="459" spans="1:3" x14ac:dyDescent="0.4">
      <c r="A459">
        <v>2377</v>
      </c>
      <c r="B459" t="s">
        <v>1749</v>
      </c>
      <c r="C459" t="s">
        <v>1851</v>
      </c>
    </row>
    <row r="460" spans="1:3" x14ac:dyDescent="0.4">
      <c r="A460">
        <v>2380</v>
      </c>
      <c r="B460" t="s">
        <v>1749</v>
      </c>
      <c r="C460" t="s">
        <v>1850</v>
      </c>
    </row>
    <row r="461" spans="1:3" x14ac:dyDescent="0.4">
      <c r="A461">
        <v>2381</v>
      </c>
      <c r="B461" t="s">
        <v>1749</v>
      </c>
      <c r="C461" t="s">
        <v>1849</v>
      </c>
    </row>
    <row r="462" spans="1:3" x14ac:dyDescent="0.4">
      <c r="A462">
        <v>2382</v>
      </c>
      <c r="B462" t="s">
        <v>1749</v>
      </c>
      <c r="C462" t="s">
        <v>1848</v>
      </c>
    </row>
    <row r="463" spans="1:3" x14ac:dyDescent="0.4">
      <c r="A463">
        <v>4000</v>
      </c>
      <c r="B463" t="s">
        <v>1749</v>
      </c>
      <c r="C463" t="s">
        <v>1847</v>
      </c>
    </row>
    <row r="464" spans="1:3" x14ac:dyDescent="0.4">
      <c r="A464">
        <v>4001</v>
      </c>
      <c r="B464" t="s">
        <v>1749</v>
      </c>
      <c r="C464" t="s">
        <v>1846</v>
      </c>
    </row>
    <row r="465" spans="1:3" x14ac:dyDescent="0.4">
      <c r="A465">
        <v>4002</v>
      </c>
      <c r="B465" t="s">
        <v>1749</v>
      </c>
      <c r="C465" t="s">
        <v>1845</v>
      </c>
    </row>
    <row r="466" spans="1:3" x14ac:dyDescent="0.4">
      <c r="A466">
        <v>4003</v>
      </c>
      <c r="B466" t="s">
        <v>1749</v>
      </c>
      <c r="C466" t="s">
        <v>1844</v>
      </c>
    </row>
    <row r="467" spans="1:3" x14ac:dyDescent="0.4">
      <c r="A467">
        <v>4004</v>
      </c>
      <c r="B467" t="s">
        <v>1749</v>
      </c>
      <c r="C467" t="s">
        <v>1843</v>
      </c>
    </row>
    <row r="468" spans="1:3" x14ac:dyDescent="0.4">
      <c r="A468">
        <v>4005</v>
      </c>
      <c r="B468" t="s">
        <v>1749</v>
      </c>
      <c r="C468" t="s">
        <v>1842</v>
      </c>
    </row>
    <row r="469" spans="1:3" x14ac:dyDescent="0.4">
      <c r="A469">
        <v>4006</v>
      </c>
      <c r="B469" t="s">
        <v>1749</v>
      </c>
      <c r="C469" t="s">
        <v>1841</v>
      </c>
    </row>
    <row r="470" spans="1:3" x14ac:dyDescent="0.4">
      <c r="A470">
        <v>4007</v>
      </c>
      <c r="B470" t="s">
        <v>1749</v>
      </c>
      <c r="C470" t="s">
        <v>1840</v>
      </c>
    </row>
    <row r="471" spans="1:3" x14ac:dyDescent="0.4">
      <c r="A471">
        <v>4008</v>
      </c>
      <c r="B471" t="s">
        <v>1749</v>
      </c>
      <c r="C471" t="s">
        <v>1839</v>
      </c>
    </row>
    <row r="472" spans="1:3" x14ac:dyDescent="0.4">
      <c r="A472">
        <v>4009</v>
      </c>
      <c r="B472" t="s">
        <v>1749</v>
      </c>
      <c r="C472" t="s">
        <v>1838</v>
      </c>
    </row>
    <row r="473" spans="1:3" x14ac:dyDescent="0.4">
      <c r="A473">
        <v>4010</v>
      </c>
      <c r="B473" t="s">
        <v>1749</v>
      </c>
      <c r="C473" t="s">
        <v>1837</v>
      </c>
    </row>
    <row r="474" spans="1:3" x14ac:dyDescent="0.4">
      <c r="A474">
        <v>4011</v>
      </c>
      <c r="B474" t="s">
        <v>1749</v>
      </c>
      <c r="C474" t="s">
        <v>1836</v>
      </c>
    </row>
    <row r="475" spans="1:3" x14ac:dyDescent="0.4">
      <c r="A475">
        <v>4012</v>
      </c>
      <c r="B475" t="s">
        <v>1749</v>
      </c>
      <c r="C475" t="s">
        <v>1835</v>
      </c>
    </row>
    <row r="476" spans="1:3" x14ac:dyDescent="0.4">
      <c r="A476">
        <v>4013</v>
      </c>
      <c r="B476" t="s">
        <v>1749</v>
      </c>
      <c r="C476" t="s">
        <v>1834</v>
      </c>
    </row>
    <row r="477" spans="1:3" x14ac:dyDescent="0.4">
      <c r="A477">
        <v>4014</v>
      </c>
      <c r="B477" t="s">
        <v>1749</v>
      </c>
      <c r="C477" t="s">
        <v>1833</v>
      </c>
    </row>
    <row r="478" spans="1:3" x14ac:dyDescent="0.4">
      <c r="A478">
        <v>4015</v>
      </c>
      <c r="B478" t="s">
        <v>1749</v>
      </c>
      <c r="C478" t="s">
        <v>1832</v>
      </c>
    </row>
    <row r="479" spans="1:3" x14ac:dyDescent="0.4">
      <c r="A479">
        <v>4016</v>
      </c>
      <c r="B479" t="s">
        <v>1749</v>
      </c>
      <c r="C479" t="s">
        <v>1831</v>
      </c>
    </row>
    <row r="480" spans="1:3" x14ac:dyDescent="0.4">
      <c r="A480">
        <v>4017</v>
      </c>
      <c r="B480" t="s">
        <v>1749</v>
      </c>
      <c r="C480" t="s">
        <v>1830</v>
      </c>
    </row>
    <row r="481" spans="1:3" x14ac:dyDescent="0.4">
      <c r="A481">
        <v>4018</v>
      </c>
      <c r="B481" t="s">
        <v>1749</v>
      </c>
      <c r="C481" t="s">
        <v>1829</v>
      </c>
    </row>
    <row r="482" spans="1:3" x14ac:dyDescent="0.4">
      <c r="A482">
        <v>4019</v>
      </c>
      <c r="B482" t="s">
        <v>1749</v>
      </c>
      <c r="C482" t="s">
        <v>1828</v>
      </c>
    </row>
    <row r="483" spans="1:3" x14ac:dyDescent="0.4">
      <c r="A483">
        <v>4020</v>
      </c>
      <c r="B483" t="s">
        <v>1749</v>
      </c>
      <c r="C483" t="s">
        <v>1827</v>
      </c>
    </row>
    <row r="484" spans="1:3" x14ac:dyDescent="0.4">
      <c r="A484">
        <v>4021</v>
      </c>
      <c r="B484" t="s">
        <v>1749</v>
      </c>
      <c r="C484" t="s">
        <v>1826</v>
      </c>
    </row>
    <row r="485" spans="1:3" x14ac:dyDescent="0.4">
      <c r="A485">
        <v>4022</v>
      </c>
      <c r="B485" t="s">
        <v>1749</v>
      </c>
      <c r="C485" t="s">
        <v>1825</v>
      </c>
    </row>
    <row r="486" spans="1:3" x14ac:dyDescent="0.4">
      <c r="A486">
        <v>4023</v>
      </c>
      <c r="B486" t="s">
        <v>1749</v>
      </c>
      <c r="C486" t="s">
        <v>1824</v>
      </c>
    </row>
    <row r="487" spans="1:3" x14ac:dyDescent="0.4">
      <c r="A487">
        <v>4024</v>
      </c>
      <c r="B487" t="s">
        <v>1749</v>
      </c>
      <c r="C487" t="s">
        <v>1823</v>
      </c>
    </row>
    <row r="488" spans="1:3" x14ac:dyDescent="0.4">
      <c r="A488">
        <v>4025</v>
      </c>
      <c r="B488" t="s">
        <v>1749</v>
      </c>
      <c r="C488" t="s">
        <v>1822</v>
      </c>
    </row>
    <row r="489" spans="1:3" x14ac:dyDescent="0.4">
      <c r="A489">
        <v>4026</v>
      </c>
      <c r="B489" t="s">
        <v>1749</v>
      </c>
      <c r="C489" t="s">
        <v>1821</v>
      </c>
    </row>
    <row r="490" spans="1:3" x14ac:dyDescent="0.4">
      <c r="A490">
        <v>4027</v>
      </c>
      <c r="B490" t="s">
        <v>1749</v>
      </c>
      <c r="C490" t="s">
        <v>1820</v>
      </c>
    </row>
    <row r="491" spans="1:3" x14ac:dyDescent="0.4">
      <c r="A491">
        <v>4028</v>
      </c>
      <c r="B491" t="s">
        <v>1749</v>
      </c>
      <c r="C491" t="s">
        <v>1819</v>
      </c>
    </row>
    <row r="492" spans="1:3" x14ac:dyDescent="0.4">
      <c r="A492">
        <v>4029</v>
      </c>
      <c r="B492" t="s">
        <v>1749</v>
      </c>
      <c r="C492" t="s">
        <v>1818</v>
      </c>
    </row>
    <row r="493" spans="1:3" x14ac:dyDescent="0.4">
      <c r="A493">
        <v>4030</v>
      </c>
      <c r="B493" t="s">
        <v>1749</v>
      </c>
      <c r="C493" t="s">
        <v>1817</v>
      </c>
    </row>
    <row r="494" spans="1:3" x14ac:dyDescent="0.4">
      <c r="A494">
        <v>4031</v>
      </c>
      <c r="B494" t="s">
        <v>1749</v>
      </c>
      <c r="C494" t="s">
        <v>1816</v>
      </c>
    </row>
    <row r="495" spans="1:3" x14ac:dyDescent="0.4">
      <c r="A495">
        <v>4032</v>
      </c>
      <c r="B495" t="s">
        <v>1749</v>
      </c>
      <c r="C495" t="s">
        <v>1815</v>
      </c>
    </row>
    <row r="496" spans="1:3" x14ac:dyDescent="0.4">
      <c r="A496">
        <v>4033</v>
      </c>
      <c r="B496" t="s">
        <v>1749</v>
      </c>
      <c r="C496" t="s">
        <v>1814</v>
      </c>
    </row>
    <row r="497" spans="1:3" x14ac:dyDescent="0.4">
      <c r="A497">
        <v>4034</v>
      </c>
      <c r="B497" t="s">
        <v>1749</v>
      </c>
      <c r="C497" t="s">
        <v>1813</v>
      </c>
    </row>
    <row r="498" spans="1:3" x14ac:dyDescent="0.4">
      <c r="A498">
        <v>4035</v>
      </c>
      <c r="B498" t="s">
        <v>1749</v>
      </c>
      <c r="C498" t="s">
        <v>1812</v>
      </c>
    </row>
    <row r="499" spans="1:3" x14ac:dyDescent="0.4">
      <c r="A499">
        <v>4036</v>
      </c>
      <c r="B499" t="s">
        <v>1749</v>
      </c>
      <c r="C499" t="s">
        <v>1811</v>
      </c>
    </row>
    <row r="500" spans="1:3" x14ac:dyDescent="0.4">
      <c r="A500">
        <v>4037</v>
      </c>
      <c r="B500" t="s">
        <v>1749</v>
      </c>
      <c r="C500" t="s">
        <v>1810</v>
      </c>
    </row>
    <row r="501" spans="1:3" x14ac:dyDescent="0.4">
      <c r="A501">
        <v>4038</v>
      </c>
      <c r="B501" t="s">
        <v>1749</v>
      </c>
      <c r="C501" t="s">
        <v>1809</v>
      </c>
    </row>
    <row r="502" spans="1:3" x14ac:dyDescent="0.4">
      <c r="A502">
        <v>4039</v>
      </c>
      <c r="B502" t="s">
        <v>1749</v>
      </c>
      <c r="C502" t="s">
        <v>1808</v>
      </c>
    </row>
    <row r="503" spans="1:3" x14ac:dyDescent="0.4">
      <c r="A503">
        <v>4040</v>
      </c>
      <c r="B503" t="s">
        <v>1749</v>
      </c>
      <c r="C503" t="s">
        <v>1807</v>
      </c>
    </row>
    <row r="504" spans="1:3" x14ac:dyDescent="0.4">
      <c r="A504">
        <v>4041</v>
      </c>
      <c r="B504" t="s">
        <v>1749</v>
      </c>
      <c r="C504" t="s">
        <v>1806</v>
      </c>
    </row>
    <row r="505" spans="1:3" x14ac:dyDescent="0.4">
      <c r="A505">
        <v>4042</v>
      </c>
      <c r="B505" t="s">
        <v>1749</v>
      </c>
      <c r="C505" t="s">
        <v>1805</v>
      </c>
    </row>
    <row r="506" spans="1:3" x14ac:dyDescent="0.4">
      <c r="A506">
        <v>4043</v>
      </c>
      <c r="B506" t="s">
        <v>1749</v>
      </c>
      <c r="C506" t="s">
        <v>1804</v>
      </c>
    </row>
    <row r="507" spans="1:3" x14ac:dyDescent="0.4">
      <c r="A507">
        <v>4044</v>
      </c>
      <c r="B507" t="s">
        <v>1749</v>
      </c>
      <c r="C507" t="s">
        <v>1803</v>
      </c>
    </row>
    <row r="508" spans="1:3" x14ac:dyDescent="0.4">
      <c r="A508">
        <v>4045</v>
      </c>
      <c r="B508" t="s">
        <v>1749</v>
      </c>
      <c r="C508" t="s">
        <v>1802</v>
      </c>
    </row>
    <row r="509" spans="1:3" x14ac:dyDescent="0.4">
      <c r="A509">
        <v>4046</v>
      </c>
      <c r="B509" t="s">
        <v>1749</v>
      </c>
      <c r="C509" t="s">
        <v>1801</v>
      </c>
    </row>
    <row r="510" spans="1:3" x14ac:dyDescent="0.4">
      <c r="A510">
        <v>5000</v>
      </c>
      <c r="B510" t="s">
        <v>1749</v>
      </c>
      <c r="C510" t="s">
        <v>1800</v>
      </c>
    </row>
    <row r="511" spans="1:3" x14ac:dyDescent="0.4">
      <c r="A511">
        <v>5001</v>
      </c>
      <c r="B511" t="s">
        <v>1749</v>
      </c>
      <c r="C511" t="s">
        <v>1799</v>
      </c>
    </row>
    <row r="512" spans="1:3" x14ac:dyDescent="0.4">
      <c r="A512">
        <v>5002</v>
      </c>
      <c r="B512" t="s">
        <v>1749</v>
      </c>
      <c r="C512" t="s">
        <v>1798</v>
      </c>
    </row>
    <row r="513" spans="1:3" x14ac:dyDescent="0.4">
      <c r="A513">
        <v>5003</v>
      </c>
      <c r="B513" t="s">
        <v>1749</v>
      </c>
      <c r="C513" t="s">
        <v>1797</v>
      </c>
    </row>
    <row r="514" spans="1:3" x14ac:dyDescent="0.4">
      <c r="A514">
        <v>5004</v>
      </c>
      <c r="B514" t="s">
        <v>1749</v>
      </c>
      <c r="C514" t="s">
        <v>1796</v>
      </c>
    </row>
    <row r="515" spans="1:3" x14ac:dyDescent="0.4">
      <c r="A515">
        <v>5005</v>
      </c>
      <c r="B515" t="s">
        <v>1749</v>
      </c>
      <c r="C515" t="s">
        <v>1795</v>
      </c>
    </row>
    <row r="516" spans="1:3" x14ac:dyDescent="0.4">
      <c r="A516">
        <v>5006</v>
      </c>
      <c r="B516" t="s">
        <v>1749</v>
      </c>
      <c r="C516" t="s">
        <v>1794</v>
      </c>
    </row>
    <row r="517" spans="1:3" x14ac:dyDescent="0.4">
      <c r="A517">
        <v>5007</v>
      </c>
      <c r="B517" t="s">
        <v>1749</v>
      </c>
      <c r="C517" t="s">
        <v>1793</v>
      </c>
    </row>
    <row r="518" spans="1:3" x14ac:dyDescent="0.4">
      <c r="A518">
        <v>5008</v>
      </c>
      <c r="B518" t="s">
        <v>1749</v>
      </c>
      <c r="C518" t="s">
        <v>1792</v>
      </c>
    </row>
    <row r="519" spans="1:3" x14ac:dyDescent="0.4">
      <c r="A519">
        <v>5009</v>
      </c>
      <c r="B519" t="s">
        <v>1749</v>
      </c>
      <c r="C519" t="s">
        <v>1791</v>
      </c>
    </row>
    <row r="520" spans="1:3" x14ac:dyDescent="0.4">
      <c r="A520">
        <v>5010</v>
      </c>
      <c r="B520" t="s">
        <v>1749</v>
      </c>
      <c r="C520" t="s">
        <v>1790</v>
      </c>
    </row>
    <row r="521" spans="1:3" x14ac:dyDescent="0.4">
      <c r="A521">
        <v>5011</v>
      </c>
      <c r="B521" t="s">
        <v>1749</v>
      </c>
      <c r="C521" t="s">
        <v>1789</v>
      </c>
    </row>
    <row r="522" spans="1:3" x14ac:dyDescent="0.4">
      <c r="A522">
        <v>5012</v>
      </c>
      <c r="B522" t="s">
        <v>1749</v>
      </c>
      <c r="C522" t="s">
        <v>1788</v>
      </c>
    </row>
    <row r="523" spans="1:3" x14ac:dyDescent="0.4">
      <c r="A523">
        <v>5013</v>
      </c>
      <c r="B523" t="s">
        <v>1749</v>
      </c>
      <c r="C523" t="s">
        <v>1787</v>
      </c>
    </row>
    <row r="524" spans="1:3" x14ac:dyDescent="0.4">
      <c r="A524">
        <v>5014</v>
      </c>
      <c r="B524" t="s">
        <v>1749</v>
      </c>
      <c r="C524" t="s">
        <v>1786</v>
      </c>
    </row>
    <row r="525" spans="1:3" x14ac:dyDescent="0.4">
      <c r="A525">
        <v>5015</v>
      </c>
      <c r="B525" t="s">
        <v>1749</v>
      </c>
      <c r="C525" t="s">
        <v>1785</v>
      </c>
    </row>
    <row r="526" spans="1:3" x14ac:dyDescent="0.4">
      <c r="A526">
        <v>5016</v>
      </c>
      <c r="B526" t="s">
        <v>1749</v>
      </c>
      <c r="C526" t="s">
        <v>1784</v>
      </c>
    </row>
    <row r="527" spans="1:3" x14ac:dyDescent="0.4">
      <c r="A527">
        <v>5017</v>
      </c>
      <c r="B527" t="s">
        <v>1749</v>
      </c>
      <c r="C527" t="s">
        <v>1783</v>
      </c>
    </row>
    <row r="528" spans="1:3" x14ac:dyDescent="0.4">
      <c r="A528">
        <v>5018</v>
      </c>
      <c r="B528" t="s">
        <v>1749</v>
      </c>
      <c r="C528" t="s">
        <v>1782</v>
      </c>
    </row>
    <row r="529" spans="1:3" x14ac:dyDescent="0.4">
      <c r="A529">
        <v>5019</v>
      </c>
      <c r="B529" t="s">
        <v>1749</v>
      </c>
      <c r="C529" t="s">
        <v>1781</v>
      </c>
    </row>
    <row r="530" spans="1:3" x14ac:dyDescent="0.4">
      <c r="A530">
        <v>5020</v>
      </c>
      <c r="B530" t="s">
        <v>1749</v>
      </c>
      <c r="C530" t="s">
        <v>1780</v>
      </c>
    </row>
    <row r="531" spans="1:3" x14ac:dyDescent="0.4">
      <c r="A531">
        <v>5021</v>
      </c>
      <c r="B531" t="s">
        <v>1749</v>
      </c>
      <c r="C531" t="s">
        <v>1779</v>
      </c>
    </row>
    <row r="532" spans="1:3" x14ac:dyDescent="0.4">
      <c r="A532">
        <v>5022</v>
      </c>
      <c r="B532" t="s">
        <v>1749</v>
      </c>
      <c r="C532" t="s">
        <v>1778</v>
      </c>
    </row>
    <row r="533" spans="1:3" x14ac:dyDescent="0.4">
      <c r="A533">
        <v>5023</v>
      </c>
      <c r="B533" t="s">
        <v>1749</v>
      </c>
      <c r="C533" t="s">
        <v>1777</v>
      </c>
    </row>
    <row r="534" spans="1:3" x14ac:dyDescent="0.4">
      <c r="A534">
        <v>5024</v>
      </c>
      <c r="B534" t="s">
        <v>1749</v>
      </c>
      <c r="C534" t="s">
        <v>1776</v>
      </c>
    </row>
    <row r="535" spans="1:3" x14ac:dyDescent="0.4">
      <c r="A535">
        <v>5025</v>
      </c>
      <c r="B535" t="s">
        <v>1749</v>
      </c>
      <c r="C535" t="s">
        <v>1775</v>
      </c>
    </row>
    <row r="536" spans="1:3" x14ac:dyDescent="0.4">
      <c r="A536">
        <v>5026</v>
      </c>
      <c r="B536" t="s">
        <v>1749</v>
      </c>
      <c r="C536" t="s">
        <v>1774</v>
      </c>
    </row>
    <row r="537" spans="1:3" x14ac:dyDescent="0.4">
      <c r="A537">
        <v>5027</v>
      </c>
      <c r="B537" t="s">
        <v>1749</v>
      </c>
      <c r="C537" t="s">
        <v>1773</v>
      </c>
    </row>
    <row r="538" spans="1:3" x14ac:dyDescent="0.4">
      <c r="A538">
        <v>5028</v>
      </c>
      <c r="B538" t="s">
        <v>1749</v>
      </c>
      <c r="C538" t="s">
        <v>1772</v>
      </c>
    </row>
    <row r="539" spans="1:3" x14ac:dyDescent="0.4">
      <c r="A539">
        <v>5029</v>
      </c>
      <c r="B539" t="s">
        <v>1749</v>
      </c>
      <c r="C539" t="s">
        <v>1771</v>
      </c>
    </row>
    <row r="540" spans="1:3" x14ac:dyDescent="0.4">
      <c r="A540">
        <v>5030</v>
      </c>
      <c r="B540" t="s">
        <v>1749</v>
      </c>
      <c r="C540" t="s">
        <v>1770</v>
      </c>
    </row>
    <row r="541" spans="1:3" x14ac:dyDescent="0.4">
      <c r="A541">
        <v>5031</v>
      </c>
      <c r="B541" t="s">
        <v>1749</v>
      </c>
      <c r="C541" t="s">
        <v>1769</v>
      </c>
    </row>
    <row r="542" spans="1:3" x14ac:dyDescent="0.4">
      <c r="A542">
        <v>5032</v>
      </c>
      <c r="B542" t="s">
        <v>1749</v>
      </c>
      <c r="C542" t="s">
        <v>1768</v>
      </c>
    </row>
    <row r="543" spans="1:3" x14ac:dyDescent="0.4">
      <c r="A543">
        <v>5033</v>
      </c>
      <c r="B543" t="s">
        <v>1749</v>
      </c>
      <c r="C543" t="s">
        <v>1767</v>
      </c>
    </row>
    <row r="544" spans="1:3" x14ac:dyDescent="0.4">
      <c r="A544">
        <v>5034</v>
      </c>
      <c r="B544" t="s">
        <v>1749</v>
      </c>
      <c r="C544" t="s">
        <v>1766</v>
      </c>
    </row>
    <row r="545" spans="1:3" x14ac:dyDescent="0.4">
      <c r="A545">
        <v>5035</v>
      </c>
      <c r="B545" t="s">
        <v>1749</v>
      </c>
      <c r="C545" t="s">
        <v>1765</v>
      </c>
    </row>
    <row r="546" spans="1:3" x14ac:dyDescent="0.4">
      <c r="A546">
        <v>5036</v>
      </c>
      <c r="B546" t="s">
        <v>1749</v>
      </c>
      <c r="C546" t="s">
        <v>1764</v>
      </c>
    </row>
    <row r="547" spans="1:3" x14ac:dyDescent="0.4">
      <c r="A547">
        <v>5037</v>
      </c>
      <c r="B547" t="s">
        <v>1749</v>
      </c>
      <c r="C547" t="s">
        <v>1763</v>
      </c>
    </row>
    <row r="548" spans="1:3" x14ac:dyDescent="0.4">
      <c r="A548">
        <v>5038</v>
      </c>
      <c r="B548" t="s">
        <v>1749</v>
      </c>
      <c r="C548" t="s">
        <v>1762</v>
      </c>
    </row>
    <row r="549" spans="1:3" x14ac:dyDescent="0.4">
      <c r="A549">
        <v>5039</v>
      </c>
      <c r="B549" t="s">
        <v>1749</v>
      </c>
      <c r="C549" t="s">
        <v>1761</v>
      </c>
    </row>
    <row r="550" spans="1:3" x14ac:dyDescent="0.4">
      <c r="A550">
        <v>5040</v>
      </c>
      <c r="B550" t="s">
        <v>1749</v>
      </c>
      <c r="C550" t="s">
        <v>1760</v>
      </c>
    </row>
    <row r="551" spans="1:3" x14ac:dyDescent="0.4">
      <c r="A551">
        <v>5041</v>
      </c>
      <c r="B551" t="s">
        <v>1749</v>
      </c>
      <c r="C551" t="s">
        <v>1759</v>
      </c>
    </row>
    <row r="552" spans="1:3" x14ac:dyDescent="0.4">
      <c r="A552">
        <v>5042</v>
      </c>
      <c r="B552" t="s">
        <v>1749</v>
      </c>
      <c r="C552" t="s">
        <v>1758</v>
      </c>
    </row>
    <row r="553" spans="1:3" x14ac:dyDescent="0.4">
      <c r="A553">
        <v>5043</v>
      </c>
      <c r="B553" t="s">
        <v>1749</v>
      </c>
      <c r="C553" t="s">
        <v>1757</v>
      </c>
    </row>
    <row r="554" spans="1:3" x14ac:dyDescent="0.4">
      <c r="A554">
        <v>5044</v>
      </c>
      <c r="B554" t="s">
        <v>1749</v>
      </c>
      <c r="C554" t="s">
        <v>1756</v>
      </c>
    </row>
    <row r="555" spans="1:3" x14ac:dyDescent="0.4">
      <c r="A555">
        <v>5045</v>
      </c>
      <c r="B555" t="s">
        <v>1749</v>
      </c>
      <c r="C555" t="s">
        <v>1755</v>
      </c>
    </row>
    <row r="556" spans="1:3" x14ac:dyDescent="0.4">
      <c r="A556">
        <v>5046</v>
      </c>
      <c r="B556" t="s">
        <v>1749</v>
      </c>
      <c r="C556" t="s">
        <v>1754</v>
      </c>
    </row>
    <row r="557" spans="1:3" x14ac:dyDescent="0.4">
      <c r="A557">
        <v>8000</v>
      </c>
      <c r="B557" t="s">
        <v>1749</v>
      </c>
      <c r="C557" t="s">
        <v>1753</v>
      </c>
    </row>
    <row r="558" spans="1:3" x14ac:dyDescent="0.4">
      <c r="A558">
        <v>8001</v>
      </c>
      <c r="B558" t="s">
        <v>1749</v>
      </c>
      <c r="C558" t="s">
        <v>1752</v>
      </c>
    </row>
    <row r="559" spans="1:3" x14ac:dyDescent="0.4">
      <c r="A559">
        <v>8002</v>
      </c>
      <c r="B559" t="s">
        <v>1749</v>
      </c>
      <c r="C559" t="s">
        <v>1751</v>
      </c>
    </row>
    <row r="560" spans="1:3" x14ac:dyDescent="0.4">
      <c r="A560">
        <v>8003</v>
      </c>
      <c r="B560" t="s">
        <v>1749</v>
      </c>
      <c r="C560" t="s">
        <v>1750</v>
      </c>
    </row>
    <row r="561" spans="1:3" x14ac:dyDescent="0.4">
      <c r="A561">
        <v>8004</v>
      </c>
      <c r="B561" t="s">
        <v>1749</v>
      </c>
      <c r="C561" t="s">
        <v>1748</v>
      </c>
    </row>
    <row r="562" spans="1:3" x14ac:dyDescent="0.4">
      <c r="A562">
        <v>10384</v>
      </c>
      <c r="B562" t="s">
        <v>1727</v>
      </c>
      <c r="C562" t="s">
        <v>1747</v>
      </c>
    </row>
    <row r="563" spans="1:3" x14ac:dyDescent="0.4">
      <c r="A563">
        <v>10385</v>
      </c>
      <c r="B563" t="s">
        <v>1727</v>
      </c>
      <c r="C563" t="s">
        <v>1746</v>
      </c>
    </row>
    <row r="564" spans="1:3" x14ac:dyDescent="0.4">
      <c r="A564">
        <v>10386</v>
      </c>
      <c r="B564" t="s">
        <v>1727</v>
      </c>
      <c r="C564" t="s">
        <v>1745</v>
      </c>
    </row>
    <row r="565" spans="1:3" x14ac:dyDescent="0.4">
      <c r="A565">
        <v>10388</v>
      </c>
      <c r="B565" t="s">
        <v>1727</v>
      </c>
      <c r="C565" t="s">
        <v>1744</v>
      </c>
    </row>
    <row r="566" spans="1:3" x14ac:dyDescent="0.4">
      <c r="A566">
        <v>10389</v>
      </c>
      <c r="B566" t="s">
        <v>1727</v>
      </c>
      <c r="C566" t="s">
        <v>1743</v>
      </c>
    </row>
    <row r="567" spans="1:3" x14ac:dyDescent="0.4">
      <c r="A567">
        <v>10390</v>
      </c>
      <c r="B567" t="s">
        <v>1727</v>
      </c>
      <c r="C567" t="s">
        <v>1742</v>
      </c>
    </row>
    <row r="568" spans="1:3" x14ac:dyDescent="0.4">
      <c r="A568">
        <v>12384</v>
      </c>
      <c r="B568" t="s">
        <v>1727</v>
      </c>
      <c r="C568" t="s">
        <v>1741</v>
      </c>
    </row>
    <row r="569" spans="1:3" x14ac:dyDescent="0.4">
      <c r="A569">
        <v>12385</v>
      </c>
      <c r="B569" t="s">
        <v>1727</v>
      </c>
      <c r="C569" t="s">
        <v>1740</v>
      </c>
    </row>
    <row r="570" spans="1:3" x14ac:dyDescent="0.4">
      <c r="A570">
        <v>12386</v>
      </c>
      <c r="B570" t="s">
        <v>1727</v>
      </c>
      <c r="C570" t="s">
        <v>1739</v>
      </c>
    </row>
    <row r="571" spans="1:3" x14ac:dyDescent="0.4">
      <c r="A571">
        <v>12388</v>
      </c>
      <c r="B571" t="s">
        <v>1727</v>
      </c>
      <c r="C571" t="s">
        <v>1738</v>
      </c>
    </row>
    <row r="572" spans="1:3" x14ac:dyDescent="0.4">
      <c r="A572">
        <v>12389</v>
      </c>
      <c r="B572" t="s">
        <v>1727</v>
      </c>
      <c r="C572" t="s">
        <v>1737</v>
      </c>
    </row>
    <row r="573" spans="1:3" x14ac:dyDescent="0.4">
      <c r="A573">
        <v>12390</v>
      </c>
      <c r="B573" t="s">
        <v>1727</v>
      </c>
      <c r="C573" t="s">
        <v>1736</v>
      </c>
    </row>
    <row r="574" spans="1:3" x14ac:dyDescent="0.4">
      <c r="A574">
        <v>18000</v>
      </c>
      <c r="B574" t="s">
        <v>1727</v>
      </c>
      <c r="C574" t="s">
        <v>1447</v>
      </c>
    </row>
    <row r="575" spans="1:3" x14ac:dyDescent="0.4">
      <c r="A575">
        <v>18001</v>
      </c>
      <c r="B575" t="s">
        <v>1727</v>
      </c>
      <c r="C575" t="s">
        <v>1735</v>
      </c>
    </row>
    <row r="576" spans="1:3" x14ac:dyDescent="0.4">
      <c r="A576">
        <v>18002</v>
      </c>
      <c r="B576" t="s">
        <v>1727</v>
      </c>
      <c r="C576" t="s">
        <v>1734</v>
      </c>
    </row>
    <row r="577" spans="1:3" x14ac:dyDescent="0.4">
      <c r="A577">
        <v>18003</v>
      </c>
      <c r="B577" t="s">
        <v>1727</v>
      </c>
      <c r="C577" t="s">
        <v>1733</v>
      </c>
    </row>
    <row r="578" spans="1:3" x14ac:dyDescent="0.4">
      <c r="A578">
        <v>18004</v>
      </c>
      <c r="B578" t="s">
        <v>1727</v>
      </c>
      <c r="C578" t="s">
        <v>1732</v>
      </c>
    </row>
    <row r="579" spans="1:3" x14ac:dyDescent="0.4">
      <c r="A579">
        <v>18005</v>
      </c>
      <c r="B579" t="s">
        <v>1727</v>
      </c>
      <c r="C579" t="s">
        <v>1731</v>
      </c>
    </row>
    <row r="580" spans="1:3" x14ac:dyDescent="0.4">
      <c r="A580">
        <v>18006</v>
      </c>
      <c r="B580" t="s">
        <v>1727</v>
      </c>
      <c r="C580" t="s">
        <v>1730</v>
      </c>
    </row>
    <row r="581" spans="1:3" x14ac:dyDescent="0.4">
      <c r="A581">
        <v>18007</v>
      </c>
      <c r="B581" t="s">
        <v>1727</v>
      </c>
      <c r="C581" t="s">
        <v>1729</v>
      </c>
    </row>
    <row r="582" spans="1:3" x14ac:dyDescent="0.4">
      <c r="A582">
        <v>18008</v>
      </c>
      <c r="B582" t="s">
        <v>1727</v>
      </c>
      <c r="C582" t="s">
        <v>1728</v>
      </c>
    </row>
    <row r="583" spans="1:3" x14ac:dyDescent="0.4">
      <c r="A583">
        <v>18009</v>
      </c>
      <c r="B583" t="s">
        <v>1727</v>
      </c>
      <c r="C583" t="s">
        <v>1726</v>
      </c>
    </row>
    <row r="584" spans="1:3" x14ac:dyDescent="0.4">
      <c r="A584">
        <v>20112</v>
      </c>
      <c r="B584" t="s">
        <v>1593</v>
      </c>
      <c r="C584" t="s">
        <v>1725</v>
      </c>
    </row>
    <row r="585" spans="1:3" x14ac:dyDescent="0.4">
      <c r="A585">
        <v>20113</v>
      </c>
      <c r="B585" t="s">
        <v>1593</v>
      </c>
      <c r="C585" t="s">
        <v>1724</v>
      </c>
    </row>
    <row r="586" spans="1:3" x14ac:dyDescent="0.4">
      <c r="A586">
        <v>20114</v>
      </c>
      <c r="B586" t="s">
        <v>1593</v>
      </c>
      <c r="C586" t="s">
        <v>1723</v>
      </c>
    </row>
    <row r="587" spans="1:3" x14ac:dyDescent="0.4">
      <c r="A587">
        <v>20115</v>
      </c>
      <c r="B587" t="s">
        <v>1593</v>
      </c>
      <c r="C587" t="s">
        <v>1722</v>
      </c>
    </row>
    <row r="588" spans="1:3" x14ac:dyDescent="0.4">
      <c r="A588">
        <v>20116</v>
      </c>
      <c r="B588" t="s">
        <v>1593</v>
      </c>
      <c r="C588" t="s">
        <v>1721</v>
      </c>
    </row>
    <row r="589" spans="1:3" x14ac:dyDescent="0.4">
      <c r="A589">
        <v>20117</v>
      </c>
      <c r="B589" t="s">
        <v>1593</v>
      </c>
      <c r="C589" t="s">
        <v>1720</v>
      </c>
    </row>
    <row r="590" spans="1:3" x14ac:dyDescent="0.4">
      <c r="A590">
        <v>20118</v>
      </c>
      <c r="B590" t="s">
        <v>1593</v>
      </c>
      <c r="C590" t="s">
        <v>1719</v>
      </c>
    </row>
    <row r="591" spans="1:3" x14ac:dyDescent="0.4">
      <c r="A591">
        <v>20119</v>
      </c>
      <c r="B591" t="s">
        <v>1593</v>
      </c>
      <c r="C591" t="s">
        <v>1718</v>
      </c>
    </row>
    <row r="592" spans="1:3" x14ac:dyDescent="0.4">
      <c r="A592">
        <v>20120</v>
      </c>
      <c r="B592" t="s">
        <v>1593</v>
      </c>
      <c r="C592" t="s">
        <v>1717</v>
      </c>
    </row>
    <row r="593" spans="1:3" x14ac:dyDescent="0.4">
      <c r="A593">
        <v>20121</v>
      </c>
      <c r="B593" t="s">
        <v>1593</v>
      </c>
      <c r="C593" t="s">
        <v>1716</v>
      </c>
    </row>
    <row r="594" spans="1:3" x14ac:dyDescent="0.4">
      <c r="A594">
        <v>20122</v>
      </c>
      <c r="B594" t="s">
        <v>1593</v>
      </c>
      <c r="C594" t="s">
        <v>1715</v>
      </c>
    </row>
    <row r="595" spans="1:3" x14ac:dyDescent="0.4">
      <c r="A595">
        <v>20123</v>
      </c>
      <c r="B595" t="s">
        <v>1593</v>
      </c>
      <c r="C595" t="s">
        <v>1714</v>
      </c>
    </row>
    <row r="596" spans="1:3" x14ac:dyDescent="0.4">
      <c r="A596">
        <v>20124</v>
      </c>
      <c r="B596" t="s">
        <v>1593</v>
      </c>
      <c r="C596" t="s">
        <v>1713</v>
      </c>
    </row>
    <row r="597" spans="1:3" x14ac:dyDescent="0.4">
      <c r="A597">
        <v>20125</v>
      </c>
      <c r="B597" t="s">
        <v>1593</v>
      </c>
      <c r="C597" t="s">
        <v>1712</v>
      </c>
    </row>
    <row r="598" spans="1:3" x14ac:dyDescent="0.4">
      <c r="A598">
        <v>20126</v>
      </c>
      <c r="B598" t="s">
        <v>1593</v>
      </c>
      <c r="C598" t="s">
        <v>1711</v>
      </c>
    </row>
    <row r="599" spans="1:3" x14ac:dyDescent="0.4">
      <c r="A599">
        <v>20127</v>
      </c>
      <c r="B599" t="s">
        <v>1593</v>
      </c>
      <c r="C599" t="s">
        <v>1710</v>
      </c>
    </row>
    <row r="600" spans="1:3" x14ac:dyDescent="0.4">
      <c r="A600">
        <v>20640</v>
      </c>
      <c r="B600" t="s">
        <v>1593</v>
      </c>
      <c r="C600" t="s">
        <v>1709</v>
      </c>
    </row>
    <row r="601" spans="1:3" x14ac:dyDescent="0.4">
      <c r="A601">
        <v>20641</v>
      </c>
      <c r="B601" t="s">
        <v>1593</v>
      </c>
      <c r="C601" t="s">
        <v>1708</v>
      </c>
    </row>
    <row r="602" spans="1:3" x14ac:dyDescent="0.4">
      <c r="A602">
        <v>20642</v>
      </c>
      <c r="B602" t="s">
        <v>1593</v>
      </c>
      <c r="C602" t="s">
        <v>1707</v>
      </c>
    </row>
    <row r="603" spans="1:3" x14ac:dyDescent="0.4">
      <c r="A603">
        <v>20643</v>
      </c>
      <c r="B603" t="s">
        <v>1593</v>
      </c>
      <c r="C603" t="s">
        <v>1706</v>
      </c>
    </row>
    <row r="604" spans="1:3" x14ac:dyDescent="0.4">
      <c r="A604">
        <v>20644</v>
      </c>
      <c r="B604" t="s">
        <v>1593</v>
      </c>
      <c r="C604" t="s">
        <v>1705</v>
      </c>
    </row>
    <row r="605" spans="1:3" x14ac:dyDescent="0.4">
      <c r="A605">
        <v>20645</v>
      </c>
      <c r="B605" t="s">
        <v>1593</v>
      </c>
      <c r="C605" t="s">
        <v>1704</v>
      </c>
    </row>
    <row r="606" spans="1:3" x14ac:dyDescent="0.4">
      <c r="A606">
        <v>20646</v>
      </c>
      <c r="B606" t="s">
        <v>1593</v>
      </c>
      <c r="C606" t="s">
        <v>1703</v>
      </c>
    </row>
    <row r="607" spans="1:3" x14ac:dyDescent="0.4">
      <c r="A607">
        <v>20647</v>
      </c>
      <c r="B607" t="s">
        <v>1593</v>
      </c>
      <c r="C607" t="s">
        <v>1702</v>
      </c>
    </row>
    <row r="608" spans="1:3" x14ac:dyDescent="0.4">
      <c r="A608">
        <v>20656</v>
      </c>
      <c r="B608" t="s">
        <v>1593</v>
      </c>
      <c r="C608" t="s">
        <v>1701</v>
      </c>
    </row>
    <row r="609" spans="1:3" x14ac:dyDescent="0.4">
      <c r="A609">
        <v>20657</v>
      </c>
      <c r="B609" t="s">
        <v>1593</v>
      </c>
      <c r="C609" t="s">
        <v>1700</v>
      </c>
    </row>
    <row r="610" spans="1:3" x14ac:dyDescent="0.4">
      <c r="A610">
        <v>20658</v>
      </c>
      <c r="B610" t="s">
        <v>1593</v>
      </c>
      <c r="C610" t="s">
        <v>1699</v>
      </c>
    </row>
    <row r="611" spans="1:3" x14ac:dyDescent="0.4">
      <c r="A611">
        <v>20659</v>
      </c>
      <c r="B611" t="s">
        <v>1593</v>
      </c>
      <c r="C611" t="s">
        <v>1698</v>
      </c>
    </row>
    <row r="612" spans="1:3" x14ac:dyDescent="0.4">
      <c r="A612">
        <v>20660</v>
      </c>
      <c r="B612" t="s">
        <v>1593</v>
      </c>
      <c r="C612" t="s">
        <v>1697</v>
      </c>
    </row>
    <row r="613" spans="1:3" x14ac:dyDescent="0.4">
      <c r="A613">
        <v>20661</v>
      </c>
      <c r="B613" t="s">
        <v>1593</v>
      </c>
      <c r="C613" t="s">
        <v>1696</v>
      </c>
    </row>
    <row r="614" spans="1:3" x14ac:dyDescent="0.4">
      <c r="A614">
        <v>20662</v>
      </c>
      <c r="B614" t="s">
        <v>1593</v>
      </c>
      <c r="C614" t="s">
        <v>1695</v>
      </c>
    </row>
    <row r="615" spans="1:3" x14ac:dyDescent="0.4">
      <c r="A615">
        <v>20663</v>
      </c>
      <c r="B615" t="s">
        <v>1593</v>
      </c>
      <c r="C615" t="s">
        <v>1694</v>
      </c>
    </row>
    <row r="616" spans="1:3" x14ac:dyDescent="0.4">
      <c r="A616">
        <v>20664</v>
      </c>
      <c r="B616" t="s">
        <v>1593</v>
      </c>
      <c r="C616" t="s">
        <v>1693</v>
      </c>
    </row>
    <row r="617" spans="1:3" x14ac:dyDescent="0.4">
      <c r="A617">
        <v>20665</v>
      </c>
      <c r="B617" t="s">
        <v>1593</v>
      </c>
      <c r="C617" t="s">
        <v>1692</v>
      </c>
    </row>
    <row r="618" spans="1:3" x14ac:dyDescent="0.4">
      <c r="A618">
        <v>20666</v>
      </c>
      <c r="B618" t="s">
        <v>1593</v>
      </c>
      <c r="C618" t="s">
        <v>1691</v>
      </c>
    </row>
    <row r="619" spans="1:3" x14ac:dyDescent="0.4">
      <c r="A619">
        <v>20667</v>
      </c>
      <c r="B619" t="s">
        <v>1593</v>
      </c>
      <c r="C619" t="s">
        <v>1690</v>
      </c>
    </row>
    <row r="620" spans="1:3" x14ac:dyDescent="0.4">
      <c r="A620">
        <v>20668</v>
      </c>
      <c r="B620" t="s">
        <v>1593</v>
      </c>
      <c r="C620" t="s">
        <v>1689</v>
      </c>
    </row>
    <row r="621" spans="1:3" x14ac:dyDescent="0.4">
      <c r="A621">
        <v>20669</v>
      </c>
      <c r="B621" t="s">
        <v>1593</v>
      </c>
      <c r="C621" t="s">
        <v>1688</v>
      </c>
    </row>
    <row r="622" spans="1:3" x14ac:dyDescent="0.4">
      <c r="A622">
        <v>20670</v>
      </c>
      <c r="B622" t="s">
        <v>1593</v>
      </c>
      <c r="C622" t="s">
        <v>1687</v>
      </c>
    </row>
    <row r="623" spans="1:3" x14ac:dyDescent="0.4">
      <c r="A623">
        <v>20671</v>
      </c>
      <c r="B623" t="s">
        <v>1593</v>
      </c>
      <c r="C623" t="s">
        <v>1686</v>
      </c>
    </row>
    <row r="624" spans="1:3" x14ac:dyDescent="0.4">
      <c r="A624">
        <v>22112</v>
      </c>
      <c r="B624" t="s">
        <v>1593</v>
      </c>
      <c r="C624" t="s">
        <v>1685</v>
      </c>
    </row>
    <row r="625" spans="1:3" x14ac:dyDescent="0.4">
      <c r="A625">
        <v>22113</v>
      </c>
      <c r="B625" t="s">
        <v>1593</v>
      </c>
      <c r="C625" t="s">
        <v>1684</v>
      </c>
    </row>
    <row r="626" spans="1:3" x14ac:dyDescent="0.4">
      <c r="A626">
        <v>22114</v>
      </c>
      <c r="B626" t="s">
        <v>1593</v>
      </c>
      <c r="C626" t="s">
        <v>1683</v>
      </c>
    </row>
    <row r="627" spans="1:3" x14ac:dyDescent="0.4">
      <c r="A627">
        <v>22115</v>
      </c>
      <c r="B627" t="s">
        <v>1593</v>
      </c>
      <c r="C627" t="s">
        <v>1682</v>
      </c>
    </row>
    <row r="628" spans="1:3" x14ac:dyDescent="0.4">
      <c r="A628">
        <v>22116</v>
      </c>
      <c r="B628" t="s">
        <v>1593</v>
      </c>
      <c r="C628" t="s">
        <v>1681</v>
      </c>
    </row>
    <row r="629" spans="1:3" x14ac:dyDescent="0.4">
      <c r="A629">
        <v>22117</v>
      </c>
      <c r="B629" t="s">
        <v>1593</v>
      </c>
      <c r="C629" t="s">
        <v>1680</v>
      </c>
    </row>
    <row r="630" spans="1:3" x14ac:dyDescent="0.4">
      <c r="A630">
        <v>22118</v>
      </c>
      <c r="B630" t="s">
        <v>1593</v>
      </c>
      <c r="C630" t="s">
        <v>1679</v>
      </c>
    </row>
    <row r="631" spans="1:3" x14ac:dyDescent="0.4">
      <c r="A631">
        <v>22119</v>
      </c>
      <c r="B631" t="s">
        <v>1593</v>
      </c>
      <c r="C631" t="s">
        <v>1678</v>
      </c>
    </row>
    <row r="632" spans="1:3" x14ac:dyDescent="0.4">
      <c r="A632">
        <v>22120</v>
      </c>
      <c r="B632" t="s">
        <v>1593</v>
      </c>
      <c r="C632" t="s">
        <v>1677</v>
      </c>
    </row>
    <row r="633" spans="1:3" x14ac:dyDescent="0.4">
      <c r="A633">
        <v>22121</v>
      </c>
      <c r="B633" t="s">
        <v>1593</v>
      </c>
      <c r="C633" t="s">
        <v>1676</v>
      </c>
    </row>
    <row r="634" spans="1:3" x14ac:dyDescent="0.4">
      <c r="A634">
        <v>22122</v>
      </c>
      <c r="B634" t="s">
        <v>1593</v>
      </c>
      <c r="C634" t="s">
        <v>1675</v>
      </c>
    </row>
    <row r="635" spans="1:3" x14ac:dyDescent="0.4">
      <c r="A635">
        <v>22123</v>
      </c>
      <c r="B635" t="s">
        <v>1593</v>
      </c>
      <c r="C635" t="s">
        <v>1674</v>
      </c>
    </row>
    <row r="636" spans="1:3" x14ac:dyDescent="0.4">
      <c r="A636">
        <v>22124</v>
      </c>
      <c r="B636" t="s">
        <v>1593</v>
      </c>
      <c r="C636" t="s">
        <v>1673</v>
      </c>
    </row>
    <row r="637" spans="1:3" x14ac:dyDescent="0.4">
      <c r="A637">
        <v>22125</v>
      </c>
      <c r="B637" t="s">
        <v>1593</v>
      </c>
      <c r="C637" t="s">
        <v>1672</v>
      </c>
    </row>
    <row r="638" spans="1:3" x14ac:dyDescent="0.4">
      <c r="A638">
        <v>22126</v>
      </c>
      <c r="B638" t="s">
        <v>1593</v>
      </c>
      <c r="C638" t="s">
        <v>1671</v>
      </c>
    </row>
    <row r="639" spans="1:3" x14ac:dyDescent="0.4">
      <c r="A639">
        <v>22127</v>
      </c>
      <c r="B639" t="s">
        <v>1593</v>
      </c>
      <c r="C639" t="s">
        <v>1670</v>
      </c>
    </row>
    <row r="640" spans="1:3" x14ac:dyDescent="0.4">
      <c r="A640">
        <v>22640</v>
      </c>
      <c r="B640" t="s">
        <v>1593</v>
      </c>
      <c r="C640" t="s">
        <v>1669</v>
      </c>
    </row>
    <row r="641" spans="1:3" x14ac:dyDescent="0.4">
      <c r="A641">
        <v>22641</v>
      </c>
      <c r="B641" t="s">
        <v>1593</v>
      </c>
      <c r="C641" t="s">
        <v>1668</v>
      </c>
    </row>
    <row r="642" spans="1:3" x14ac:dyDescent="0.4">
      <c r="A642">
        <v>22642</v>
      </c>
      <c r="B642" t="s">
        <v>1593</v>
      </c>
      <c r="C642" t="s">
        <v>1667</v>
      </c>
    </row>
    <row r="643" spans="1:3" x14ac:dyDescent="0.4">
      <c r="A643">
        <v>22643</v>
      </c>
      <c r="B643" t="s">
        <v>1593</v>
      </c>
      <c r="C643" t="s">
        <v>1666</v>
      </c>
    </row>
    <row r="644" spans="1:3" x14ac:dyDescent="0.4">
      <c r="A644">
        <v>22644</v>
      </c>
      <c r="B644" t="s">
        <v>1593</v>
      </c>
      <c r="C644" t="s">
        <v>1665</v>
      </c>
    </row>
    <row r="645" spans="1:3" x14ac:dyDescent="0.4">
      <c r="A645">
        <v>22645</v>
      </c>
      <c r="B645" t="s">
        <v>1593</v>
      </c>
      <c r="C645" t="s">
        <v>1664</v>
      </c>
    </row>
    <row r="646" spans="1:3" x14ac:dyDescent="0.4">
      <c r="A646">
        <v>22646</v>
      </c>
      <c r="B646" t="s">
        <v>1593</v>
      </c>
      <c r="C646" t="s">
        <v>1663</v>
      </c>
    </row>
    <row r="647" spans="1:3" x14ac:dyDescent="0.4">
      <c r="A647">
        <v>22647</v>
      </c>
      <c r="B647" t="s">
        <v>1593</v>
      </c>
      <c r="C647" t="s">
        <v>1662</v>
      </c>
    </row>
    <row r="648" spans="1:3" x14ac:dyDescent="0.4">
      <c r="A648">
        <v>22656</v>
      </c>
      <c r="B648" t="s">
        <v>1593</v>
      </c>
      <c r="C648" t="s">
        <v>1661</v>
      </c>
    </row>
    <row r="649" spans="1:3" x14ac:dyDescent="0.4">
      <c r="A649">
        <v>22657</v>
      </c>
      <c r="B649" t="s">
        <v>1593</v>
      </c>
      <c r="C649" t="s">
        <v>1660</v>
      </c>
    </row>
    <row r="650" spans="1:3" x14ac:dyDescent="0.4">
      <c r="A650">
        <v>22658</v>
      </c>
      <c r="B650" t="s">
        <v>1593</v>
      </c>
      <c r="C650" t="s">
        <v>1659</v>
      </c>
    </row>
    <row r="651" spans="1:3" x14ac:dyDescent="0.4">
      <c r="A651">
        <v>22659</v>
      </c>
      <c r="B651" t="s">
        <v>1593</v>
      </c>
      <c r="C651" t="s">
        <v>1658</v>
      </c>
    </row>
    <row r="652" spans="1:3" x14ac:dyDescent="0.4">
      <c r="A652">
        <v>22660</v>
      </c>
      <c r="B652" t="s">
        <v>1593</v>
      </c>
      <c r="C652" t="s">
        <v>1657</v>
      </c>
    </row>
    <row r="653" spans="1:3" x14ac:dyDescent="0.4">
      <c r="A653">
        <v>22661</v>
      </c>
      <c r="B653" t="s">
        <v>1593</v>
      </c>
      <c r="C653" t="s">
        <v>1656</v>
      </c>
    </row>
    <row r="654" spans="1:3" x14ac:dyDescent="0.4">
      <c r="A654">
        <v>22662</v>
      </c>
      <c r="B654" t="s">
        <v>1593</v>
      </c>
      <c r="C654" t="s">
        <v>1655</v>
      </c>
    </row>
    <row r="655" spans="1:3" x14ac:dyDescent="0.4">
      <c r="A655">
        <v>22663</v>
      </c>
      <c r="B655" t="s">
        <v>1593</v>
      </c>
      <c r="C655" t="s">
        <v>1654</v>
      </c>
    </row>
    <row r="656" spans="1:3" x14ac:dyDescent="0.4">
      <c r="A656">
        <v>22664</v>
      </c>
      <c r="B656" t="s">
        <v>1593</v>
      </c>
      <c r="C656" t="s">
        <v>1653</v>
      </c>
    </row>
    <row r="657" spans="1:3" x14ac:dyDescent="0.4">
      <c r="A657">
        <v>22665</v>
      </c>
      <c r="B657" t="s">
        <v>1593</v>
      </c>
      <c r="C657" t="s">
        <v>1652</v>
      </c>
    </row>
    <row r="658" spans="1:3" x14ac:dyDescent="0.4">
      <c r="A658">
        <v>22666</v>
      </c>
      <c r="B658" t="s">
        <v>1593</v>
      </c>
      <c r="C658" t="s">
        <v>1651</v>
      </c>
    </row>
    <row r="659" spans="1:3" x14ac:dyDescent="0.4">
      <c r="A659">
        <v>22667</v>
      </c>
      <c r="B659" t="s">
        <v>1593</v>
      </c>
      <c r="C659" t="s">
        <v>1650</v>
      </c>
    </row>
    <row r="660" spans="1:3" x14ac:dyDescent="0.4">
      <c r="A660">
        <v>22668</v>
      </c>
      <c r="B660" t="s">
        <v>1593</v>
      </c>
      <c r="C660" t="s">
        <v>1649</v>
      </c>
    </row>
    <row r="661" spans="1:3" x14ac:dyDescent="0.4">
      <c r="A661">
        <v>22669</v>
      </c>
      <c r="B661" t="s">
        <v>1593</v>
      </c>
      <c r="C661" t="s">
        <v>1648</v>
      </c>
    </row>
    <row r="662" spans="1:3" x14ac:dyDescent="0.4">
      <c r="A662">
        <v>22670</v>
      </c>
      <c r="B662" t="s">
        <v>1593</v>
      </c>
      <c r="C662" t="s">
        <v>1647</v>
      </c>
    </row>
    <row r="663" spans="1:3" x14ac:dyDescent="0.4">
      <c r="A663">
        <v>22671</v>
      </c>
      <c r="B663" t="s">
        <v>1593</v>
      </c>
      <c r="C663" t="s">
        <v>1646</v>
      </c>
    </row>
    <row r="664" spans="1:3" x14ac:dyDescent="0.4">
      <c r="A664">
        <v>24047</v>
      </c>
      <c r="B664" t="s">
        <v>1593</v>
      </c>
      <c r="C664" t="s">
        <v>1645</v>
      </c>
    </row>
    <row r="665" spans="1:3" x14ac:dyDescent="0.4">
      <c r="A665">
        <v>24048</v>
      </c>
      <c r="B665" t="s">
        <v>1593</v>
      </c>
      <c r="C665" t="s">
        <v>1644</v>
      </c>
    </row>
    <row r="666" spans="1:3" x14ac:dyDescent="0.4">
      <c r="A666">
        <v>24049</v>
      </c>
      <c r="B666" t="s">
        <v>1593</v>
      </c>
      <c r="C666" t="s">
        <v>1643</v>
      </c>
    </row>
    <row r="667" spans="1:3" x14ac:dyDescent="0.4">
      <c r="A667">
        <v>24050</v>
      </c>
      <c r="B667" t="s">
        <v>1593</v>
      </c>
      <c r="C667" t="s">
        <v>1642</v>
      </c>
    </row>
    <row r="668" spans="1:3" x14ac:dyDescent="0.4">
      <c r="A668">
        <v>24051</v>
      </c>
      <c r="B668" t="s">
        <v>1593</v>
      </c>
      <c r="C668" t="s">
        <v>1641</v>
      </c>
    </row>
    <row r="669" spans="1:3" x14ac:dyDescent="0.4">
      <c r="A669">
        <v>24052</v>
      </c>
      <c r="B669" t="s">
        <v>1593</v>
      </c>
      <c r="C669" t="s">
        <v>1640</v>
      </c>
    </row>
    <row r="670" spans="1:3" x14ac:dyDescent="0.4">
      <c r="A670">
        <v>24053</v>
      </c>
      <c r="B670" t="s">
        <v>1593</v>
      </c>
      <c r="C670" t="s">
        <v>1639</v>
      </c>
    </row>
    <row r="671" spans="1:3" x14ac:dyDescent="0.4">
      <c r="A671">
        <v>24054</v>
      </c>
      <c r="B671" t="s">
        <v>1593</v>
      </c>
      <c r="C671" t="s">
        <v>1638</v>
      </c>
    </row>
    <row r="672" spans="1:3" x14ac:dyDescent="0.4">
      <c r="A672">
        <v>24055</v>
      </c>
      <c r="B672" t="s">
        <v>1593</v>
      </c>
      <c r="C672" t="s">
        <v>1637</v>
      </c>
    </row>
    <row r="673" spans="1:3" x14ac:dyDescent="0.4">
      <c r="A673">
        <v>24056</v>
      </c>
      <c r="B673" t="s">
        <v>1593</v>
      </c>
      <c r="C673" t="s">
        <v>1636</v>
      </c>
    </row>
    <row r="674" spans="1:3" x14ac:dyDescent="0.4">
      <c r="A674">
        <v>24057</v>
      </c>
      <c r="B674" t="s">
        <v>1593</v>
      </c>
      <c r="C674" t="s">
        <v>1635</v>
      </c>
    </row>
    <row r="675" spans="1:3" x14ac:dyDescent="0.4">
      <c r="A675">
        <v>24058</v>
      </c>
      <c r="B675" t="s">
        <v>1593</v>
      </c>
      <c r="C675" t="s">
        <v>1634</v>
      </c>
    </row>
    <row r="676" spans="1:3" x14ac:dyDescent="0.4">
      <c r="A676">
        <v>24059</v>
      </c>
      <c r="B676" t="s">
        <v>1593</v>
      </c>
      <c r="C676" t="s">
        <v>1633</v>
      </c>
    </row>
    <row r="677" spans="1:3" x14ac:dyDescent="0.4">
      <c r="A677">
        <v>24060</v>
      </c>
      <c r="B677" t="s">
        <v>1593</v>
      </c>
      <c r="C677" t="s">
        <v>1632</v>
      </c>
    </row>
    <row r="678" spans="1:3" x14ac:dyDescent="0.4">
      <c r="A678">
        <v>24061</v>
      </c>
      <c r="B678" t="s">
        <v>1593</v>
      </c>
      <c r="C678" t="s">
        <v>1631</v>
      </c>
    </row>
    <row r="679" spans="1:3" x14ac:dyDescent="0.4">
      <c r="A679">
        <v>24062</v>
      </c>
      <c r="B679" t="s">
        <v>1593</v>
      </c>
      <c r="C679" t="s">
        <v>1630</v>
      </c>
    </row>
    <row r="680" spans="1:3" x14ac:dyDescent="0.4">
      <c r="A680">
        <v>24063</v>
      </c>
      <c r="B680" t="s">
        <v>1593</v>
      </c>
      <c r="C680" t="s">
        <v>1629</v>
      </c>
    </row>
    <row r="681" spans="1:3" x14ac:dyDescent="0.4">
      <c r="A681">
        <v>24064</v>
      </c>
      <c r="B681" t="s">
        <v>1593</v>
      </c>
      <c r="C681" t="s">
        <v>1628</v>
      </c>
    </row>
    <row r="682" spans="1:3" x14ac:dyDescent="0.4">
      <c r="A682">
        <v>24065</v>
      </c>
      <c r="B682" t="s">
        <v>1593</v>
      </c>
      <c r="C682" t="s">
        <v>1627</v>
      </c>
    </row>
    <row r="683" spans="1:3" x14ac:dyDescent="0.4">
      <c r="A683">
        <v>24066</v>
      </c>
      <c r="B683" t="s">
        <v>1593</v>
      </c>
      <c r="C683" t="s">
        <v>1626</v>
      </c>
    </row>
    <row r="684" spans="1:3" x14ac:dyDescent="0.4">
      <c r="A684">
        <v>24067</v>
      </c>
      <c r="B684" t="s">
        <v>1593</v>
      </c>
      <c r="C684" t="s">
        <v>1625</v>
      </c>
    </row>
    <row r="685" spans="1:3" x14ac:dyDescent="0.4">
      <c r="A685">
        <v>24068</v>
      </c>
      <c r="B685" t="s">
        <v>1593</v>
      </c>
      <c r="C685" t="s">
        <v>1624</v>
      </c>
    </row>
    <row r="686" spans="1:3" x14ac:dyDescent="0.4">
      <c r="A686">
        <v>24069</v>
      </c>
      <c r="B686" t="s">
        <v>1593</v>
      </c>
      <c r="C686" t="s">
        <v>1623</v>
      </c>
    </row>
    <row r="687" spans="1:3" x14ac:dyDescent="0.4">
      <c r="A687">
        <v>24070</v>
      </c>
      <c r="B687" t="s">
        <v>1593</v>
      </c>
      <c r="C687" t="s">
        <v>1622</v>
      </c>
    </row>
    <row r="688" spans="1:3" x14ac:dyDescent="0.4">
      <c r="A688">
        <v>25047</v>
      </c>
      <c r="B688" t="s">
        <v>1593</v>
      </c>
      <c r="C688" t="s">
        <v>1621</v>
      </c>
    </row>
    <row r="689" spans="1:3" x14ac:dyDescent="0.4">
      <c r="A689">
        <v>25048</v>
      </c>
      <c r="B689" t="s">
        <v>1593</v>
      </c>
      <c r="C689" t="s">
        <v>1620</v>
      </c>
    </row>
    <row r="690" spans="1:3" x14ac:dyDescent="0.4">
      <c r="A690">
        <v>25049</v>
      </c>
      <c r="B690" t="s">
        <v>1593</v>
      </c>
      <c r="C690" t="s">
        <v>1619</v>
      </c>
    </row>
    <row r="691" spans="1:3" x14ac:dyDescent="0.4">
      <c r="A691">
        <v>25050</v>
      </c>
      <c r="B691" t="s">
        <v>1593</v>
      </c>
      <c r="C691" t="s">
        <v>1618</v>
      </c>
    </row>
    <row r="692" spans="1:3" x14ac:dyDescent="0.4">
      <c r="A692">
        <v>25051</v>
      </c>
      <c r="B692" t="s">
        <v>1593</v>
      </c>
      <c r="C692" t="s">
        <v>1617</v>
      </c>
    </row>
    <row r="693" spans="1:3" x14ac:dyDescent="0.4">
      <c r="A693">
        <v>25052</v>
      </c>
      <c r="B693" t="s">
        <v>1593</v>
      </c>
      <c r="C693" t="s">
        <v>1616</v>
      </c>
    </row>
    <row r="694" spans="1:3" x14ac:dyDescent="0.4">
      <c r="A694">
        <v>25053</v>
      </c>
      <c r="B694" t="s">
        <v>1593</v>
      </c>
      <c r="C694" t="s">
        <v>1615</v>
      </c>
    </row>
    <row r="695" spans="1:3" x14ac:dyDescent="0.4">
      <c r="A695">
        <v>25054</v>
      </c>
      <c r="B695" t="s">
        <v>1593</v>
      </c>
      <c r="C695" t="s">
        <v>1614</v>
      </c>
    </row>
    <row r="696" spans="1:3" x14ac:dyDescent="0.4">
      <c r="A696">
        <v>25055</v>
      </c>
      <c r="B696" t="s">
        <v>1593</v>
      </c>
      <c r="C696" t="s">
        <v>1613</v>
      </c>
    </row>
    <row r="697" spans="1:3" x14ac:dyDescent="0.4">
      <c r="A697">
        <v>25056</v>
      </c>
      <c r="B697" t="s">
        <v>1593</v>
      </c>
      <c r="C697" t="s">
        <v>1612</v>
      </c>
    </row>
    <row r="698" spans="1:3" x14ac:dyDescent="0.4">
      <c r="A698">
        <v>25057</v>
      </c>
      <c r="B698" t="s">
        <v>1593</v>
      </c>
      <c r="C698" t="s">
        <v>1611</v>
      </c>
    </row>
    <row r="699" spans="1:3" x14ac:dyDescent="0.4">
      <c r="A699">
        <v>25058</v>
      </c>
      <c r="B699" t="s">
        <v>1593</v>
      </c>
      <c r="C699" t="s">
        <v>1610</v>
      </c>
    </row>
    <row r="700" spans="1:3" x14ac:dyDescent="0.4">
      <c r="A700">
        <v>25059</v>
      </c>
      <c r="B700" t="s">
        <v>1593</v>
      </c>
      <c r="C700" t="s">
        <v>1609</v>
      </c>
    </row>
    <row r="701" spans="1:3" x14ac:dyDescent="0.4">
      <c r="A701">
        <v>25060</v>
      </c>
      <c r="B701" t="s">
        <v>1593</v>
      </c>
      <c r="C701" t="s">
        <v>1608</v>
      </c>
    </row>
    <row r="702" spans="1:3" x14ac:dyDescent="0.4">
      <c r="A702">
        <v>25061</v>
      </c>
      <c r="B702" t="s">
        <v>1593</v>
      </c>
      <c r="C702" t="s">
        <v>1607</v>
      </c>
    </row>
    <row r="703" spans="1:3" x14ac:dyDescent="0.4">
      <c r="A703">
        <v>25062</v>
      </c>
      <c r="B703" t="s">
        <v>1593</v>
      </c>
      <c r="C703" t="s">
        <v>1606</v>
      </c>
    </row>
    <row r="704" spans="1:3" x14ac:dyDescent="0.4">
      <c r="A704">
        <v>25063</v>
      </c>
      <c r="B704" t="s">
        <v>1593</v>
      </c>
      <c r="C704" t="s">
        <v>1605</v>
      </c>
    </row>
    <row r="705" spans="1:3" x14ac:dyDescent="0.4">
      <c r="A705">
        <v>25064</v>
      </c>
      <c r="B705" t="s">
        <v>1593</v>
      </c>
      <c r="C705" t="s">
        <v>1604</v>
      </c>
    </row>
    <row r="706" spans="1:3" x14ac:dyDescent="0.4">
      <c r="A706">
        <v>25065</v>
      </c>
      <c r="B706" t="s">
        <v>1593</v>
      </c>
      <c r="C706" t="s">
        <v>1603</v>
      </c>
    </row>
    <row r="707" spans="1:3" x14ac:dyDescent="0.4">
      <c r="A707">
        <v>25066</v>
      </c>
      <c r="B707" t="s">
        <v>1593</v>
      </c>
      <c r="C707" t="s">
        <v>1602</v>
      </c>
    </row>
    <row r="708" spans="1:3" x14ac:dyDescent="0.4">
      <c r="A708">
        <v>25067</v>
      </c>
      <c r="B708" t="s">
        <v>1593</v>
      </c>
      <c r="C708" t="s">
        <v>1601</v>
      </c>
    </row>
    <row r="709" spans="1:3" x14ac:dyDescent="0.4">
      <c r="A709">
        <v>25068</v>
      </c>
      <c r="B709" t="s">
        <v>1593</v>
      </c>
      <c r="C709" t="s">
        <v>1600</v>
      </c>
    </row>
    <row r="710" spans="1:3" x14ac:dyDescent="0.4">
      <c r="A710">
        <v>25069</v>
      </c>
      <c r="B710" t="s">
        <v>1593</v>
      </c>
      <c r="C710" t="s">
        <v>1599</v>
      </c>
    </row>
    <row r="711" spans="1:3" x14ac:dyDescent="0.4">
      <c r="A711">
        <v>25070</v>
      </c>
      <c r="B711" t="s">
        <v>1593</v>
      </c>
      <c r="C711" t="s">
        <v>1598</v>
      </c>
    </row>
    <row r="712" spans="1:3" x14ac:dyDescent="0.4">
      <c r="A712">
        <v>28000</v>
      </c>
      <c r="B712" t="s">
        <v>1593</v>
      </c>
      <c r="C712" t="s">
        <v>1463</v>
      </c>
    </row>
    <row r="713" spans="1:3" x14ac:dyDescent="0.4">
      <c r="A713">
        <v>28001</v>
      </c>
      <c r="B713" t="s">
        <v>1593</v>
      </c>
      <c r="C713" t="s">
        <v>1462</v>
      </c>
    </row>
    <row r="714" spans="1:3" x14ac:dyDescent="0.4">
      <c r="A714">
        <v>28002</v>
      </c>
      <c r="B714" t="s">
        <v>1593</v>
      </c>
      <c r="C714" t="s">
        <v>1461</v>
      </c>
    </row>
    <row r="715" spans="1:3" x14ac:dyDescent="0.4">
      <c r="A715">
        <v>28003</v>
      </c>
      <c r="B715" t="s">
        <v>1593</v>
      </c>
      <c r="C715" t="s">
        <v>1460</v>
      </c>
    </row>
    <row r="716" spans="1:3" x14ac:dyDescent="0.4">
      <c r="A716">
        <v>28004</v>
      </c>
      <c r="B716" t="s">
        <v>1593</v>
      </c>
      <c r="C716" t="s">
        <v>1459</v>
      </c>
    </row>
    <row r="717" spans="1:3" x14ac:dyDescent="0.4">
      <c r="A717">
        <v>28005</v>
      </c>
      <c r="B717" t="s">
        <v>1593</v>
      </c>
      <c r="C717" t="s">
        <v>1458</v>
      </c>
    </row>
    <row r="718" spans="1:3" x14ac:dyDescent="0.4">
      <c r="A718">
        <v>28006</v>
      </c>
      <c r="B718" t="s">
        <v>1593</v>
      </c>
      <c r="C718" t="s">
        <v>1457</v>
      </c>
    </row>
    <row r="719" spans="1:3" x14ac:dyDescent="0.4">
      <c r="A719">
        <v>28007</v>
      </c>
      <c r="B719" t="s">
        <v>1593</v>
      </c>
      <c r="C719" t="s">
        <v>1456</v>
      </c>
    </row>
    <row r="720" spans="1:3" x14ac:dyDescent="0.4">
      <c r="A720">
        <v>28008</v>
      </c>
      <c r="B720" t="s">
        <v>1593</v>
      </c>
      <c r="C720" t="s">
        <v>1455</v>
      </c>
    </row>
    <row r="721" spans="1:3" x14ac:dyDescent="0.4">
      <c r="A721">
        <v>28009</v>
      </c>
      <c r="B721" t="s">
        <v>1593</v>
      </c>
      <c r="C721" t="s">
        <v>1454</v>
      </c>
    </row>
    <row r="722" spans="1:3" x14ac:dyDescent="0.4">
      <c r="A722">
        <v>28010</v>
      </c>
      <c r="B722" t="s">
        <v>1593</v>
      </c>
      <c r="C722" t="s">
        <v>1597</v>
      </c>
    </row>
    <row r="723" spans="1:3" x14ac:dyDescent="0.4">
      <c r="A723">
        <v>28011</v>
      </c>
      <c r="B723" t="s">
        <v>1593</v>
      </c>
      <c r="C723" t="s">
        <v>1596</v>
      </c>
    </row>
    <row r="724" spans="1:3" x14ac:dyDescent="0.4">
      <c r="A724">
        <v>28012</v>
      </c>
      <c r="B724" t="s">
        <v>1593</v>
      </c>
      <c r="C724" t="s">
        <v>1452</v>
      </c>
    </row>
    <row r="725" spans="1:3" x14ac:dyDescent="0.4">
      <c r="A725">
        <v>28013</v>
      </c>
      <c r="B725" t="s">
        <v>1593</v>
      </c>
      <c r="C725" t="s">
        <v>1451</v>
      </c>
    </row>
    <row r="726" spans="1:3" x14ac:dyDescent="0.4">
      <c r="A726">
        <v>28014</v>
      </c>
      <c r="B726" t="s">
        <v>1593</v>
      </c>
      <c r="C726" t="s">
        <v>1450</v>
      </c>
    </row>
    <row r="727" spans="1:3" x14ac:dyDescent="0.4">
      <c r="A727">
        <v>28015</v>
      </c>
      <c r="B727" t="s">
        <v>1593</v>
      </c>
      <c r="C727" t="s">
        <v>1595</v>
      </c>
    </row>
    <row r="728" spans="1:3" x14ac:dyDescent="0.4">
      <c r="A728">
        <v>28016</v>
      </c>
      <c r="B728" t="s">
        <v>1593</v>
      </c>
      <c r="C728" t="s">
        <v>1449</v>
      </c>
    </row>
    <row r="729" spans="1:3" x14ac:dyDescent="0.4">
      <c r="A729">
        <v>28017</v>
      </c>
      <c r="B729" t="s">
        <v>1593</v>
      </c>
      <c r="C729" t="s">
        <v>1447</v>
      </c>
    </row>
    <row r="730" spans="1:3" x14ac:dyDescent="0.4">
      <c r="A730">
        <v>28018</v>
      </c>
      <c r="B730" t="s">
        <v>1593</v>
      </c>
      <c r="C730" t="s">
        <v>1594</v>
      </c>
    </row>
    <row r="731" spans="1:3" x14ac:dyDescent="0.4">
      <c r="A731">
        <v>28019</v>
      </c>
      <c r="B731" t="s">
        <v>1593</v>
      </c>
      <c r="C731" t="s">
        <v>1445</v>
      </c>
    </row>
    <row r="732" spans="1:3" x14ac:dyDescent="0.4">
      <c r="A732">
        <v>28020</v>
      </c>
      <c r="B732" t="s">
        <v>1593</v>
      </c>
      <c r="C732" t="s">
        <v>1444</v>
      </c>
    </row>
    <row r="733" spans="1:3" x14ac:dyDescent="0.4">
      <c r="A733">
        <v>28021</v>
      </c>
      <c r="B733" t="s">
        <v>1593</v>
      </c>
      <c r="C733" t="s">
        <v>1443</v>
      </c>
    </row>
    <row r="734" spans="1:3" x14ac:dyDescent="0.4">
      <c r="A734">
        <v>28022</v>
      </c>
      <c r="B734" t="s">
        <v>1593</v>
      </c>
      <c r="C734" t="s">
        <v>1442</v>
      </c>
    </row>
    <row r="735" spans="1:3" x14ac:dyDescent="0.4">
      <c r="A735">
        <v>28023</v>
      </c>
      <c r="B735" t="s">
        <v>1593</v>
      </c>
      <c r="C735" t="s">
        <v>1592</v>
      </c>
    </row>
    <row r="736" spans="1:3" x14ac:dyDescent="0.4">
      <c r="A736">
        <v>30448</v>
      </c>
      <c r="B736" t="s">
        <v>1441</v>
      </c>
      <c r="C736" t="s">
        <v>1591</v>
      </c>
    </row>
    <row r="737" spans="1:3" x14ac:dyDescent="0.4">
      <c r="A737">
        <v>30449</v>
      </c>
      <c r="B737" t="s">
        <v>1441</v>
      </c>
      <c r="C737" t="s">
        <v>1590</v>
      </c>
    </row>
    <row r="738" spans="1:3" x14ac:dyDescent="0.4">
      <c r="A738">
        <v>30450</v>
      </c>
      <c r="B738" t="s">
        <v>1441</v>
      </c>
      <c r="C738" t="s">
        <v>1589</v>
      </c>
    </row>
    <row r="739" spans="1:3" x14ac:dyDescent="0.4">
      <c r="A739">
        <v>30451</v>
      </c>
      <c r="B739" t="s">
        <v>1441</v>
      </c>
      <c r="C739" t="s">
        <v>1588</v>
      </c>
    </row>
    <row r="740" spans="1:3" x14ac:dyDescent="0.4">
      <c r="A740">
        <v>30452</v>
      </c>
      <c r="B740" t="s">
        <v>1441</v>
      </c>
      <c r="C740" t="s">
        <v>1587</v>
      </c>
    </row>
    <row r="741" spans="1:3" x14ac:dyDescent="0.4">
      <c r="A741">
        <v>30453</v>
      </c>
      <c r="B741" t="s">
        <v>1441</v>
      </c>
      <c r="C741" t="s">
        <v>1586</v>
      </c>
    </row>
    <row r="742" spans="1:3" x14ac:dyDescent="0.4">
      <c r="A742">
        <v>30454</v>
      </c>
      <c r="B742" t="s">
        <v>1441</v>
      </c>
      <c r="C742" t="s">
        <v>1585</v>
      </c>
    </row>
    <row r="743" spans="1:3" x14ac:dyDescent="0.4">
      <c r="A743">
        <v>30455</v>
      </c>
      <c r="B743" t="s">
        <v>1441</v>
      </c>
      <c r="C743" t="s">
        <v>1584</v>
      </c>
    </row>
    <row r="744" spans="1:3" x14ac:dyDescent="0.4">
      <c r="A744">
        <v>30456</v>
      </c>
      <c r="B744" t="s">
        <v>1441</v>
      </c>
      <c r="C744" t="s">
        <v>1583</v>
      </c>
    </row>
    <row r="745" spans="1:3" x14ac:dyDescent="0.4">
      <c r="A745">
        <v>30457</v>
      </c>
      <c r="B745" t="s">
        <v>1441</v>
      </c>
      <c r="C745" t="s">
        <v>1582</v>
      </c>
    </row>
    <row r="746" spans="1:3" x14ac:dyDescent="0.4">
      <c r="A746">
        <v>30458</v>
      </c>
      <c r="B746" t="s">
        <v>1441</v>
      </c>
      <c r="C746" t="s">
        <v>1581</v>
      </c>
    </row>
    <row r="747" spans="1:3" x14ac:dyDescent="0.4">
      <c r="A747">
        <v>30459</v>
      </c>
      <c r="B747" t="s">
        <v>1441</v>
      </c>
      <c r="C747" t="s">
        <v>1580</v>
      </c>
    </row>
    <row r="748" spans="1:3" x14ac:dyDescent="0.4">
      <c r="A748">
        <v>30460</v>
      </c>
      <c r="B748" t="s">
        <v>1441</v>
      </c>
      <c r="C748" t="s">
        <v>1579</v>
      </c>
    </row>
    <row r="749" spans="1:3" x14ac:dyDescent="0.4">
      <c r="A749">
        <v>30461</v>
      </c>
      <c r="B749" t="s">
        <v>1441</v>
      </c>
      <c r="C749" t="s">
        <v>1578</v>
      </c>
    </row>
    <row r="750" spans="1:3" x14ac:dyDescent="0.4">
      <c r="A750">
        <v>30462</v>
      </c>
      <c r="B750" t="s">
        <v>1441</v>
      </c>
      <c r="C750" t="s">
        <v>1577</v>
      </c>
    </row>
    <row r="751" spans="1:3" x14ac:dyDescent="0.4">
      <c r="A751">
        <v>30463</v>
      </c>
      <c r="B751" t="s">
        <v>1441</v>
      </c>
      <c r="C751" t="s">
        <v>1576</v>
      </c>
    </row>
    <row r="752" spans="1:3" x14ac:dyDescent="0.4">
      <c r="A752">
        <v>30672</v>
      </c>
      <c r="B752" t="s">
        <v>1441</v>
      </c>
      <c r="C752" t="s">
        <v>1575</v>
      </c>
    </row>
    <row r="753" spans="1:3" x14ac:dyDescent="0.4">
      <c r="A753">
        <v>30673</v>
      </c>
      <c r="B753" t="s">
        <v>1441</v>
      </c>
      <c r="C753" t="s">
        <v>1574</v>
      </c>
    </row>
    <row r="754" spans="1:3" x14ac:dyDescent="0.4">
      <c r="A754">
        <v>30674</v>
      </c>
      <c r="B754" t="s">
        <v>1441</v>
      </c>
      <c r="C754" t="s">
        <v>1573</v>
      </c>
    </row>
    <row r="755" spans="1:3" x14ac:dyDescent="0.4">
      <c r="A755">
        <v>30675</v>
      </c>
      <c r="B755" t="s">
        <v>1441</v>
      </c>
      <c r="C755" t="s">
        <v>1572</v>
      </c>
    </row>
    <row r="756" spans="1:3" x14ac:dyDescent="0.4">
      <c r="A756">
        <v>30676</v>
      </c>
      <c r="B756" t="s">
        <v>1441</v>
      </c>
      <c r="C756" t="s">
        <v>1571</v>
      </c>
    </row>
    <row r="757" spans="1:3" x14ac:dyDescent="0.4">
      <c r="A757">
        <v>30677</v>
      </c>
      <c r="B757" t="s">
        <v>1441</v>
      </c>
      <c r="C757" t="s">
        <v>1570</v>
      </c>
    </row>
    <row r="758" spans="1:3" x14ac:dyDescent="0.4">
      <c r="A758">
        <v>30678</v>
      </c>
      <c r="B758" t="s">
        <v>1441</v>
      </c>
      <c r="C758" t="s">
        <v>1569</v>
      </c>
    </row>
    <row r="759" spans="1:3" x14ac:dyDescent="0.4">
      <c r="A759">
        <v>30679</v>
      </c>
      <c r="B759" t="s">
        <v>1441</v>
      </c>
      <c r="C759" t="s">
        <v>1568</v>
      </c>
    </row>
    <row r="760" spans="1:3" x14ac:dyDescent="0.4">
      <c r="A760">
        <v>30688</v>
      </c>
      <c r="B760" t="s">
        <v>1441</v>
      </c>
      <c r="C760" t="s">
        <v>1567</v>
      </c>
    </row>
    <row r="761" spans="1:3" x14ac:dyDescent="0.4">
      <c r="A761">
        <v>30689</v>
      </c>
      <c r="B761" t="s">
        <v>1441</v>
      </c>
      <c r="C761" t="s">
        <v>1566</v>
      </c>
    </row>
    <row r="762" spans="1:3" x14ac:dyDescent="0.4">
      <c r="A762">
        <v>30690</v>
      </c>
      <c r="B762" t="s">
        <v>1441</v>
      </c>
      <c r="C762" t="s">
        <v>1565</v>
      </c>
    </row>
    <row r="763" spans="1:3" x14ac:dyDescent="0.4">
      <c r="A763">
        <v>30691</v>
      </c>
      <c r="B763" t="s">
        <v>1441</v>
      </c>
      <c r="C763" t="s">
        <v>1564</v>
      </c>
    </row>
    <row r="764" spans="1:3" x14ac:dyDescent="0.4">
      <c r="A764">
        <v>30692</v>
      </c>
      <c r="B764" t="s">
        <v>1441</v>
      </c>
      <c r="C764" t="s">
        <v>1563</v>
      </c>
    </row>
    <row r="765" spans="1:3" x14ac:dyDescent="0.4">
      <c r="A765">
        <v>30693</v>
      </c>
      <c r="B765" t="s">
        <v>1441</v>
      </c>
      <c r="C765" t="s">
        <v>1562</v>
      </c>
    </row>
    <row r="766" spans="1:3" x14ac:dyDescent="0.4">
      <c r="A766">
        <v>30694</v>
      </c>
      <c r="B766" t="s">
        <v>1441</v>
      </c>
      <c r="C766" t="s">
        <v>1561</v>
      </c>
    </row>
    <row r="767" spans="1:3" x14ac:dyDescent="0.4">
      <c r="A767">
        <v>30695</v>
      </c>
      <c r="B767" t="s">
        <v>1441</v>
      </c>
      <c r="C767" t="s">
        <v>1560</v>
      </c>
    </row>
    <row r="768" spans="1:3" x14ac:dyDescent="0.4">
      <c r="A768">
        <v>30696</v>
      </c>
      <c r="B768" t="s">
        <v>1441</v>
      </c>
      <c r="C768" t="s">
        <v>1559</v>
      </c>
    </row>
    <row r="769" spans="1:3" x14ac:dyDescent="0.4">
      <c r="A769">
        <v>30697</v>
      </c>
      <c r="B769" t="s">
        <v>1441</v>
      </c>
      <c r="C769" t="s">
        <v>1558</v>
      </c>
    </row>
    <row r="770" spans="1:3" x14ac:dyDescent="0.4">
      <c r="A770">
        <v>30698</v>
      </c>
      <c r="B770" t="s">
        <v>1441</v>
      </c>
      <c r="C770" t="s">
        <v>1557</v>
      </c>
    </row>
    <row r="771" spans="1:3" x14ac:dyDescent="0.4">
      <c r="A771">
        <v>30699</v>
      </c>
      <c r="B771" t="s">
        <v>1441</v>
      </c>
      <c r="C771" t="s">
        <v>1556</v>
      </c>
    </row>
    <row r="772" spans="1:3" x14ac:dyDescent="0.4">
      <c r="A772">
        <v>30700</v>
      </c>
      <c r="B772" t="s">
        <v>1441</v>
      </c>
      <c r="C772" t="s">
        <v>1555</v>
      </c>
    </row>
    <row r="773" spans="1:3" x14ac:dyDescent="0.4">
      <c r="A773">
        <v>30701</v>
      </c>
      <c r="B773" t="s">
        <v>1441</v>
      </c>
      <c r="C773" t="s">
        <v>1554</v>
      </c>
    </row>
    <row r="774" spans="1:3" x14ac:dyDescent="0.4">
      <c r="A774">
        <v>30702</v>
      </c>
      <c r="B774" t="s">
        <v>1441</v>
      </c>
      <c r="C774" t="s">
        <v>1553</v>
      </c>
    </row>
    <row r="775" spans="1:3" x14ac:dyDescent="0.4">
      <c r="A775">
        <v>30703</v>
      </c>
      <c r="B775" t="s">
        <v>1441</v>
      </c>
      <c r="C775" t="s">
        <v>1552</v>
      </c>
    </row>
    <row r="776" spans="1:3" x14ac:dyDescent="0.4">
      <c r="A776">
        <v>32448</v>
      </c>
      <c r="B776" t="s">
        <v>1441</v>
      </c>
      <c r="C776" t="s">
        <v>1551</v>
      </c>
    </row>
    <row r="777" spans="1:3" x14ac:dyDescent="0.4">
      <c r="A777">
        <v>32449</v>
      </c>
      <c r="B777" t="s">
        <v>1441</v>
      </c>
      <c r="C777" t="s">
        <v>1550</v>
      </c>
    </row>
    <row r="778" spans="1:3" x14ac:dyDescent="0.4">
      <c r="A778">
        <v>32450</v>
      </c>
      <c r="B778" t="s">
        <v>1441</v>
      </c>
      <c r="C778" t="s">
        <v>1549</v>
      </c>
    </row>
    <row r="779" spans="1:3" x14ac:dyDescent="0.4">
      <c r="A779">
        <v>32451</v>
      </c>
      <c r="B779" t="s">
        <v>1441</v>
      </c>
      <c r="C779" t="s">
        <v>1548</v>
      </c>
    </row>
    <row r="780" spans="1:3" x14ac:dyDescent="0.4">
      <c r="A780">
        <v>32452</v>
      </c>
      <c r="B780" t="s">
        <v>1441</v>
      </c>
      <c r="C780" t="s">
        <v>1547</v>
      </c>
    </row>
    <row r="781" spans="1:3" x14ac:dyDescent="0.4">
      <c r="A781">
        <v>32453</v>
      </c>
      <c r="B781" t="s">
        <v>1441</v>
      </c>
      <c r="C781" t="s">
        <v>1546</v>
      </c>
    </row>
    <row r="782" spans="1:3" x14ac:dyDescent="0.4">
      <c r="A782">
        <v>32454</v>
      </c>
      <c r="B782" t="s">
        <v>1441</v>
      </c>
      <c r="C782" t="s">
        <v>1545</v>
      </c>
    </row>
    <row r="783" spans="1:3" x14ac:dyDescent="0.4">
      <c r="A783">
        <v>32455</v>
      </c>
      <c r="B783" t="s">
        <v>1441</v>
      </c>
      <c r="C783" t="s">
        <v>1544</v>
      </c>
    </row>
    <row r="784" spans="1:3" x14ac:dyDescent="0.4">
      <c r="A784">
        <v>32456</v>
      </c>
      <c r="B784" t="s">
        <v>1441</v>
      </c>
      <c r="C784" t="s">
        <v>1543</v>
      </c>
    </row>
    <row r="785" spans="1:3" x14ac:dyDescent="0.4">
      <c r="A785">
        <v>32457</v>
      </c>
      <c r="B785" t="s">
        <v>1441</v>
      </c>
      <c r="C785" t="s">
        <v>1542</v>
      </c>
    </row>
    <row r="786" spans="1:3" x14ac:dyDescent="0.4">
      <c r="A786">
        <v>32458</v>
      </c>
      <c r="B786" t="s">
        <v>1441</v>
      </c>
      <c r="C786" t="s">
        <v>1541</v>
      </c>
    </row>
    <row r="787" spans="1:3" x14ac:dyDescent="0.4">
      <c r="A787">
        <v>32459</v>
      </c>
      <c r="B787" t="s">
        <v>1441</v>
      </c>
      <c r="C787" t="s">
        <v>1540</v>
      </c>
    </row>
    <row r="788" spans="1:3" x14ac:dyDescent="0.4">
      <c r="A788">
        <v>32460</v>
      </c>
      <c r="B788" t="s">
        <v>1441</v>
      </c>
      <c r="C788" t="s">
        <v>1539</v>
      </c>
    </row>
    <row r="789" spans="1:3" x14ac:dyDescent="0.4">
      <c r="A789">
        <v>32461</v>
      </c>
      <c r="B789" t="s">
        <v>1441</v>
      </c>
      <c r="C789" t="s">
        <v>1538</v>
      </c>
    </row>
    <row r="790" spans="1:3" x14ac:dyDescent="0.4">
      <c r="A790">
        <v>32462</v>
      </c>
      <c r="B790" t="s">
        <v>1441</v>
      </c>
      <c r="C790" t="s">
        <v>1537</v>
      </c>
    </row>
    <row r="791" spans="1:3" x14ac:dyDescent="0.4">
      <c r="A791">
        <v>32463</v>
      </c>
      <c r="B791" t="s">
        <v>1441</v>
      </c>
      <c r="C791" t="s">
        <v>1536</v>
      </c>
    </row>
    <row r="792" spans="1:3" x14ac:dyDescent="0.4">
      <c r="A792">
        <v>32672</v>
      </c>
      <c r="B792" t="s">
        <v>1441</v>
      </c>
      <c r="C792" t="s">
        <v>1535</v>
      </c>
    </row>
    <row r="793" spans="1:3" x14ac:dyDescent="0.4">
      <c r="A793">
        <v>32673</v>
      </c>
      <c r="B793" t="s">
        <v>1441</v>
      </c>
      <c r="C793" t="s">
        <v>1534</v>
      </c>
    </row>
    <row r="794" spans="1:3" x14ac:dyDescent="0.4">
      <c r="A794">
        <v>32674</v>
      </c>
      <c r="B794" t="s">
        <v>1441</v>
      </c>
      <c r="C794" t="s">
        <v>1533</v>
      </c>
    </row>
    <row r="795" spans="1:3" x14ac:dyDescent="0.4">
      <c r="A795">
        <v>32675</v>
      </c>
      <c r="B795" t="s">
        <v>1441</v>
      </c>
      <c r="C795" t="s">
        <v>1532</v>
      </c>
    </row>
    <row r="796" spans="1:3" x14ac:dyDescent="0.4">
      <c r="A796">
        <v>32676</v>
      </c>
      <c r="B796" t="s">
        <v>1441</v>
      </c>
      <c r="C796" t="s">
        <v>1531</v>
      </c>
    </row>
    <row r="797" spans="1:3" x14ac:dyDescent="0.4">
      <c r="A797">
        <v>32677</v>
      </c>
      <c r="B797" t="s">
        <v>1441</v>
      </c>
      <c r="C797" t="s">
        <v>1530</v>
      </c>
    </row>
    <row r="798" spans="1:3" x14ac:dyDescent="0.4">
      <c r="A798">
        <v>32678</v>
      </c>
      <c r="B798" t="s">
        <v>1441</v>
      </c>
      <c r="C798" t="s">
        <v>1529</v>
      </c>
    </row>
    <row r="799" spans="1:3" x14ac:dyDescent="0.4">
      <c r="A799">
        <v>32679</v>
      </c>
      <c r="B799" t="s">
        <v>1441</v>
      </c>
      <c r="C799" t="s">
        <v>1528</v>
      </c>
    </row>
    <row r="800" spans="1:3" x14ac:dyDescent="0.4">
      <c r="A800">
        <v>32688</v>
      </c>
      <c r="B800" t="s">
        <v>1441</v>
      </c>
      <c r="C800" t="s">
        <v>1527</v>
      </c>
    </row>
    <row r="801" spans="1:3" x14ac:dyDescent="0.4">
      <c r="A801">
        <v>32689</v>
      </c>
      <c r="B801" t="s">
        <v>1441</v>
      </c>
      <c r="C801" t="s">
        <v>1526</v>
      </c>
    </row>
    <row r="802" spans="1:3" x14ac:dyDescent="0.4">
      <c r="A802">
        <v>32690</v>
      </c>
      <c r="B802" t="s">
        <v>1441</v>
      </c>
      <c r="C802" t="s">
        <v>1525</v>
      </c>
    </row>
    <row r="803" spans="1:3" x14ac:dyDescent="0.4">
      <c r="A803">
        <v>32691</v>
      </c>
      <c r="B803" t="s">
        <v>1441</v>
      </c>
      <c r="C803" t="s">
        <v>1524</v>
      </c>
    </row>
    <row r="804" spans="1:3" x14ac:dyDescent="0.4">
      <c r="A804">
        <v>32692</v>
      </c>
      <c r="B804" t="s">
        <v>1441</v>
      </c>
      <c r="C804" t="s">
        <v>1523</v>
      </c>
    </row>
    <row r="805" spans="1:3" x14ac:dyDescent="0.4">
      <c r="A805">
        <v>32693</v>
      </c>
      <c r="B805" t="s">
        <v>1441</v>
      </c>
      <c r="C805" t="s">
        <v>1522</v>
      </c>
    </row>
    <row r="806" spans="1:3" x14ac:dyDescent="0.4">
      <c r="A806">
        <v>32694</v>
      </c>
      <c r="B806" t="s">
        <v>1441</v>
      </c>
      <c r="C806" t="s">
        <v>1521</v>
      </c>
    </row>
    <row r="807" spans="1:3" x14ac:dyDescent="0.4">
      <c r="A807">
        <v>32695</v>
      </c>
      <c r="B807" t="s">
        <v>1441</v>
      </c>
      <c r="C807" t="s">
        <v>1520</v>
      </c>
    </row>
    <row r="808" spans="1:3" x14ac:dyDescent="0.4">
      <c r="A808">
        <v>32696</v>
      </c>
      <c r="B808" t="s">
        <v>1441</v>
      </c>
      <c r="C808" t="s">
        <v>1519</v>
      </c>
    </row>
    <row r="809" spans="1:3" x14ac:dyDescent="0.4">
      <c r="A809">
        <v>32697</v>
      </c>
      <c r="B809" t="s">
        <v>1441</v>
      </c>
      <c r="C809" t="s">
        <v>1518</v>
      </c>
    </row>
    <row r="810" spans="1:3" x14ac:dyDescent="0.4">
      <c r="A810">
        <v>32698</v>
      </c>
      <c r="B810" t="s">
        <v>1441</v>
      </c>
      <c r="C810" t="s">
        <v>1517</v>
      </c>
    </row>
    <row r="811" spans="1:3" x14ac:dyDescent="0.4">
      <c r="A811">
        <v>32699</v>
      </c>
      <c r="B811" t="s">
        <v>1441</v>
      </c>
      <c r="C811" t="s">
        <v>1516</v>
      </c>
    </row>
    <row r="812" spans="1:3" x14ac:dyDescent="0.4">
      <c r="A812">
        <v>32700</v>
      </c>
      <c r="B812" t="s">
        <v>1441</v>
      </c>
      <c r="C812" t="s">
        <v>1515</v>
      </c>
    </row>
    <row r="813" spans="1:3" x14ac:dyDescent="0.4">
      <c r="A813">
        <v>32701</v>
      </c>
      <c r="B813" t="s">
        <v>1441</v>
      </c>
      <c r="C813" t="s">
        <v>1514</v>
      </c>
    </row>
    <row r="814" spans="1:3" x14ac:dyDescent="0.4">
      <c r="A814">
        <v>32702</v>
      </c>
      <c r="B814" t="s">
        <v>1441</v>
      </c>
      <c r="C814" t="s">
        <v>1513</v>
      </c>
    </row>
    <row r="815" spans="1:3" x14ac:dyDescent="0.4">
      <c r="A815">
        <v>32703</v>
      </c>
      <c r="B815" t="s">
        <v>1441</v>
      </c>
      <c r="C815" t="s">
        <v>1512</v>
      </c>
    </row>
    <row r="816" spans="1:3" x14ac:dyDescent="0.4">
      <c r="A816">
        <v>34071</v>
      </c>
      <c r="B816" t="s">
        <v>1441</v>
      </c>
      <c r="C816" t="s">
        <v>1511</v>
      </c>
    </row>
    <row r="817" spans="1:3" x14ac:dyDescent="0.4">
      <c r="A817">
        <v>34072</v>
      </c>
      <c r="B817" t="s">
        <v>1441</v>
      </c>
      <c r="C817" t="s">
        <v>1510</v>
      </c>
    </row>
    <row r="818" spans="1:3" x14ac:dyDescent="0.4">
      <c r="A818">
        <v>34073</v>
      </c>
      <c r="B818" t="s">
        <v>1441</v>
      </c>
      <c r="C818" t="s">
        <v>1509</v>
      </c>
    </row>
    <row r="819" spans="1:3" x14ac:dyDescent="0.4">
      <c r="A819">
        <v>34074</v>
      </c>
      <c r="B819" t="s">
        <v>1441</v>
      </c>
      <c r="C819" t="s">
        <v>1508</v>
      </c>
    </row>
    <row r="820" spans="1:3" x14ac:dyDescent="0.4">
      <c r="A820">
        <v>34075</v>
      </c>
      <c r="B820" t="s">
        <v>1441</v>
      </c>
      <c r="C820" t="s">
        <v>1507</v>
      </c>
    </row>
    <row r="821" spans="1:3" x14ac:dyDescent="0.4">
      <c r="A821">
        <v>34076</v>
      </c>
      <c r="B821" t="s">
        <v>1441</v>
      </c>
      <c r="C821" t="s">
        <v>1506</v>
      </c>
    </row>
    <row r="822" spans="1:3" x14ac:dyDescent="0.4">
      <c r="A822">
        <v>34077</v>
      </c>
      <c r="B822" t="s">
        <v>1441</v>
      </c>
      <c r="C822" t="s">
        <v>1505</v>
      </c>
    </row>
    <row r="823" spans="1:3" x14ac:dyDescent="0.4">
      <c r="A823">
        <v>34078</v>
      </c>
      <c r="B823" t="s">
        <v>1441</v>
      </c>
      <c r="C823" t="s">
        <v>1504</v>
      </c>
    </row>
    <row r="824" spans="1:3" x14ac:dyDescent="0.4">
      <c r="A824">
        <v>34079</v>
      </c>
      <c r="B824" t="s">
        <v>1441</v>
      </c>
      <c r="C824" t="s">
        <v>1503</v>
      </c>
    </row>
    <row r="825" spans="1:3" x14ac:dyDescent="0.4">
      <c r="A825">
        <v>34080</v>
      </c>
      <c r="B825" t="s">
        <v>1441</v>
      </c>
      <c r="C825" t="s">
        <v>1502</v>
      </c>
    </row>
    <row r="826" spans="1:3" x14ac:dyDescent="0.4">
      <c r="A826">
        <v>34081</v>
      </c>
      <c r="B826" t="s">
        <v>1441</v>
      </c>
      <c r="C826" t="s">
        <v>1501</v>
      </c>
    </row>
    <row r="827" spans="1:3" x14ac:dyDescent="0.4">
      <c r="A827">
        <v>34082</v>
      </c>
      <c r="B827" t="s">
        <v>1441</v>
      </c>
      <c r="C827" t="s">
        <v>1500</v>
      </c>
    </row>
    <row r="828" spans="1:3" x14ac:dyDescent="0.4">
      <c r="A828">
        <v>34083</v>
      </c>
      <c r="B828" t="s">
        <v>1441</v>
      </c>
      <c r="C828" t="s">
        <v>1499</v>
      </c>
    </row>
    <row r="829" spans="1:3" x14ac:dyDescent="0.4">
      <c r="A829">
        <v>34084</v>
      </c>
      <c r="B829" t="s">
        <v>1441</v>
      </c>
      <c r="C829" t="s">
        <v>1498</v>
      </c>
    </row>
    <row r="830" spans="1:3" x14ac:dyDescent="0.4">
      <c r="A830">
        <v>34085</v>
      </c>
      <c r="B830" t="s">
        <v>1441</v>
      </c>
      <c r="C830" t="s">
        <v>1497</v>
      </c>
    </row>
    <row r="831" spans="1:3" x14ac:dyDescent="0.4">
      <c r="A831">
        <v>34086</v>
      </c>
      <c r="B831" t="s">
        <v>1441</v>
      </c>
      <c r="C831" t="s">
        <v>1496</v>
      </c>
    </row>
    <row r="832" spans="1:3" x14ac:dyDescent="0.4">
      <c r="A832">
        <v>34087</v>
      </c>
      <c r="B832" t="s">
        <v>1441</v>
      </c>
      <c r="C832" t="s">
        <v>1495</v>
      </c>
    </row>
    <row r="833" spans="1:3" x14ac:dyDescent="0.4">
      <c r="A833">
        <v>34088</v>
      </c>
      <c r="B833" t="s">
        <v>1441</v>
      </c>
      <c r="C833" t="s">
        <v>1494</v>
      </c>
    </row>
    <row r="834" spans="1:3" x14ac:dyDescent="0.4">
      <c r="A834">
        <v>34089</v>
      </c>
      <c r="B834" t="s">
        <v>1441</v>
      </c>
      <c r="C834" t="s">
        <v>1493</v>
      </c>
    </row>
    <row r="835" spans="1:3" x14ac:dyDescent="0.4">
      <c r="A835">
        <v>34090</v>
      </c>
      <c r="B835" t="s">
        <v>1441</v>
      </c>
      <c r="C835" t="s">
        <v>1492</v>
      </c>
    </row>
    <row r="836" spans="1:3" x14ac:dyDescent="0.4">
      <c r="A836">
        <v>34091</v>
      </c>
      <c r="B836" t="s">
        <v>1441</v>
      </c>
      <c r="C836" t="s">
        <v>1491</v>
      </c>
    </row>
    <row r="837" spans="1:3" x14ac:dyDescent="0.4">
      <c r="A837">
        <v>34092</v>
      </c>
      <c r="B837" t="s">
        <v>1441</v>
      </c>
      <c r="C837" t="s">
        <v>1490</v>
      </c>
    </row>
    <row r="838" spans="1:3" x14ac:dyDescent="0.4">
      <c r="A838">
        <v>34093</v>
      </c>
      <c r="B838" t="s">
        <v>1441</v>
      </c>
      <c r="C838" t="s">
        <v>1489</v>
      </c>
    </row>
    <row r="839" spans="1:3" x14ac:dyDescent="0.4">
      <c r="A839">
        <v>34094</v>
      </c>
      <c r="B839" t="s">
        <v>1441</v>
      </c>
      <c r="C839" t="s">
        <v>1488</v>
      </c>
    </row>
    <row r="840" spans="1:3" x14ac:dyDescent="0.4">
      <c r="A840">
        <v>35071</v>
      </c>
      <c r="B840" t="s">
        <v>1441</v>
      </c>
      <c r="C840" t="s">
        <v>1487</v>
      </c>
    </row>
    <row r="841" spans="1:3" x14ac:dyDescent="0.4">
      <c r="A841">
        <v>35072</v>
      </c>
      <c r="B841" t="s">
        <v>1441</v>
      </c>
      <c r="C841" t="s">
        <v>1486</v>
      </c>
    </row>
    <row r="842" spans="1:3" x14ac:dyDescent="0.4">
      <c r="A842">
        <v>35073</v>
      </c>
      <c r="B842" t="s">
        <v>1441</v>
      </c>
      <c r="C842" t="s">
        <v>1485</v>
      </c>
    </row>
    <row r="843" spans="1:3" x14ac:dyDescent="0.4">
      <c r="A843">
        <v>35074</v>
      </c>
      <c r="B843" t="s">
        <v>1441</v>
      </c>
      <c r="C843" t="s">
        <v>1484</v>
      </c>
    </row>
    <row r="844" spans="1:3" x14ac:dyDescent="0.4">
      <c r="A844">
        <v>35075</v>
      </c>
      <c r="B844" t="s">
        <v>1441</v>
      </c>
      <c r="C844" t="s">
        <v>1483</v>
      </c>
    </row>
    <row r="845" spans="1:3" x14ac:dyDescent="0.4">
      <c r="A845">
        <v>35076</v>
      </c>
      <c r="B845" t="s">
        <v>1441</v>
      </c>
      <c r="C845" t="s">
        <v>1482</v>
      </c>
    </row>
    <row r="846" spans="1:3" x14ac:dyDescent="0.4">
      <c r="A846">
        <v>35077</v>
      </c>
      <c r="B846" t="s">
        <v>1441</v>
      </c>
      <c r="C846" t="s">
        <v>1481</v>
      </c>
    </row>
    <row r="847" spans="1:3" x14ac:dyDescent="0.4">
      <c r="A847">
        <v>35078</v>
      </c>
      <c r="B847" t="s">
        <v>1441</v>
      </c>
      <c r="C847" t="s">
        <v>1480</v>
      </c>
    </row>
    <row r="848" spans="1:3" x14ac:dyDescent="0.4">
      <c r="A848">
        <v>35079</v>
      </c>
      <c r="B848" t="s">
        <v>1441</v>
      </c>
      <c r="C848" t="s">
        <v>1479</v>
      </c>
    </row>
    <row r="849" spans="1:3" x14ac:dyDescent="0.4">
      <c r="A849">
        <v>35080</v>
      </c>
      <c r="B849" t="s">
        <v>1441</v>
      </c>
      <c r="C849" t="s">
        <v>1478</v>
      </c>
    </row>
    <row r="850" spans="1:3" x14ac:dyDescent="0.4">
      <c r="A850">
        <v>35081</v>
      </c>
      <c r="B850" t="s">
        <v>1441</v>
      </c>
      <c r="C850" t="s">
        <v>1477</v>
      </c>
    </row>
    <row r="851" spans="1:3" x14ac:dyDescent="0.4">
      <c r="A851">
        <v>35082</v>
      </c>
      <c r="B851" t="s">
        <v>1441</v>
      </c>
      <c r="C851" t="s">
        <v>1476</v>
      </c>
    </row>
    <row r="852" spans="1:3" x14ac:dyDescent="0.4">
      <c r="A852">
        <v>35083</v>
      </c>
      <c r="B852" t="s">
        <v>1441</v>
      </c>
      <c r="C852" t="s">
        <v>1475</v>
      </c>
    </row>
    <row r="853" spans="1:3" x14ac:dyDescent="0.4">
      <c r="A853">
        <v>35084</v>
      </c>
      <c r="B853" t="s">
        <v>1441</v>
      </c>
      <c r="C853" t="s">
        <v>1474</v>
      </c>
    </row>
    <row r="854" spans="1:3" x14ac:dyDescent="0.4">
      <c r="A854">
        <v>35085</v>
      </c>
      <c r="B854" t="s">
        <v>1441</v>
      </c>
      <c r="C854" t="s">
        <v>1473</v>
      </c>
    </row>
    <row r="855" spans="1:3" x14ac:dyDescent="0.4">
      <c r="A855">
        <v>35086</v>
      </c>
      <c r="B855" t="s">
        <v>1441</v>
      </c>
      <c r="C855" t="s">
        <v>1472</v>
      </c>
    </row>
    <row r="856" spans="1:3" x14ac:dyDescent="0.4">
      <c r="A856">
        <v>35087</v>
      </c>
      <c r="B856" t="s">
        <v>1441</v>
      </c>
      <c r="C856" t="s">
        <v>1471</v>
      </c>
    </row>
    <row r="857" spans="1:3" x14ac:dyDescent="0.4">
      <c r="A857">
        <v>35088</v>
      </c>
      <c r="B857" t="s">
        <v>1441</v>
      </c>
      <c r="C857" t="s">
        <v>1470</v>
      </c>
    </row>
    <row r="858" spans="1:3" x14ac:dyDescent="0.4">
      <c r="A858">
        <v>35089</v>
      </c>
      <c r="B858" t="s">
        <v>1441</v>
      </c>
      <c r="C858" t="s">
        <v>1469</v>
      </c>
    </row>
    <row r="859" spans="1:3" x14ac:dyDescent="0.4">
      <c r="A859">
        <v>35090</v>
      </c>
      <c r="B859" t="s">
        <v>1441</v>
      </c>
      <c r="C859" t="s">
        <v>1468</v>
      </c>
    </row>
    <row r="860" spans="1:3" x14ac:dyDescent="0.4">
      <c r="A860">
        <v>35091</v>
      </c>
      <c r="B860" t="s">
        <v>1441</v>
      </c>
      <c r="C860" t="s">
        <v>1467</v>
      </c>
    </row>
    <row r="861" spans="1:3" x14ac:dyDescent="0.4">
      <c r="A861">
        <v>35092</v>
      </c>
      <c r="B861" t="s">
        <v>1441</v>
      </c>
      <c r="C861" t="s">
        <v>1466</v>
      </c>
    </row>
    <row r="862" spans="1:3" x14ac:dyDescent="0.4">
      <c r="A862">
        <v>35093</v>
      </c>
      <c r="B862" t="s">
        <v>1441</v>
      </c>
      <c r="C862" t="s">
        <v>1465</v>
      </c>
    </row>
    <row r="863" spans="1:3" x14ac:dyDescent="0.4">
      <c r="A863">
        <v>35094</v>
      </c>
      <c r="B863" t="s">
        <v>1441</v>
      </c>
      <c r="C863" t="s">
        <v>1464</v>
      </c>
    </row>
    <row r="864" spans="1:3" x14ac:dyDescent="0.4">
      <c r="A864">
        <v>38000</v>
      </c>
      <c r="B864" t="s">
        <v>1441</v>
      </c>
      <c r="C864" t="s">
        <v>1463</v>
      </c>
    </row>
    <row r="865" spans="1:3" x14ac:dyDescent="0.4">
      <c r="A865">
        <v>38001</v>
      </c>
      <c r="B865" t="s">
        <v>1441</v>
      </c>
      <c r="C865" t="s">
        <v>1462</v>
      </c>
    </row>
    <row r="866" spans="1:3" x14ac:dyDescent="0.4">
      <c r="A866">
        <v>38002</v>
      </c>
      <c r="B866" t="s">
        <v>1441</v>
      </c>
      <c r="C866" t="s">
        <v>1461</v>
      </c>
    </row>
    <row r="867" spans="1:3" x14ac:dyDescent="0.4">
      <c r="A867">
        <v>38003</v>
      </c>
      <c r="B867" t="s">
        <v>1441</v>
      </c>
      <c r="C867" t="s">
        <v>1460</v>
      </c>
    </row>
    <row r="868" spans="1:3" x14ac:dyDescent="0.4">
      <c r="A868">
        <v>38004</v>
      </c>
      <c r="B868" t="s">
        <v>1441</v>
      </c>
      <c r="C868" t="s">
        <v>1459</v>
      </c>
    </row>
    <row r="869" spans="1:3" x14ac:dyDescent="0.4">
      <c r="A869">
        <v>38005</v>
      </c>
      <c r="B869" t="s">
        <v>1441</v>
      </c>
      <c r="C869" t="s">
        <v>1458</v>
      </c>
    </row>
    <row r="870" spans="1:3" x14ac:dyDescent="0.4">
      <c r="A870">
        <v>38006</v>
      </c>
      <c r="B870" t="s">
        <v>1441</v>
      </c>
      <c r="C870" t="s">
        <v>1457</v>
      </c>
    </row>
    <row r="871" spans="1:3" x14ac:dyDescent="0.4">
      <c r="A871">
        <v>38007</v>
      </c>
      <c r="B871" t="s">
        <v>1441</v>
      </c>
      <c r="C871" t="s">
        <v>1456</v>
      </c>
    </row>
    <row r="872" spans="1:3" x14ac:dyDescent="0.4">
      <c r="A872">
        <v>38008</v>
      </c>
      <c r="B872" t="s">
        <v>1441</v>
      </c>
      <c r="C872" t="s">
        <v>1455</v>
      </c>
    </row>
    <row r="873" spans="1:3" x14ac:dyDescent="0.4">
      <c r="A873">
        <v>38009</v>
      </c>
      <c r="B873" t="s">
        <v>1441</v>
      </c>
      <c r="C873" t="s">
        <v>1454</v>
      </c>
    </row>
    <row r="874" spans="1:3" x14ac:dyDescent="0.4">
      <c r="A874">
        <v>38010</v>
      </c>
      <c r="B874" t="s">
        <v>1441</v>
      </c>
      <c r="C874" t="s">
        <v>1453</v>
      </c>
    </row>
    <row r="875" spans="1:3" x14ac:dyDescent="0.4">
      <c r="A875">
        <v>38011</v>
      </c>
      <c r="B875" t="s">
        <v>1441</v>
      </c>
      <c r="C875" t="s">
        <v>1452</v>
      </c>
    </row>
    <row r="876" spans="1:3" x14ac:dyDescent="0.4">
      <c r="A876">
        <v>38012</v>
      </c>
      <c r="B876" t="s">
        <v>1441</v>
      </c>
      <c r="C876" t="s">
        <v>1451</v>
      </c>
    </row>
    <row r="877" spans="1:3" x14ac:dyDescent="0.4">
      <c r="A877">
        <v>38013</v>
      </c>
      <c r="B877" t="s">
        <v>1441</v>
      </c>
      <c r="C877" t="s">
        <v>2316</v>
      </c>
    </row>
    <row r="878" spans="1:3" x14ac:dyDescent="0.4">
      <c r="A878">
        <v>38014</v>
      </c>
      <c r="B878" t="s">
        <v>1441</v>
      </c>
      <c r="C878" t="s">
        <v>2315</v>
      </c>
    </row>
    <row r="879" spans="1:3" x14ac:dyDescent="0.4">
      <c r="A879">
        <v>38015</v>
      </c>
      <c r="B879" t="s">
        <v>1441</v>
      </c>
      <c r="C879" t="s">
        <v>1449</v>
      </c>
    </row>
    <row r="880" spans="1:3" x14ac:dyDescent="0.4">
      <c r="A880">
        <v>38016</v>
      </c>
      <c r="B880" t="s">
        <v>1441</v>
      </c>
      <c r="C880" t="s">
        <v>1448</v>
      </c>
    </row>
    <row r="881" spans="1:3" x14ac:dyDescent="0.4">
      <c r="A881">
        <v>38017</v>
      </c>
      <c r="B881" t="s">
        <v>1441</v>
      </c>
      <c r="C881" t="s">
        <v>1447</v>
      </c>
    </row>
    <row r="882" spans="1:3" x14ac:dyDescent="0.4">
      <c r="A882">
        <v>38018</v>
      </c>
      <c r="B882" t="s">
        <v>1441</v>
      </c>
      <c r="C882" t="s">
        <v>1446</v>
      </c>
    </row>
    <row r="883" spans="1:3" x14ac:dyDescent="0.4">
      <c r="A883">
        <v>38019</v>
      </c>
      <c r="B883" t="s">
        <v>1441</v>
      </c>
      <c r="C883" t="s">
        <v>1445</v>
      </c>
    </row>
    <row r="884" spans="1:3" x14ac:dyDescent="0.4">
      <c r="A884">
        <v>38020</v>
      </c>
      <c r="B884" t="s">
        <v>1441</v>
      </c>
      <c r="C884" t="s">
        <v>1444</v>
      </c>
    </row>
    <row r="885" spans="1:3" x14ac:dyDescent="0.4">
      <c r="A885">
        <v>38021</v>
      </c>
      <c r="B885" t="s">
        <v>1441</v>
      </c>
      <c r="C885" t="s">
        <v>1443</v>
      </c>
    </row>
    <row r="886" spans="1:3" x14ac:dyDescent="0.4">
      <c r="A886">
        <v>38022</v>
      </c>
      <c r="B886" t="s">
        <v>1441</v>
      </c>
      <c r="C886" t="s">
        <v>1442</v>
      </c>
    </row>
    <row r="887" spans="1:3" x14ac:dyDescent="0.4">
      <c r="A887">
        <v>38023</v>
      </c>
      <c r="B887" t="s">
        <v>1441</v>
      </c>
      <c r="C887" t="s">
        <v>1440</v>
      </c>
    </row>
    <row r="888" spans="1:3" x14ac:dyDescent="0.4">
      <c r="A888">
        <v>40414</v>
      </c>
      <c r="B888" t="s">
        <v>1272</v>
      </c>
      <c r="C888" t="s">
        <v>1439</v>
      </c>
    </row>
    <row r="889" spans="1:3" x14ac:dyDescent="0.4">
      <c r="A889">
        <v>40480</v>
      </c>
      <c r="B889" t="s">
        <v>1272</v>
      </c>
      <c r="C889" t="s">
        <v>1438</v>
      </c>
    </row>
    <row r="890" spans="1:3" x14ac:dyDescent="0.4">
      <c r="A890">
        <v>40482</v>
      </c>
      <c r="B890" t="s">
        <v>1272</v>
      </c>
      <c r="C890" t="s">
        <v>1437</v>
      </c>
    </row>
    <row r="891" spans="1:3" x14ac:dyDescent="0.4">
      <c r="A891">
        <v>40483</v>
      </c>
      <c r="B891" t="s">
        <v>1272</v>
      </c>
      <c r="C891" t="s">
        <v>1436</v>
      </c>
    </row>
    <row r="892" spans="1:3" x14ac:dyDescent="0.4">
      <c r="A892">
        <v>40484</v>
      </c>
      <c r="B892" t="s">
        <v>1272</v>
      </c>
      <c r="C892" t="s">
        <v>1435</v>
      </c>
    </row>
    <row r="893" spans="1:3" x14ac:dyDescent="0.4">
      <c r="A893">
        <v>40485</v>
      </c>
      <c r="B893" t="s">
        <v>1272</v>
      </c>
      <c r="C893" t="s">
        <v>1434</v>
      </c>
    </row>
    <row r="894" spans="1:3" x14ac:dyDescent="0.4">
      <c r="A894">
        <v>40488</v>
      </c>
      <c r="B894" t="s">
        <v>1272</v>
      </c>
      <c r="C894" t="s">
        <v>1433</v>
      </c>
    </row>
    <row r="895" spans="1:3" x14ac:dyDescent="0.4">
      <c r="A895">
        <v>40489</v>
      </c>
      <c r="B895" t="s">
        <v>1272</v>
      </c>
      <c r="C895" t="s">
        <v>1432</v>
      </c>
    </row>
    <row r="896" spans="1:3" x14ac:dyDescent="0.4">
      <c r="A896">
        <v>40492</v>
      </c>
      <c r="B896" t="s">
        <v>1272</v>
      </c>
      <c r="C896" t="s">
        <v>1431</v>
      </c>
    </row>
    <row r="897" spans="1:3" x14ac:dyDescent="0.4">
      <c r="A897">
        <v>40493</v>
      </c>
      <c r="B897" t="s">
        <v>1272</v>
      </c>
      <c r="C897" t="s">
        <v>1430</v>
      </c>
    </row>
    <row r="898" spans="1:3" x14ac:dyDescent="0.4">
      <c r="A898">
        <v>40494</v>
      </c>
      <c r="B898" t="s">
        <v>1272</v>
      </c>
      <c r="C898" t="s">
        <v>1429</v>
      </c>
    </row>
    <row r="899" spans="1:3" x14ac:dyDescent="0.4">
      <c r="A899">
        <v>40495</v>
      </c>
      <c r="B899" t="s">
        <v>1272</v>
      </c>
      <c r="C899" t="s">
        <v>1428</v>
      </c>
    </row>
    <row r="900" spans="1:3" x14ac:dyDescent="0.4">
      <c r="A900">
        <v>40496</v>
      </c>
      <c r="B900" t="s">
        <v>1272</v>
      </c>
      <c r="C900" t="s">
        <v>1427</v>
      </c>
    </row>
    <row r="901" spans="1:3" x14ac:dyDescent="0.4">
      <c r="A901">
        <v>40497</v>
      </c>
      <c r="B901" t="s">
        <v>1272</v>
      </c>
      <c r="C901" t="s">
        <v>1426</v>
      </c>
    </row>
    <row r="902" spans="1:3" x14ac:dyDescent="0.4">
      <c r="A902">
        <v>40500</v>
      </c>
      <c r="B902" t="s">
        <v>1272</v>
      </c>
      <c r="C902" t="s">
        <v>1425</v>
      </c>
    </row>
    <row r="903" spans="1:3" x14ac:dyDescent="0.4">
      <c r="A903">
        <v>40501</v>
      </c>
      <c r="B903" t="s">
        <v>1272</v>
      </c>
      <c r="C903" t="s">
        <v>1424</v>
      </c>
    </row>
    <row r="904" spans="1:3" x14ac:dyDescent="0.4">
      <c r="A904">
        <v>40502</v>
      </c>
      <c r="B904" t="s">
        <v>1272</v>
      </c>
      <c r="C904" t="s">
        <v>1423</v>
      </c>
    </row>
    <row r="905" spans="1:3" x14ac:dyDescent="0.4">
      <c r="A905">
        <v>40503</v>
      </c>
      <c r="B905" t="s">
        <v>1272</v>
      </c>
      <c r="C905" t="s">
        <v>1422</v>
      </c>
    </row>
    <row r="906" spans="1:3" x14ac:dyDescent="0.4">
      <c r="A906">
        <v>40504</v>
      </c>
      <c r="B906" t="s">
        <v>1272</v>
      </c>
      <c r="C906" t="s">
        <v>1421</v>
      </c>
    </row>
    <row r="907" spans="1:3" x14ac:dyDescent="0.4">
      <c r="A907">
        <v>40507</v>
      </c>
      <c r="B907" t="s">
        <v>1272</v>
      </c>
      <c r="C907" t="s">
        <v>1420</v>
      </c>
    </row>
    <row r="908" spans="1:3" x14ac:dyDescent="0.4">
      <c r="A908">
        <v>40508</v>
      </c>
      <c r="B908" t="s">
        <v>1272</v>
      </c>
      <c r="C908" t="s">
        <v>1419</v>
      </c>
    </row>
    <row r="909" spans="1:3" x14ac:dyDescent="0.4">
      <c r="A909">
        <v>40509</v>
      </c>
      <c r="B909" t="s">
        <v>1272</v>
      </c>
      <c r="C909" t="s">
        <v>1418</v>
      </c>
    </row>
    <row r="910" spans="1:3" x14ac:dyDescent="0.4">
      <c r="A910">
        <v>40510</v>
      </c>
      <c r="B910" t="s">
        <v>1272</v>
      </c>
      <c r="C910" t="s">
        <v>1417</v>
      </c>
    </row>
    <row r="911" spans="1:3" x14ac:dyDescent="0.4">
      <c r="A911">
        <v>40511</v>
      </c>
      <c r="B911" t="s">
        <v>1272</v>
      </c>
      <c r="C911" t="s">
        <v>1416</v>
      </c>
    </row>
    <row r="912" spans="1:3" x14ac:dyDescent="0.4">
      <c r="A912">
        <v>40512</v>
      </c>
      <c r="B912" t="s">
        <v>1272</v>
      </c>
      <c r="C912" t="s">
        <v>1415</v>
      </c>
    </row>
    <row r="913" spans="1:3" x14ac:dyDescent="0.4">
      <c r="A913">
        <v>40513</v>
      </c>
      <c r="B913" t="s">
        <v>1272</v>
      </c>
      <c r="C913" t="s">
        <v>1414</v>
      </c>
    </row>
    <row r="914" spans="1:3" x14ac:dyDescent="0.4">
      <c r="A914">
        <v>40514</v>
      </c>
      <c r="B914" t="s">
        <v>1272</v>
      </c>
      <c r="C914" t="s">
        <v>1413</v>
      </c>
    </row>
    <row r="915" spans="1:3" x14ac:dyDescent="0.4">
      <c r="A915">
        <v>40515</v>
      </c>
      <c r="B915" t="s">
        <v>1272</v>
      </c>
      <c r="C915" t="s">
        <v>1412</v>
      </c>
    </row>
    <row r="916" spans="1:3" x14ac:dyDescent="0.4">
      <c r="A916">
        <v>40516</v>
      </c>
      <c r="B916" t="s">
        <v>1272</v>
      </c>
      <c r="C916" t="s">
        <v>1411</v>
      </c>
    </row>
    <row r="917" spans="1:3" x14ac:dyDescent="0.4">
      <c r="A917">
        <v>40519</v>
      </c>
      <c r="B917" t="s">
        <v>1272</v>
      </c>
      <c r="C917" t="s">
        <v>1410</v>
      </c>
    </row>
    <row r="918" spans="1:3" x14ac:dyDescent="0.4">
      <c r="A918">
        <v>40520</v>
      </c>
      <c r="B918" t="s">
        <v>1272</v>
      </c>
      <c r="C918" t="s">
        <v>1409</v>
      </c>
    </row>
    <row r="919" spans="1:3" x14ac:dyDescent="0.4">
      <c r="A919">
        <v>40521</v>
      </c>
      <c r="B919" t="s">
        <v>1272</v>
      </c>
      <c r="C919" t="s">
        <v>1408</v>
      </c>
    </row>
    <row r="920" spans="1:3" x14ac:dyDescent="0.4">
      <c r="A920">
        <v>40522</v>
      </c>
      <c r="B920" t="s">
        <v>1272</v>
      </c>
      <c r="C920" t="s">
        <v>1407</v>
      </c>
    </row>
    <row r="921" spans="1:3" x14ac:dyDescent="0.4">
      <c r="A921">
        <v>40523</v>
      </c>
      <c r="B921" t="s">
        <v>1272</v>
      </c>
      <c r="C921" t="s">
        <v>1406</v>
      </c>
    </row>
    <row r="922" spans="1:3" x14ac:dyDescent="0.4">
      <c r="A922">
        <v>40542</v>
      </c>
      <c r="B922" t="s">
        <v>1272</v>
      </c>
      <c r="C922" t="s">
        <v>1405</v>
      </c>
    </row>
    <row r="923" spans="1:3" x14ac:dyDescent="0.4">
      <c r="A923">
        <v>40592</v>
      </c>
      <c r="B923" t="s">
        <v>1272</v>
      </c>
      <c r="C923" t="s">
        <v>1404</v>
      </c>
    </row>
    <row r="924" spans="1:3" x14ac:dyDescent="0.4">
      <c r="A924">
        <v>40593</v>
      </c>
      <c r="B924" t="s">
        <v>1272</v>
      </c>
      <c r="C924" t="s">
        <v>1403</v>
      </c>
    </row>
    <row r="925" spans="1:3" x14ac:dyDescent="0.4">
      <c r="A925">
        <v>40594</v>
      </c>
      <c r="B925" t="s">
        <v>1272</v>
      </c>
      <c r="C925" t="s">
        <v>1402</v>
      </c>
    </row>
    <row r="926" spans="1:3" x14ac:dyDescent="0.4">
      <c r="A926">
        <v>40595</v>
      </c>
      <c r="B926" t="s">
        <v>1272</v>
      </c>
      <c r="C926" t="s">
        <v>1401</v>
      </c>
    </row>
    <row r="927" spans="1:3" x14ac:dyDescent="0.4">
      <c r="A927">
        <v>40596</v>
      </c>
      <c r="B927" t="s">
        <v>1272</v>
      </c>
      <c r="C927" t="s">
        <v>1400</v>
      </c>
    </row>
    <row r="928" spans="1:3" x14ac:dyDescent="0.4">
      <c r="A928">
        <v>40597</v>
      </c>
      <c r="B928" t="s">
        <v>1272</v>
      </c>
      <c r="C928" t="s">
        <v>1399</v>
      </c>
    </row>
    <row r="929" spans="1:3" x14ac:dyDescent="0.4">
      <c r="A929">
        <v>40598</v>
      </c>
      <c r="B929" t="s">
        <v>1272</v>
      </c>
      <c r="C929" t="s">
        <v>1398</v>
      </c>
    </row>
    <row r="930" spans="1:3" x14ac:dyDescent="0.4">
      <c r="A930">
        <v>40600</v>
      </c>
      <c r="B930" t="s">
        <v>1272</v>
      </c>
      <c r="C930" t="s">
        <v>1397</v>
      </c>
    </row>
    <row r="931" spans="1:3" x14ac:dyDescent="0.4">
      <c r="A931">
        <v>40601</v>
      </c>
      <c r="B931" t="s">
        <v>1272</v>
      </c>
      <c r="C931" t="s">
        <v>1396</v>
      </c>
    </row>
    <row r="932" spans="1:3" x14ac:dyDescent="0.4">
      <c r="A932">
        <v>40602</v>
      </c>
      <c r="B932" t="s">
        <v>1272</v>
      </c>
      <c r="C932" t="s">
        <v>1395</v>
      </c>
    </row>
    <row r="933" spans="1:3" x14ac:dyDescent="0.4">
      <c r="A933">
        <v>40603</v>
      </c>
      <c r="B933" t="s">
        <v>1272</v>
      </c>
      <c r="C933" t="s">
        <v>1394</v>
      </c>
    </row>
    <row r="934" spans="1:3" x14ac:dyDescent="0.4">
      <c r="A934">
        <v>40604</v>
      </c>
      <c r="B934" t="s">
        <v>1272</v>
      </c>
      <c r="C934" t="s">
        <v>1393</v>
      </c>
    </row>
    <row r="935" spans="1:3" x14ac:dyDescent="0.4">
      <c r="A935">
        <v>40605</v>
      </c>
      <c r="B935" t="s">
        <v>1272</v>
      </c>
      <c r="C935" t="s">
        <v>1392</v>
      </c>
    </row>
    <row r="936" spans="1:3" x14ac:dyDescent="0.4">
      <c r="A936">
        <v>40606</v>
      </c>
      <c r="B936" t="s">
        <v>1272</v>
      </c>
      <c r="C936" t="s">
        <v>1391</v>
      </c>
    </row>
    <row r="937" spans="1:3" x14ac:dyDescent="0.4">
      <c r="A937">
        <v>40608</v>
      </c>
      <c r="B937" t="s">
        <v>1272</v>
      </c>
      <c r="C937" t="s">
        <v>1390</v>
      </c>
    </row>
    <row r="938" spans="1:3" x14ac:dyDescent="0.4">
      <c r="A938">
        <v>40609</v>
      </c>
      <c r="B938" t="s">
        <v>1272</v>
      </c>
      <c r="C938" t="s">
        <v>1389</v>
      </c>
    </row>
    <row r="939" spans="1:3" x14ac:dyDescent="0.4">
      <c r="A939">
        <v>40610</v>
      </c>
      <c r="B939" t="s">
        <v>1272</v>
      </c>
      <c r="C939" t="s">
        <v>1388</v>
      </c>
    </row>
    <row r="940" spans="1:3" x14ac:dyDescent="0.4">
      <c r="A940">
        <v>40611</v>
      </c>
      <c r="B940" t="s">
        <v>1272</v>
      </c>
      <c r="C940" t="s">
        <v>1387</v>
      </c>
    </row>
    <row r="941" spans="1:3" x14ac:dyDescent="0.4">
      <c r="A941">
        <v>40612</v>
      </c>
      <c r="B941" t="s">
        <v>1272</v>
      </c>
      <c r="C941" t="s">
        <v>1386</v>
      </c>
    </row>
    <row r="942" spans="1:3" x14ac:dyDescent="0.4">
      <c r="A942">
        <v>40613</v>
      </c>
      <c r="B942" t="s">
        <v>1272</v>
      </c>
      <c r="C942" t="s">
        <v>1385</v>
      </c>
    </row>
    <row r="943" spans="1:3" x14ac:dyDescent="0.4">
      <c r="A943">
        <v>40614</v>
      </c>
      <c r="B943" t="s">
        <v>1272</v>
      </c>
      <c r="C943" t="s">
        <v>1384</v>
      </c>
    </row>
    <row r="944" spans="1:3" x14ac:dyDescent="0.4">
      <c r="A944">
        <v>40616</v>
      </c>
      <c r="B944" t="s">
        <v>1272</v>
      </c>
      <c r="C944" t="s">
        <v>1383</v>
      </c>
    </row>
    <row r="945" spans="1:3" x14ac:dyDescent="0.4">
      <c r="A945">
        <v>40617</v>
      </c>
      <c r="B945" t="s">
        <v>1272</v>
      </c>
      <c r="C945" t="s">
        <v>1382</v>
      </c>
    </row>
    <row r="946" spans="1:3" x14ac:dyDescent="0.4">
      <c r="A946">
        <v>40618</v>
      </c>
      <c r="B946" t="s">
        <v>1272</v>
      </c>
      <c r="C946" t="s">
        <v>1381</v>
      </c>
    </row>
    <row r="947" spans="1:3" x14ac:dyDescent="0.4">
      <c r="A947">
        <v>40619</v>
      </c>
      <c r="B947" t="s">
        <v>1272</v>
      </c>
      <c r="C947" t="s">
        <v>1380</v>
      </c>
    </row>
    <row r="948" spans="1:3" x14ac:dyDescent="0.4">
      <c r="A948">
        <v>40620</v>
      </c>
      <c r="B948" t="s">
        <v>1272</v>
      </c>
      <c r="C948" t="s">
        <v>1379</v>
      </c>
    </row>
    <row r="949" spans="1:3" x14ac:dyDescent="0.4">
      <c r="A949">
        <v>40621</v>
      </c>
      <c r="B949" t="s">
        <v>1272</v>
      </c>
      <c r="C949" t="s">
        <v>1378</v>
      </c>
    </row>
    <row r="950" spans="1:3" x14ac:dyDescent="0.4">
      <c r="A950">
        <v>40622</v>
      </c>
      <c r="B950" t="s">
        <v>1272</v>
      </c>
      <c r="C950" t="s">
        <v>1377</v>
      </c>
    </row>
    <row r="951" spans="1:3" x14ac:dyDescent="0.4">
      <c r="A951">
        <v>40624</v>
      </c>
      <c r="B951" t="s">
        <v>1272</v>
      </c>
      <c r="C951" t="s">
        <v>1376</v>
      </c>
    </row>
    <row r="952" spans="1:3" x14ac:dyDescent="0.4">
      <c r="A952">
        <v>40626</v>
      </c>
      <c r="B952" t="s">
        <v>1272</v>
      </c>
      <c r="C952" t="s">
        <v>1375</v>
      </c>
    </row>
    <row r="953" spans="1:3" x14ac:dyDescent="0.4">
      <c r="A953">
        <v>40628</v>
      </c>
      <c r="B953" t="s">
        <v>1272</v>
      </c>
      <c r="C953" t="s">
        <v>1374</v>
      </c>
    </row>
    <row r="954" spans="1:3" x14ac:dyDescent="0.4">
      <c r="A954">
        <v>40631</v>
      </c>
      <c r="B954" t="s">
        <v>1272</v>
      </c>
      <c r="C954" t="s">
        <v>1373</v>
      </c>
    </row>
    <row r="955" spans="1:3" x14ac:dyDescent="0.4">
      <c r="A955">
        <v>40632</v>
      </c>
      <c r="B955" t="s">
        <v>1272</v>
      </c>
      <c r="C955" t="s">
        <v>1372</v>
      </c>
    </row>
    <row r="956" spans="1:3" x14ac:dyDescent="0.4">
      <c r="A956">
        <v>40633</v>
      </c>
      <c r="B956" t="s">
        <v>1272</v>
      </c>
      <c r="C956" t="s">
        <v>1371</v>
      </c>
    </row>
    <row r="957" spans="1:3" x14ac:dyDescent="0.4">
      <c r="A957">
        <v>40634</v>
      </c>
      <c r="B957" t="s">
        <v>1272</v>
      </c>
      <c r="C957" t="s">
        <v>1370</v>
      </c>
    </row>
    <row r="958" spans="1:3" x14ac:dyDescent="0.4">
      <c r="A958">
        <v>40635</v>
      </c>
      <c r="B958" t="s">
        <v>1272</v>
      </c>
      <c r="C958" t="s">
        <v>1369</v>
      </c>
    </row>
    <row r="959" spans="1:3" x14ac:dyDescent="0.4">
      <c r="A959">
        <v>42414</v>
      </c>
      <c r="B959" t="s">
        <v>1272</v>
      </c>
      <c r="C959" t="s">
        <v>1368</v>
      </c>
    </row>
    <row r="960" spans="1:3" x14ac:dyDescent="0.4">
      <c r="A960">
        <v>42480</v>
      </c>
      <c r="B960" t="s">
        <v>1272</v>
      </c>
      <c r="C960" t="s">
        <v>1367</v>
      </c>
    </row>
    <row r="961" spans="1:3" x14ac:dyDescent="0.4">
      <c r="A961">
        <v>42482</v>
      </c>
      <c r="B961" t="s">
        <v>1272</v>
      </c>
      <c r="C961" t="s">
        <v>1366</v>
      </c>
    </row>
    <row r="962" spans="1:3" x14ac:dyDescent="0.4">
      <c r="A962">
        <v>42483</v>
      </c>
      <c r="B962" t="s">
        <v>1272</v>
      </c>
      <c r="C962" t="s">
        <v>1365</v>
      </c>
    </row>
    <row r="963" spans="1:3" x14ac:dyDescent="0.4">
      <c r="A963">
        <v>42484</v>
      </c>
      <c r="B963" t="s">
        <v>1272</v>
      </c>
      <c r="C963" t="s">
        <v>1364</v>
      </c>
    </row>
    <row r="964" spans="1:3" x14ac:dyDescent="0.4">
      <c r="A964">
        <v>42485</v>
      </c>
      <c r="B964" t="s">
        <v>1272</v>
      </c>
      <c r="C964" t="s">
        <v>1363</v>
      </c>
    </row>
    <row r="965" spans="1:3" x14ac:dyDescent="0.4">
      <c r="A965">
        <v>42488</v>
      </c>
      <c r="B965" t="s">
        <v>1272</v>
      </c>
      <c r="C965" t="s">
        <v>1362</v>
      </c>
    </row>
    <row r="966" spans="1:3" x14ac:dyDescent="0.4">
      <c r="A966">
        <v>42489</v>
      </c>
      <c r="B966" t="s">
        <v>1272</v>
      </c>
      <c r="C966" t="s">
        <v>1361</v>
      </c>
    </row>
    <row r="967" spans="1:3" x14ac:dyDescent="0.4">
      <c r="A967">
        <v>42492</v>
      </c>
      <c r="B967" t="s">
        <v>1272</v>
      </c>
      <c r="C967" t="s">
        <v>1360</v>
      </c>
    </row>
    <row r="968" spans="1:3" x14ac:dyDescent="0.4">
      <c r="A968">
        <v>42493</v>
      </c>
      <c r="B968" t="s">
        <v>1272</v>
      </c>
      <c r="C968" t="s">
        <v>1359</v>
      </c>
    </row>
    <row r="969" spans="1:3" x14ac:dyDescent="0.4">
      <c r="A969">
        <v>42494</v>
      </c>
      <c r="B969" t="s">
        <v>1272</v>
      </c>
      <c r="C969" t="s">
        <v>1358</v>
      </c>
    </row>
    <row r="970" spans="1:3" x14ac:dyDescent="0.4">
      <c r="A970">
        <v>42495</v>
      </c>
      <c r="B970" t="s">
        <v>1272</v>
      </c>
      <c r="C970" t="s">
        <v>1357</v>
      </c>
    </row>
    <row r="971" spans="1:3" x14ac:dyDescent="0.4">
      <c r="A971">
        <v>42496</v>
      </c>
      <c r="B971" t="s">
        <v>1272</v>
      </c>
      <c r="C971" t="s">
        <v>1356</v>
      </c>
    </row>
    <row r="972" spans="1:3" x14ac:dyDescent="0.4">
      <c r="A972">
        <v>42497</v>
      </c>
      <c r="B972" t="s">
        <v>1272</v>
      </c>
      <c r="C972" t="s">
        <v>1355</v>
      </c>
    </row>
    <row r="973" spans="1:3" x14ac:dyDescent="0.4">
      <c r="A973">
        <v>42500</v>
      </c>
      <c r="B973" t="s">
        <v>1272</v>
      </c>
      <c r="C973" t="s">
        <v>1354</v>
      </c>
    </row>
    <row r="974" spans="1:3" x14ac:dyDescent="0.4">
      <c r="A974">
        <v>42501</v>
      </c>
      <c r="B974" t="s">
        <v>1272</v>
      </c>
      <c r="C974" t="s">
        <v>1353</v>
      </c>
    </row>
    <row r="975" spans="1:3" x14ac:dyDescent="0.4">
      <c r="A975">
        <v>42502</v>
      </c>
      <c r="B975" t="s">
        <v>1272</v>
      </c>
      <c r="C975" t="s">
        <v>1352</v>
      </c>
    </row>
    <row r="976" spans="1:3" x14ac:dyDescent="0.4">
      <c r="A976">
        <v>42503</v>
      </c>
      <c r="B976" t="s">
        <v>1272</v>
      </c>
      <c r="C976" t="s">
        <v>1351</v>
      </c>
    </row>
    <row r="977" spans="1:3" x14ac:dyDescent="0.4">
      <c r="A977">
        <v>42504</v>
      </c>
      <c r="B977" t="s">
        <v>1272</v>
      </c>
      <c r="C977" t="s">
        <v>1350</v>
      </c>
    </row>
    <row r="978" spans="1:3" x14ac:dyDescent="0.4">
      <c r="A978">
        <v>42507</v>
      </c>
      <c r="B978" t="s">
        <v>1272</v>
      </c>
      <c r="C978" t="s">
        <v>1349</v>
      </c>
    </row>
    <row r="979" spans="1:3" x14ac:dyDescent="0.4">
      <c r="A979">
        <v>42508</v>
      </c>
      <c r="B979" t="s">
        <v>1272</v>
      </c>
      <c r="C979" t="s">
        <v>1348</v>
      </c>
    </row>
    <row r="980" spans="1:3" x14ac:dyDescent="0.4">
      <c r="A980">
        <v>42509</v>
      </c>
      <c r="B980" t="s">
        <v>1272</v>
      </c>
      <c r="C980" t="s">
        <v>1347</v>
      </c>
    </row>
    <row r="981" spans="1:3" x14ac:dyDescent="0.4">
      <c r="A981">
        <v>42510</v>
      </c>
      <c r="B981" t="s">
        <v>1272</v>
      </c>
      <c r="C981" t="s">
        <v>1346</v>
      </c>
    </row>
    <row r="982" spans="1:3" x14ac:dyDescent="0.4">
      <c r="A982">
        <v>42511</v>
      </c>
      <c r="B982" t="s">
        <v>1272</v>
      </c>
      <c r="C982" t="s">
        <v>1345</v>
      </c>
    </row>
    <row r="983" spans="1:3" x14ac:dyDescent="0.4">
      <c r="A983">
        <v>42512</v>
      </c>
      <c r="B983" t="s">
        <v>1272</v>
      </c>
      <c r="C983" t="s">
        <v>1344</v>
      </c>
    </row>
    <row r="984" spans="1:3" x14ac:dyDescent="0.4">
      <c r="A984">
        <v>42513</v>
      </c>
      <c r="B984" t="s">
        <v>1272</v>
      </c>
      <c r="C984" t="s">
        <v>1343</v>
      </c>
    </row>
    <row r="985" spans="1:3" x14ac:dyDescent="0.4">
      <c r="A985">
        <v>42514</v>
      </c>
      <c r="B985" t="s">
        <v>1272</v>
      </c>
      <c r="C985" t="s">
        <v>1342</v>
      </c>
    </row>
    <row r="986" spans="1:3" x14ac:dyDescent="0.4">
      <c r="A986">
        <v>42515</v>
      </c>
      <c r="B986" t="s">
        <v>1272</v>
      </c>
      <c r="C986" t="s">
        <v>1341</v>
      </c>
    </row>
    <row r="987" spans="1:3" x14ac:dyDescent="0.4">
      <c r="A987">
        <v>42516</v>
      </c>
      <c r="B987" t="s">
        <v>1272</v>
      </c>
      <c r="C987" t="s">
        <v>1340</v>
      </c>
    </row>
    <row r="988" spans="1:3" x14ac:dyDescent="0.4">
      <c r="A988">
        <v>42519</v>
      </c>
      <c r="B988" t="s">
        <v>1272</v>
      </c>
      <c r="C988" t="s">
        <v>1339</v>
      </c>
    </row>
    <row r="989" spans="1:3" x14ac:dyDescent="0.4">
      <c r="A989">
        <v>42520</v>
      </c>
      <c r="B989" t="s">
        <v>1272</v>
      </c>
      <c r="C989" t="s">
        <v>1338</v>
      </c>
    </row>
    <row r="990" spans="1:3" x14ac:dyDescent="0.4">
      <c r="A990">
        <v>42521</v>
      </c>
      <c r="B990" t="s">
        <v>1272</v>
      </c>
      <c r="C990" t="s">
        <v>1337</v>
      </c>
    </row>
    <row r="991" spans="1:3" x14ac:dyDescent="0.4">
      <c r="A991">
        <v>42522</v>
      </c>
      <c r="B991" t="s">
        <v>1272</v>
      </c>
      <c r="C991" t="s">
        <v>1336</v>
      </c>
    </row>
    <row r="992" spans="1:3" x14ac:dyDescent="0.4">
      <c r="A992">
        <v>42523</v>
      </c>
      <c r="B992" t="s">
        <v>1272</v>
      </c>
      <c r="C992" t="s">
        <v>1335</v>
      </c>
    </row>
    <row r="993" spans="1:3" x14ac:dyDescent="0.4">
      <c r="A993">
        <v>42542</v>
      </c>
      <c r="B993" t="s">
        <v>1272</v>
      </c>
      <c r="C993" t="s">
        <v>1334</v>
      </c>
    </row>
    <row r="994" spans="1:3" x14ac:dyDescent="0.4">
      <c r="A994">
        <v>42592</v>
      </c>
      <c r="B994" t="s">
        <v>1272</v>
      </c>
      <c r="C994" t="s">
        <v>1333</v>
      </c>
    </row>
    <row r="995" spans="1:3" x14ac:dyDescent="0.4">
      <c r="A995">
        <v>42593</v>
      </c>
      <c r="B995" t="s">
        <v>1272</v>
      </c>
      <c r="C995" t="s">
        <v>1332</v>
      </c>
    </row>
    <row r="996" spans="1:3" x14ac:dyDescent="0.4">
      <c r="A996">
        <v>42594</v>
      </c>
      <c r="B996" t="s">
        <v>1272</v>
      </c>
      <c r="C996" t="s">
        <v>1331</v>
      </c>
    </row>
    <row r="997" spans="1:3" x14ac:dyDescent="0.4">
      <c r="A997">
        <v>42595</v>
      </c>
      <c r="B997" t="s">
        <v>1272</v>
      </c>
      <c r="C997" t="s">
        <v>1330</v>
      </c>
    </row>
    <row r="998" spans="1:3" x14ac:dyDescent="0.4">
      <c r="A998">
        <v>42596</v>
      </c>
      <c r="B998" t="s">
        <v>1272</v>
      </c>
      <c r="C998" t="s">
        <v>1329</v>
      </c>
    </row>
    <row r="999" spans="1:3" x14ac:dyDescent="0.4">
      <c r="A999">
        <v>42597</v>
      </c>
      <c r="B999" t="s">
        <v>1272</v>
      </c>
      <c r="C999" t="s">
        <v>1328</v>
      </c>
    </row>
    <row r="1000" spans="1:3" x14ac:dyDescent="0.4">
      <c r="A1000">
        <v>42598</v>
      </c>
      <c r="B1000" t="s">
        <v>1272</v>
      </c>
      <c r="C1000" t="s">
        <v>1327</v>
      </c>
    </row>
    <row r="1001" spans="1:3" x14ac:dyDescent="0.4">
      <c r="A1001">
        <v>42600</v>
      </c>
      <c r="B1001" t="s">
        <v>1272</v>
      </c>
      <c r="C1001" t="s">
        <v>1326</v>
      </c>
    </row>
    <row r="1002" spans="1:3" x14ac:dyDescent="0.4">
      <c r="A1002">
        <v>42601</v>
      </c>
      <c r="B1002" t="s">
        <v>1272</v>
      </c>
      <c r="C1002" t="s">
        <v>1325</v>
      </c>
    </row>
    <row r="1003" spans="1:3" x14ac:dyDescent="0.4">
      <c r="A1003">
        <v>42602</v>
      </c>
      <c r="B1003" t="s">
        <v>1272</v>
      </c>
      <c r="C1003" t="s">
        <v>1324</v>
      </c>
    </row>
    <row r="1004" spans="1:3" x14ac:dyDescent="0.4">
      <c r="A1004">
        <v>42603</v>
      </c>
      <c r="B1004" t="s">
        <v>1272</v>
      </c>
      <c r="C1004" t="s">
        <v>1323</v>
      </c>
    </row>
    <row r="1005" spans="1:3" x14ac:dyDescent="0.4">
      <c r="A1005">
        <v>42604</v>
      </c>
      <c r="B1005" t="s">
        <v>1272</v>
      </c>
      <c r="C1005" t="s">
        <v>1322</v>
      </c>
    </row>
    <row r="1006" spans="1:3" x14ac:dyDescent="0.4">
      <c r="A1006">
        <v>42605</v>
      </c>
      <c r="B1006" t="s">
        <v>1272</v>
      </c>
      <c r="C1006" t="s">
        <v>1321</v>
      </c>
    </row>
    <row r="1007" spans="1:3" x14ac:dyDescent="0.4">
      <c r="A1007">
        <v>42606</v>
      </c>
      <c r="B1007" t="s">
        <v>1272</v>
      </c>
      <c r="C1007" t="s">
        <v>1320</v>
      </c>
    </row>
    <row r="1008" spans="1:3" x14ac:dyDescent="0.4">
      <c r="A1008">
        <v>42608</v>
      </c>
      <c r="B1008" t="s">
        <v>1272</v>
      </c>
      <c r="C1008" t="s">
        <v>1319</v>
      </c>
    </row>
    <row r="1009" spans="1:3" x14ac:dyDescent="0.4">
      <c r="A1009">
        <v>42609</v>
      </c>
      <c r="B1009" t="s">
        <v>1272</v>
      </c>
      <c r="C1009" t="s">
        <v>1318</v>
      </c>
    </row>
    <row r="1010" spans="1:3" x14ac:dyDescent="0.4">
      <c r="A1010">
        <v>42610</v>
      </c>
      <c r="B1010" t="s">
        <v>1272</v>
      </c>
      <c r="C1010" t="s">
        <v>1317</v>
      </c>
    </row>
    <row r="1011" spans="1:3" x14ac:dyDescent="0.4">
      <c r="A1011">
        <v>42611</v>
      </c>
      <c r="B1011" t="s">
        <v>1272</v>
      </c>
      <c r="C1011" t="s">
        <v>1316</v>
      </c>
    </row>
    <row r="1012" spans="1:3" x14ac:dyDescent="0.4">
      <c r="A1012">
        <v>42612</v>
      </c>
      <c r="B1012" t="s">
        <v>1272</v>
      </c>
      <c r="C1012" t="s">
        <v>1315</v>
      </c>
    </row>
    <row r="1013" spans="1:3" x14ac:dyDescent="0.4">
      <c r="A1013">
        <v>42613</v>
      </c>
      <c r="B1013" t="s">
        <v>1272</v>
      </c>
      <c r="C1013" t="s">
        <v>1314</v>
      </c>
    </row>
    <row r="1014" spans="1:3" x14ac:dyDescent="0.4">
      <c r="A1014">
        <v>42614</v>
      </c>
      <c r="B1014" t="s">
        <v>1272</v>
      </c>
      <c r="C1014" t="s">
        <v>1313</v>
      </c>
    </row>
    <row r="1015" spans="1:3" x14ac:dyDescent="0.4">
      <c r="A1015">
        <v>42616</v>
      </c>
      <c r="B1015" t="s">
        <v>1272</v>
      </c>
      <c r="C1015" t="s">
        <v>1312</v>
      </c>
    </row>
    <row r="1016" spans="1:3" x14ac:dyDescent="0.4">
      <c r="A1016">
        <v>42617</v>
      </c>
      <c r="B1016" t="s">
        <v>1272</v>
      </c>
      <c r="C1016" t="s">
        <v>1311</v>
      </c>
    </row>
    <row r="1017" spans="1:3" x14ac:dyDescent="0.4">
      <c r="A1017">
        <v>42618</v>
      </c>
      <c r="B1017" t="s">
        <v>1272</v>
      </c>
      <c r="C1017" t="s">
        <v>1310</v>
      </c>
    </row>
    <row r="1018" spans="1:3" x14ac:dyDescent="0.4">
      <c r="A1018">
        <v>42619</v>
      </c>
      <c r="B1018" t="s">
        <v>1272</v>
      </c>
      <c r="C1018" t="s">
        <v>1309</v>
      </c>
    </row>
    <row r="1019" spans="1:3" x14ac:dyDescent="0.4">
      <c r="A1019">
        <v>42620</v>
      </c>
      <c r="B1019" t="s">
        <v>1272</v>
      </c>
      <c r="C1019" t="s">
        <v>1308</v>
      </c>
    </row>
    <row r="1020" spans="1:3" x14ac:dyDescent="0.4">
      <c r="A1020">
        <v>42621</v>
      </c>
      <c r="B1020" t="s">
        <v>1272</v>
      </c>
      <c r="C1020" t="s">
        <v>1307</v>
      </c>
    </row>
    <row r="1021" spans="1:3" x14ac:dyDescent="0.4">
      <c r="A1021">
        <v>42622</v>
      </c>
      <c r="B1021" t="s">
        <v>1272</v>
      </c>
      <c r="C1021" t="s">
        <v>1306</v>
      </c>
    </row>
    <row r="1022" spans="1:3" x14ac:dyDescent="0.4">
      <c r="A1022">
        <v>42624</v>
      </c>
      <c r="B1022" t="s">
        <v>1272</v>
      </c>
      <c r="C1022" t="s">
        <v>1305</v>
      </c>
    </row>
    <row r="1023" spans="1:3" x14ac:dyDescent="0.4">
      <c r="A1023">
        <v>42626</v>
      </c>
      <c r="B1023" t="s">
        <v>1272</v>
      </c>
      <c r="C1023" t="s">
        <v>1304</v>
      </c>
    </row>
    <row r="1024" spans="1:3" x14ac:dyDescent="0.4">
      <c r="A1024">
        <v>42628</v>
      </c>
      <c r="B1024" t="s">
        <v>1272</v>
      </c>
      <c r="C1024" t="s">
        <v>1303</v>
      </c>
    </row>
    <row r="1025" spans="1:3" x14ac:dyDescent="0.4">
      <c r="A1025">
        <v>42631</v>
      </c>
      <c r="B1025" t="s">
        <v>1272</v>
      </c>
      <c r="C1025" t="s">
        <v>1302</v>
      </c>
    </row>
    <row r="1026" spans="1:3" x14ac:dyDescent="0.4">
      <c r="A1026">
        <v>42632</v>
      </c>
      <c r="B1026" t="s">
        <v>1272</v>
      </c>
      <c r="C1026" t="s">
        <v>1301</v>
      </c>
    </row>
    <row r="1027" spans="1:3" x14ac:dyDescent="0.4">
      <c r="A1027">
        <v>42633</v>
      </c>
      <c r="B1027" t="s">
        <v>1272</v>
      </c>
      <c r="C1027" t="s">
        <v>1300</v>
      </c>
    </row>
    <row r="1028" spans="1:3" x14ac:dyDescent="0.4">
      <c r="A1028">
        <v>42634</v>
      </c>
      <c r="B1028" t="s">
        <v>1272</v>
      </c>
      <c r="C1028" t="s">
        <v>1299</v>
      </c>
    </row>
    <row r="1029" spans="1:3" x14ac:dyDescent="0.4">
      <c r="A1029">
        <v>42635</v>
      </c>
      <c r="B1029" t="s">
        <v>1272</v>
      </c>
      <c r="C1029" t="s">
        <v>1298</v>
      </c>
    </row>
    <row r="1030" spans="1:3" x14ac:dyDescent="0.4">
      <c r="A1030">
        <v>44095</v>
      </c>
      <c r="B1030" t="s">
        <v>1272</v>
      </c>
      <c r="C1030" t="s">
        <v>1297</v>
      </c>
    </row>
    <row r="1031" spans="1:3" x14ac:dyDescent="0.4">
      <c r="A1031">
        <v>44096</v>
      </c>
      <c r="B1031" t="s">
        <v>1272</v>
      </c>
      <c r="C1031" t="s">
        <v>1296</v>
      </c>
    </row>
    <row r="1032" spans="1:3" x14ac:dyDescent="0.4">
      <c r="A1032">
        <v>44097</v>
      </c>
      <c r="B1032" t="s">
        <v>1272</v>
      </c>
      <c r="C1032" t="s">
        <v>1295</v>
      </c>
    </row>
    <row r="1033" spans="1:3" x14ac:dyDescent="0.4">
      <c r="A1033">
        <v>44098</v>
      </c>
      <c r="B1033" t="s">
        <v>1272</v>
      </c>
      <c r="C1033" t="s">
        <v>1294</v>
      </c>
    </row>
    <row r="1034" spans="1:3" x14ac:dyDescent="0.4">
      <c r="A1034">
        <v>44099</v>
      </c>
      <c r="B1034" t="s">
        <v>1272</v>
      </c>
      <c r="C1034" t="s">
        <v>1293</v>
      </c>
    </row>
    <row r="1035" spans="1:3" x14ac:dyDescent="0.4">
      <c r="A1035">
        <v>44100</v>
      </c>
      <c r="B1035" t="s">
        <v>1272</v>
      </c>
      <c r="C1035" t="s">
        <v>1292</v>
      </c>
    </row>
    <row r="1036" spans="1:3" x14ac:dyDescent="0.4">
      <c r="A1036">
        <v>44101</v>
      </c>
      <c r="B1036" t="s">
        <v>1272</v>
      </c>
      <c r="C1036" t="s">
        <v>1291</v>
      </c>
    </row>
    <row r="1037" spans="1:3" x14ac:dyDescent="0.4">
      <c r="A1037">
        <v>44102</v>
      </c>
      <c r="B1037" t="s">
        <v>1272</v>
      </c>
      <c r="C1037" t="s">
        <v>1290</v>
      </c>
    </row>
    <row r="1038" spans="1:3" x14ac:dyDescent="0.4">
      <c r="A1038">
        <v>44103</v>
      </c>
      <c r="B1038" t="s">
        <v>1272</v>
      </c>
      <c r="C1038" t="s">
        <v>1289</v>
      </c>
    </row>
    <row r="1039" spans="1:3" x14ac:dyDescent="0.4">
      <c r="A1039">
        <v>44104</v>
      </c>
      <c r="B1039" t="s">
        <v>1272</v>
      </c>
      <c r="C1039" t="s">
        <v>1288</v>
      </c>
    </row>
    <row r="1040" spans="1:3" x14ac:dyDescent="0.4">
      <c r="A1040">
        <v>44105</v>
      </c>
      <c r="B1040" t="s">
        <v>1272</v>
      </c>
      <c r="C1040" t="s">
        <v>1287</v>
      </c>
    </row>
    <row r="1041" spans="1:3" x14ac:dyDescent="0.4">
      <c r="A1041">
        <v>44106</v>
      </c>
      <c r="B1041" t="s">
        <v>1272</v>
      </c>
      <c r="C1041" t="s">
        <v>1286</v>
      </c>
    </row>
    <row r="1042" spans="1:3" x14ac:dyDescent="0.4">
      <c r="A1042">
        <v>44107</v>
      </c>
      <c r="B1042" t="s">
        <v>1272</v>
      </c>
      <c r="C1042" t="s">
        <v>1285</v>
      </c>
    </row>
    <row r="1043" spans="1:3" x14ac:dyDescent="0.4">
      <c r="A1043">
        <v>45095</v>
      </c>
      <c r="B1043" t="s">
        <v>1272</v>
      </c>
      <c r="C1043" t="s">
        <v>1284</v>
      </c>
    </row>
    <row r="1044" spans="1:3" x14ac:dyDescent="0.4">
      <c r="A1044">
        <v>45096</v>
      </c>
      <c r="B1044" t="s">
        <v>1272</v>
      </c>
      <c r="C1044" t="s">
        <v>1283</v>
      </c>
    </row>
    <row r="1045" spans="1:3" x14ac:dyDescent="0.4">
      <c r="A1045">
        <v>45097</v>
      </c>
      <c r="B1045" t="s">
        <v>1272</v>
      </c>
      <c r="C1045" t="s">
        <v>1282</v>
      </c>
    </row>
    <row r="1046" spans="1:3" x14ac:dyDescent="0.4">
      <c r="A1046">
        <v>45098</v>
      </c>
      <c r="B1046" t="s">
        <v>1272</v>
      </c>
      <c r="C1046" t="s">
        <v>1281</v>
      </c>
    </row>
    <row r="1047" spans="1:3" x14ac:dyDescent="0.4">
      <c r="A1047">
        <v>45099</v>
      </c>
      <c r="B1047" t="s">
        <v>1272</v>
      </c>
      <c r="C1047" t="s">
        <v>1280</v>
      </c>
    </row>
    <row r="1048" spans="1:3" x14ac:dyDescent="0.4">
      <c r="A1048">
        <v>45100</v>
      </c>
      <c r="B1048" t="s">
        <v>1272</v>
      </c>
      <c r="C1048" t="s">
        <v>1279</v>
      </c>
    </row>
    <row r="1049" spans="1:3" x14ac:dyDescent="0.4">
      <c r="A1049">
        <v>45101</v>
      </c>
      <c r="B1049" t="s">
        <v>1272</v>
      </c>
      <c r="C1049" t="s">
        <v>1278</v>
      </c>
    </row>
    <row r="1050" spans="1:3" x14ac:dyDescent="0.4">
      <c r="A1050">
        <v>45102</v>
      </c>
      <c r="B1050" t="s">
        <v>1272</v>
      </c>
      <c r="C1050" t="s">
        <v>1277</v>
      </c>
    </row>
    <row r="1051" spans="1:3" x14ac:dyDescent="0.4">
      <c r="A1051">
        <v>45103</v>
      </c>
      <c r="B1051" t="s">
        <v>1272</v>
      </c>
      <c r="C1051" t="s">
        <v>1276</v>
      </c>
    </row>
    <row r="1052" spans="1:3" x14ac:dyDescent="0.4">
      <c r="A1052">
        <v>45104</v>
      </c>
      <c r="B1052" t="s">
        <v>1272</v>
      </c>
      <c r="C1052" t="s">
        <v>1275</v>
      </c>
    </row>
    <row r="1053" spans="1:3" x14ac:dyDescent="0.4">
      <c r="A1053">
        <v>45105</v>
      </c>
      <c r="B1053" t="s">
        <v>1272</v>
      </c>
      <c r="C1053" t="s">
        <v>1274</v>
      </c>
    </row>
    <row r="1054" spans="1:3" x14ac:dyDescent="0.4">
      <c r="A1054">
        <v>45106</v>
      </c>
      <c r="B1054" t="s">
        <v>1272</v>
      </c>
      <c r="C1054" t="s">
        <v>1273</v>
      </c>
    </row>
    <row r="1055" spans="1:3" x14ac:dyDescent="0.4">
      <c r="A1055">
        <v>45107</v>
      </c>
      <c r="B1055" t="s">
        <v>1272</v>
      </c>
      <c r="C1055" t="s">
        <v>1271</v>
      </c>
    </row>
    <row r="1056" spans="1:3" x14ac:dyDescent="0.4">
      <c r="A1056">
        <v>50392</v>
      </c>
      <c r="B1056" t="s">
        <v>1115</v>
      </c>
      <c r="C1056" t="s">
        <v>1270</v>
      </c>
    </row>
    <row r="1057" spans="1:3" x14ac:dyDescent="0.4">
      <c r="A1057">
        <v>50393</v>
      </c>
      <c r="B1057" t="s">
        <v>1115</v>
      </c>
      <c r="C1057" t="s">
        <v>1269</v>
      </c>
    </row>
    <row r="1058" spans="1:3" x14ac:dyDescent="0.4">
      <c r="A1058">
        <v>50400</v>
      </c>
      <c r="B1058" t="s">
        <v>1115</v>
      </c>
      <c r="C1058" t="s">
        <v>1268</v>
      </c>
    </row>
    <row r="1059" spans="1:3" x14ac:dyDescent="0.4">
      <c r="A1059">
        <v>50401</v>
      </c>
      <c r="B1059" t="s">
        <v>1115</v>
      </c>
      <c r="C1059" t="s">
        <v>1267</v>
      </c>
    </row>
    <row r="1060" spans="1:3" x14ac:dyDescent="0.4">
      <c r="A1060">
        <v>50404</v>
      </c>
      <c r="B1060" t="s">
        <v>1115</v>
      </c>
      <c r="C1060" t="s">
        <v>1266</v>
      </c>
    </row>
    <row r="1061" spans="1:3" x14ac:dyDescent="0.4">
      <c r="A1061">
        <v>50405</v>
      </c>
      <c r="B1061" t="s">
        <v>1115</v>
      </c>
      <c r="C1061" t="s">
        <v>1265</v>
      </c>
    </row>
    <row r="1062" spans="1:3" x14ac:dyDescent="0.4">
      <c r="A1062">
        <v>50408</v>
      </c>
      <c r="B1062" t="s">
        <v>1115</v>
      </c>
      <c r="C1062" t="s">
        <v>1264</v>
      </c>
    </row>
    <row r="1063" spans="1:3" x14ac:dyDescent="0.4">
      <c r="A1063">
        <v>50409</v>
      </c>
      <c r="B1063" t="s">
        <v>1115</v>
      </c>
      <c r="C1063" t="s">
        <v>1263</v>
      </c>
    </row>
    <row r="1064" spans="1:3" x14ac:dyDescent="0.4">
      <c r="A1064">
        <v>50410</v>
      </c>
      <c r="B1064" t="s">
        <v>1115</v>
      </c>
      <c r="C1064" t="s">
        <v>1262</v>
      </c>
    </row>
    <row r="1065" spans="1:3" x14ac:dyDescent="0.4">
      <c r="A1065">
        <v>50411</v>
      </c>
      <c r="B1065" t="s">
        <v>1115</v>
      </c>
      <c r="C1065" t="s">
        <v>1261</v>
      </c>
    </row>
    <row r="1066" spans="1:3" x14ac:dyDescent="0.4">
      <c r="A1066">
        <v>50412</v>
      </c>
      <c r="B1066" t="s">
        <v>1115</v>
      </c>
      <c r="C1066" t="s">
        <v>1260</v>
      </c>
    </row>
    <row r="1067" spans="1:3" x14ac:dyDescent="0.4">
      <c r="A1067">
        <v>50413</v>
      </c>
      <c r="B1067" t="s">
        <v>1115</v>
      </c>
      <c r="C1067" t="s">
        <v>1259</v>
      </c>
    </row>
    <row r="1068" spans="1:3" x14ac:dyDescent="0.4">
      <c r="A1068">
        <v>50416</v>
      </c>
      <c r="B1068" t="s">
        <v>1115</v>
      </c>
      <c r="C1068" t="s">
        <v>1258</v>
      </c>
    </row>
    <row r="1069" spans="1:3" x14ac:dyDescent="0.4">
      <c r="A1069">
        <v>50417</v>
      </c>
      <c r="B1069" t="s">
        <v>1115</v>
      </c>
      <c r="C1069" t="s">
        <v>1257</v>
      </c>
    </row>
    <row r="1070" spans="1:3" x14ac:dyDescent="0.4">
      <c r="A1070">
        <v>50420</v>
      </c>
      <c r="B1070" t="s">
        <v>1115</v>
      </c>
      <c r="C1070" t="s">
        <v>1256</v>
      </c>
    </row>
    <row r="1071" spans="1:3" x14ac:dyDescent="0.4">
      <c r="A1071">
        <v>50421</v>
      </c>
      <c r="B1071" t="s">
        <v>1115</v>
      </c>
      <c r="C1071" t="s">
        <v>1255</v>
      </c>
    </row>
    <row r="1072" spans="1:3" x14ac:dyDescent="0.4">
      <c r="A1072">
        <v>50424</v>
      </c>
      <c r="B1072" t="s">
        <v>1115</v>
      </c>
      <c r="C1072" t="s">
        <v>1254</v>
      </c>
    </row>
    <row r="1073" spans="1:3" x14ac:dyDescent="0.4">
      <c r="A1073">
        <v>50425</v>
      </c>
      <c r="B1073" t="s">
        <v>1115</v>
      </c>
      <c r="C1073" t="s">
        <v>1253</v>
      </c>
    </row>
    <row r="1074" spans="1:3" x14ac:dyDescent="0.4">
      <c r="A1074">
        <v>50426</v>
      </c>
      <c r="B1074" t="s">
        <v>1115</v>
      </c>
      <c r="C1074" t="s">
        <v>1252</v>
      </c>
    </row>
    <row r="1075" spans="1:3" x14ac:dyDescent="0.4">
      <c r="A1075">
        <v>50427</v>
      </c>
      <c r="B1075" t="s">
        <v>1115</v>
      </c>
      <c r="C1075" t="s">
        <v>1251</v>
      </c>
    </row>
    <row r="1076" spans="1:3" x14ac:dyDescent="0.4">
      <c r="A1076">
        <v>50432</v>
      </c>
      <c r="B1076" t="s">
        <v>1115</v>
      </c>
      <c r="C1076" t="s">
        <v>1250</v>
      </c>
    </row>
    <row r="1077" spans="1:3" x14ac:dyDescent="0.4">
      <c r="A1077">
        <v>50433</v>
      </c>
      <c r="B1077" t="s">
        <v>1115</v>
      </c>
      <c r="C1077" t="s">
        <v>1249</v>
      </c>
    </row>
    <row r="1078" spans="1:3" x14ac:dyDescent="0.4">
      <c r="A1078">
        <v>50434</v>
      </c>
      <c r="B1078" t="s">
        <v>1115</v>
      </c>
      <c r="C1078" t="s">
        <v>1248</v>
      </c>
    </row>
    <row r="1079" spans="1:3" x14ac:dyDescent="0.4">
      <c r="A1079">
        <v>50435</v>
      </c>
      <c r="B1079" t="s">
        <v>1115</v>
      </c>
      <c r="C1079" t="s">
        <v>1247</v>
      </c>
    </row>
    <row r="1080" spans="1:3" x14ac:dyDescent="0.4">
      <c r="A1080">
        <v>50436</v>
      </c>
      <c r="B1080" t="s">
        <v>1115</v>
      </c>
      <c r="C1080" t="s">
        <v>1246</v>
      </c>
    </row>
    <row r="1081" spans="1:3" x14ac:dyDescent="0.4">
      <c r="A1081">
        <v>50437</v>
      </c>
      <c r="B1081" t="s">
        <v>1115</v>
      </c>
      <c r="C1081" t="s">
        <v>1245</v>
      </c>
    </row>
    <row r="1082" spans="1:3" x14ac:dyDescent="0.4">
      <c r="A1082">
        <v>50438</v>
      </c>
      <c r="B1082" t="s">
        <v>1115</v>
      </c>
      <c r="C1082" t="s">
        <v>1244</v>
      </c>
    </row>
    <row r="1083" spans="1:3" x14ac:dyDescent="0.4">
      <c r="A1083">
        <v>50439</v>
      </c>
      <c r="B1083" t="s">
        <v>1115</v>
      </c>
      <c r="C1083" t="s">
        <v>1243</v>
      </c>
    </row>
    <row r="1084" spans="1:3" x14ac:dyDescent="0.4">
      <c r="A1084">
        <v>50442</v>
      </c>
      <c r="B1084" t="s">
        <v>1115</v>
      </c>
      <c r="C1084" t="s">
        <v>1242</v>
      </c>
    </row>
    <row r="1085" spans="1:3" x14ac:dyDescent="0.4">
      <c r="A1085">
        <v>50443</v>
      </c>
      <c r="B1085" t="s">
        <v>1115</v>
      </c>
      <c r="C1085" t="s">
        <v>1241</v>
      </c>
    </row>
    <row r="1086" spans="1:3" x14ac:dyDescent="0.4">
      <c r="A1086">
        <v>50444</v>
      </c>
      <c r="B1086" t="s">
        <v>1115</v>
      </c>
      <c r="C1086" t="s">
        <v>1240</v>
      </c>
    </row>
    <row r="1087" spans="1:3" x14ac:dyDescent="0.4">
      <c r="A1087">
        <v>50445</v>
      </c>
      <c r="B1087" t="s">
        <v>1115</v>
      </c>
      <c r="C1087" t="s">
        <v>1239</v>
      </c>
    </row>
    <row r="1088" spans="1:3" x14ac:dyDescent="0.4">
      <c r="A1088">
        <v>50464</v>
      </c>
      <c r="B1088" t="s">
        <v>1115</v>
      </c>
      <c r="C1088" t="s">
        <v>1238</v>
      </c>
    </row>
    <row r="1089" spans="1:3" x14ac:dyDescent="0.4">
      <c r="A1089">
        <v>50465</v>
      </c>
      <c r="B1089" t="s">
        <v>1115</v>
      </c>
      <c r="C1089" t="s">
        <v>1237</v>
      </c>
    </row>
    <row r="1090" spans="1:3" x14ac:dyDescent="0.4">
      <c r="A1090">
        <v>50466</v>
      </c>
      <c r="B1090" t="s">
        <v>1115</v>
      </c>
      <c r="C1090" t="s">
        <v>1236</v>
      </c>
    </row>
    <row r="1091" spans="1:3" x14ac:dyDescent="0.4">
      <c r="A1091">
        <v>50467</v>
      </c>
      <c r="B1091" t="s">
        <v>1115</v>
      </c>
      <c r="C1091" t="s">
        <v>1235</v>
      </c>
    </row>
    <row r="1092" spans="1:3" x14ac:dyDescent="0.4">
      <c r="A1092">
        <v>50470</v>
      </c>
      <c r="B1092" t="s">
        <v>1115</v>
      </c>
      <c r="C1092" t="s">
        <v>1234</v>
      </c>
    </row>
    <row r="1093" spans="1:3" x14ac:dyDescent="0.4">
      <c r="A1093">
        <v>50471</v>
      </c>
      <c r="B1093" t="s">
        <v>1115</v>
      </c>
      <c r="C1093" t="s">
        <v>1233</v>
      </c>
    </row>
    <row r="1094" spans="1:3" x14ac:dyDescent="0.4">
      <c r="A1094">
        <v>50472</v>
      </c>
      <c r="B1094" t="s">
        <v>1115</v>
      </c>
      <c r="C1094" t="s">
        <v>1232</v>
      </c>
    </row>
    <row r="1095" spans="1:3" x14ac:dyDescent="0.4">
      <c r="A1095">
        <v>50473</v>
      </c>
      <c r="B1095" t="s">
        <v>1115</v>
      </c>
      <c r="C1095" t="s">
        <v>1231</v>
      </c>
    </row>
    <row r="1096" spans="1:3" x14ac:dyDescent="0.4">
      <c r="A1096">
        <v>50476</v>
      </c>
      <c r="B1096" t="s">
        <v>1115</v>
      </c>
      <c r="C1096" t="s">
        <v>1230</v>
      </c>
    </row>
    <row r="1097" spans="1:3" x14ac:dyDescent="0.4">
      <c r="A1097">
        <v>50477</v>
      </c>
      <c r="B1097" t="s">
        <v>1115</v>
      </c>
      <c r="C1097" t="s">
        <v>1229</v>
      </c>
    </row>
    <row r="1098" spans="1:3" x14ac:dyDescent="0.4">
      <c r="A1098">
        <v>50478</v>
      </c>
      <c r="B1098" t="s">
        <v>1115</v>
      </c>
      <c r="C1098" t="s">
        <v>1228</v>
      </c>
    </row>
    <row r="1099" spans="1:3" x14ac:dyDescent="0.4">
      <c r="A1099">
        <v>50479</v>
      </c>
      <c r="B1099" t="s">
        <v>1115</v>
      </c>
      <c r="C1099" t="s">
        <v>1227</v>
      </c>
    </row>
    <row r="1100" spans="1:3" x14ac:dyDescent="0.4">
      <c r="A1100">
        <v>50712</v>
      </c>
      <c r="B1100" t="s">
        <v>1115</v>
      </c>
      <c r="C1100" t="s">
        <v>1226</v>
      </c>
    </row>
    <row r="1101" spans="1:3" x14ac:dyDescent="0.4">
      <c r="A1101">
        <v>50829</v>
      </c>
      <c r="B1101" t="s">
        <v>1115</v>
      </c>
      <c r="C1101" t="s">
        <v>1225</v>
      </c>
    </row>
    <row r="1102" spans="1:3" x14ac:dyDescent="0.4">
      <c r="A1102">
        <v>50830</v>
      </c>
      <c r="B1102" t="s">
        <v>1115</v>
      </c>
      <c r="C1102" t="s">
        <v>1224</v>
      </c>
    </row>
    <row r="1103" spans="1:3" x14ac:dyDescent="0.4">
      <c r="A1103">
        <v>50896</v>
      </c>
      <c r="B1103" t="s">
        <v>1115</v>
      </c>
      <c r="C1103" t="s">
        <v>1223</v>
      </c>
    </row>
    <row r="1104" spans="1:3" x14ac:dyDescent="0.4">
      <c r="A1104">
        <v>50897</v>
      </c>
      <c r="B1104" t="s">
        <v>1115</v>
      </c>
      <c r="C1104" t="s">
        <v>1222</v>
      </c>
    </row>
    <row r="1105" spans="1:3" x14ac:dyDescent="0.4">
      <c r="A1105">
        <v>50898</v>
      </c>
      <c r="B1105" t="s">
        <v>1115</v>
      </c>
      <c r="C1105" t="s">
        <v>1221</v>
      </c>
    </row>
    <row r="1106" spans="1:3" x14ac:dyDescent="0.4">
      <c r="A1106">
        <v>50899</v>
      </c>
      <c r="B1106" t="s">
        <v>1115</v>
      </c>
      <c r="C1106" t="s">
        <v>1220</v>
      </c>
    </row>
    <row r="1107" spans="1:3" x14ac:dyDescent="0.4">
      <c r="A1107">
        <v>50900</v>
      </c>
      <c r="B1107" t="s">
        <v>1115</v>
      </c>
      <c r="C1107" t="s">
        <v>1219</v>
      </c>
    </row>
    <row r="1108" spans="1:3" x14ac:dyDescent="0.4">
      <c r="A1108">
        <v>50901</v>
      </c>
      <c r="B1108" t="s">
        <v>1115</v>
      </c>
      <c r="C1108" t="s">
        <v>1218</v>
      </c>
    </row>
    <row r="1109" spans="1:3" x14ac:dyDescent="0.4">
      <c r="A1109">
        <v>50902</v>
      </c>
      <c r="B1109" t="s">
        <v>1115</v>
      </c>
      <c r="C1109" t="s">
        <v>1217</v>
      </c>
    </row>
    <row r="1110" spans="1:3" x14ac:dyDescent="0.4">
      <c r="A1110">
        <v>50903</v>
      </c>
      <c r="B1110" t="s">
        <v>1115</v>
      </c>
      <c r="C1110" t="s">
        <v>1216</v>
      </c>
    </row>
    <row r="1111" spans="1:3" x14ac:dyDescent="0.4">
      <c r="A1111">
        <v>50904</v>
      </c>
      <c r="B1111" t="s">
        <v>1115</v>
      </c>
      <c r="C1111" t="s">
        <v>1215</v>
      </c>
    </row>
    <row r="1112" spans="1:3" x14ac:dyDescent="0.4">
      <c r="A1112">
        <v>50905</v>
      </c>
      <c r="B1112" t="s">
        <v>1115</v>
      </c>
      <c r="C1112" t="s">
        <v>1214</v>
      </c>
    </row>
    <row r="1113" spans="1:3" x14ac:dyDescent="0.4">
      <c r="A1113">
        <v>51008</v>
      </c>
      <c r="B1113" t="s">
        <v>1115</v>
      </c>
      <c r="C1113" t="s">
        <v>1213</v>
      </c>
    </row>
    <row r="1114" spans="1:3" x14ac:dyDescent="0.4">
      <c r="A1114">
        <v>51009</v>
      </c>
      <c r="B1114" t="s">
        <v>1115</v>
      </c>
      <c r="C1114" t="s">
        <v>1212</v>
      </c>
    </row>
    <row r="1115" spans="1:3" x14ac:dyDescent="0.4">
      <c r="A1115">
        <v>51010</v>
      </c>
      <c r="B1115" t="s">
        <v>1115</v>
      </c>
      <c r="C1115" t="s">
        <v>1211</v>
      </c>
    </row>
    <row r="1116" spans="1:3" x14ac:dyDescent="0.4">
      <c r="A1116">
        <v>51011</v>
      </c>
      <c r="B1116" t="s">
        <v>1115</v>
      </c>
      <c r="C1116" t="s">
        <v>1210</v>
      </c>
    </row>
    <row r="1117" spans="1:3" x14ac:dyDescent="0.4">
      <c r="A1117">
        <v>51014</v>
      </c>
      <c r="B1117" t="s">
        <v>1115</v>
      </c>
      <c r="C1117" t="s">
        <v>1209</v>
      </c>
    </row>
    <row r="1118" spans="1:3" x14ac:dyDescent="0.4">
      <c r="A1118">
        <v>51015</v>
      </c>
      <c r="B1118" t="s">
        <v>1115</v>
      </c>
      <c r="C1118" t="s">
        <v>1208</v>
      </c>
    </row>
    <row r="1119" spans="1:3" x14ac:dyDescent="0.4">
      <c r="A1119">
        <v>51016</v>
      </c>
      <c r="B1119" t="s">
        <v>1115</v>
      </c>
      <c r="C1119" t="s">
        <v>1207</v>
      </c>
    </row>
    <row r="1120" spans="1:3" x14ac:dyDescent="0.4">
      <c r="A1120">
        <v>51017</v>
      </c>
      <c r="B1120" t="s">
        <v>1115</v>
      </c>
      <c r="C1120" t="s">
        <v>1206</v>
      </c>
    </row>
    <row r="1121" spans="1:3" x14ac:dyDescent="0.4">
      <c r="A1121">
        <v>52392</v>
      </c>
      <c r="B1121" t="s">
        <v>1115</v>
      </c>
      <c r="C1121" t="s">
        <v>1205</v>
      </c>
    </row>
    <row r="1122" spans="1:3" x14ac:dyDescent="0.4">
      <c r="A1122">
        <v>52393</v>
      </c>
      <c r="B1122" t="s">
        <v>1115</v>
      </c>
      <c r="C1122" t="s">
        <v>1204</v>
      </c>
    </row>
    <row r="1123" spans="1:3" x14ac:dyDescent="0.4">
      <c r="A1123">
        <v>52400</v>
      </c>
      <c r="B1123" t="s">
        <v>1115</v>
      </c>
      <c r="C1123" t="s">
        <v>1203</v>
      </c>
    </row>
    <row r="1124" spans="1:3" x14ac:dyDescent="0.4">
      <c r="A1124">
        <v>52401</v>
      </c>
      <c r="B1124" t="s">
        <v>1115</v>
      </c>
      <c r="C1124" t="s">
        <v>1202</v>
      </c>
    </row>
    <row r="1125" spans="1:3" x14ac:dyDescent="0.4">
      <c r="A1125">
        <v>52404</v>
      </c>
      <c r="B1125" t="s">
        <v>1115</v>
      </c>
      <c r="C1125" t="s">
        <v>1201</v>
      </c>
    </row>
    <row r="1126" spans="1:3" x14ac:dyDescent="0.4">
      <c r="A1126">
        <v>52405</v>
      </c>
      <c r="B1126" t="s">
        <v>1115</v>
      </c>
      <c r="C1126" t="s">
        <v>1200</v>
      </c>
    </row>
    <row r="1127" spans="1:3" x14ac:dyDescent="0.4">
      <c r="A1127">
        <v>52408</v>
      </c>
      <c r="B1127" t="s">
        <v>1115</v>
      </c>
      <c r="C1127" t="s">
        <v>1199</v>
      </c>
    </row>
    <row r="1128" spans="1:3" x14ac:dyDescent="0.4">
      <c r="A1128">
        <v>52409</v>
      </c>
      <c r="B1128" t="s">
        <v>1115</v>
      </c>
      <c r="C1128" t="s">
        <v>1198</v>
      </c>
    </row>
    <row r="1129" spans="1:3" x14ac:dyDescent="0.4">
      <c r="A1129">
        <v>52410</v>
      </c>
      <c r="B1129" t="s">
        <v>1115</v>
      </c>
      <c r="C1129" t="s">
        <v>1197</v>
      </c>
    </row>
    <row r="1130" spans="1:3" x14ac:dyDescent="0.4">
      <c r="A1130">
        <v>52411</v>
      </c>
      <c r="B1130" t="s">
        <v>1115</v>
      </c>
      <c r="C1130" t="s">
        <v>1196</v>
      </c>
    </row>
    <row r="1131" spans="1:3" x14ac:dyDescent="0.4">
      <c r="A1131">
        <v>52412</v>
      </c>
      <c r="B1131" t="s">
        <v>1115</v>
      </c>
      <c r="C1131" t="s">
        <v>1195</v>
      </c>
    </row>
    <row r="1132" spans="1:3" x14ac:dyDescent="0.4">
      <c r="A1132">
        <v>52413</v>
      </c>
      <c r="B1132" t="s">
        <v>1115</v>
      </c>
      <c r="C1132" t="s">
        <v>1194</v>
      </c>
    </row>
    <row r="1133" spans="1:3" x14ac:dyDescent="0.4">
      <c r="A1133">
        <v>52416</v>
      </c>
      <c r="B1133" t="s">
        <v>1115</v>
      </c>
      <c r="C1133" t="s">
        <v>1193</v>
      </c>
    </row>
    <row r="1134" spans="1:3" x14ac:dyDescent="0.4">
      <c r="A1134">
        <v>52417</v>
      </c>
      <c r="B1134" t="s">
        <v>1115</v>
      </c>
      <c r="C1134" t="s">
        <v>1192</v>
      </c>
    </row>
    <row r="1135" spans="1:3" x14ac:dyDescent="0.4">
      <c r="A1135">
        <v>52420</v>
      </c>
      <c r="B1135" t="s">
        <v>1115</v>
      </c>
      <c r="C1135" t="s">
        <v>1191</v>
      </c>
    </row>
    <row r="1136" spans="1:3" x14ac:dyDescent="0.4">
      <c r="A1136">
        <v>52421</v>
      </c>
      <c r="B1136" t="s">
        <v>1115</v>
      </c>
      <c r="C1136" t="s">
        <v>1190</v>
      </c>
    </row>
    <row r="1137" spans="1:3" x14ac:dyDescent="0.4">
      <c r="A1137">
        <v>52424</v>
      </c>
      <c r="B1137" t="s">
        <v>1115</v>
      </c>
      <c r="C1137" t="s">
        <v>1189</v>
      </c>
    </row>
    <row r="1138" spans="1:3" x14ac:dyDescent="0.4">
      <c r="A1138">
        <v>52425</v>
      </c>
      <c r="B1138" t="s">
        <v>1115</v>
      </c>
      <c r="C1138" t="s">
        <v>1188</v>
      </c>
    </row>
    <row r="1139" spans="1:3" x14ac:dyDescent="0.4">
      <c r="A1139">
        <v>52426</v>
      </c>
      <c r="B1139" t="s">
        <v>1115</v>
      </c>
      <c r="C1139" t="s">
        <v>1187</v>
      </c>
    </row>
    <row r="1140" spans="1:3" x14ac:dyDescent="0.4">
      <c r="A1140">
        <v>52427</v>
      </c>
      <c r="B1140" t="s">
        <v>1115</v>
      </c>
      <c r="C1140" t="s">
        <v>1186</v>
      </c>
    </row>
    <row r="1141" spans="1:3" x14ac:dyDescent="0.4">
      <c r="A1141">
        <v>52432</v>
      </c>
      <c r="B1141" t="s">
        <v>1115</v>
      </c>
      <c r="C1141" t="s">
        <v>1185</v>
      </c>
    </row>
    <row r="1142" spans="1:3" x14ac:dyDescent="0.4">
      <c r="A1142">
        <v>52433</v>
      </c>
      <c r="B1142" t="s">
        <v>1115</v>
      </c>
      <c r="C1142" t="s">
        <v>1184</v>
      </c>
    </row>
    <row r="1143" spans="1:3" x14ac:dyDescent="0.4">
      <c r="A1143">
        <v>52434</v>
      </c>
      <c r="B1143" t="s">
        <v>1115</v>
      </c>
      <c r="C1143" t="s">
        <v>1183</v>
      </c>
    </row>
    <row r="1144" spans="1:3" x14ac:dyDescent="0.4">
      <c r="A1144">
        <v>52435</v>
      </c>
      <c r="B1144" t="s">
        <v>1115</v>
      </c>
      <c r="C1144" t="s">
        <v>1182</v>
      </c>
    </row>
    <row r="1145" spans="1:3" x14ac:dyDescent="0.4">
      <c r="A1145">
        <v>52436</v>
      </c>
      <c r="B1145" t="s">
        <v>1115</v>
      </c>
      <c r="C1145" t="s">
        <v>1181</v>
      </c>
    </row>
    <row r="1146" spans="1:3" x14ac:dyDescent="0.4">
      <c r="A1146">
        <v>52437</v>
      </c>
      <c r="B1146" t="s">
        <v>1115</v>
      </c>
      <c r="C1146" t="s">
        <v>1180</v>
      </c>
    </row>
    <row r="1147" spans="1:3" x14ac:dyDescent="0.4">
      <c r="A1147">
        <v>52438</v>
      </c>
      <c r="B1147" t="s">
        <v>1115</v>
      </c>
      <c r="C1147" t="s">
        <v>1179</v>
      </c>
    </row>
    <row r="1148" spans="1:3" x14ac:dyDescent="0.4">
      <c r="A1148">
        <v>52439</v>
      </c>
      <c r="B1148" t="s">
        <v>1115</v>
      </c>
      <c r="C1148" t="s">
        <v>1178</v>
      </c>
    </row>
    <row r="1149" spans="1:3" x14ac:dyDescent="0.4">
      <c r="A1149">
        <v>52442</v>
      </c>
      <c r="B1149" t="s">
        <v>1115</v>
      </c>
      <c r="C1149" t="s">
        <v>1177</v>
      </c>
    </row>
    <row r="1150" spans="1:3" x14ac:dyDescent="0.4">
      <c r="A1150">
        <v>52443</v>
      </c>
      <c r="B1150" t="s">
        <v>1115</v>
      </c>
      <c r="C1150" t="s">
        <v>1176</v>
      </c>
    </row>
    <row r="1151" spans="1:3" x14ac:dyDescent="0.4">
      <c r="A1151">
        <v>52444</v>
      </c>
      <c r="B1151" t="s">
        <v>1115</v>
      </c>
      <c r="C1151" t="s">
        <v>1175</v>
      </c>
    </row>
    <row r="1152" spans="1:3" x14ac:dyDescent="0.4">
      <c r="A1152">
        <v>52445</v>
      </c>
      <c r="B1152" t="s">
        <v>1115</v>
      </c>
      <c r="C1152" t="s">
        <v>1174</v>
      </c>
    </row>
    <row r="1153" spans="1:3" x14ac:dyDescent="0.4">
      <c r="A1153">
        <v>52464</v>
      </c>
      <c r="B1153" t="s">
        <v>1115</v>
      </c>
      <c r="C1153" t="s">
        <v>1173</v>
      </c>
    </row>
    <row r="1154" spans="1:3" x14ac:dyDescent="0.4">
      <c r="A1154">
        <v>52465</v>
      </c>
      <c r="B1154" t="s">
        <v>1115</v>
      </c>
      <c r="C1154" t="s">
        <v>1172</v>
      </c>
    </row>
    <row r="1155" spans="1:3" x14ac:dyDescent="0.4">
      <c r="A1155">
        <v>52466</v>
      </c>
      <c r="B1155" t="s">
        <v>1115</v>
      </c>
      <c r="C1155" t="s">
        <v>1171</v>
      </c>
    </row>
    <row r="1156" spans="1:3" x14ac:dyDescent="0.4">
      <c r="A1156">
        <v>52467</v>
      </c>
      <c r="B1156" t="s">
        <v>1115</v>
      </c>
      <c r="C1156" t="s">
        <v>1170</v>
      </c>
    </row>
    <row r="1157" spans="1:3" x14ac:dyDescent="0.4">
      <c r="A1157">
        <v>52470</v>
      </c>
      <c r="B1157" t="s">
        <v>1115</v>
      </c>
      <c r="C1157" t="s">
        <v>1169</v>
      </c>
    </row>
    <row r="1158" spans="1:3" x14ac:dyDescent="0.4">
      <c r="A1158">
        <v>52471</v>
      </c>
      <c r="B1158" t="s">
        <v>1115</v>
      </c>
      <c r="C1158" t="s">
        <v>1168</v>
      </c>
    </row>
    <row r="1159" spans="1:3" x14ac:dyDescent="0.4">
      <c r="A1159">
        <v>52472</v>
      </c>
      <c r="B1159" t="s">
        <v>1115</v>
      </c>
      <c r="C1159" t="s">
        <v>1167</v>
      </c>
    </row>
    <row r="1160" spans="1:3" x14ac:dyDescent="0.4">
      <c r="A1160">
        <v>52473</v>
      </c>
      <c r="B1160" t="s">
        <v>1115</v>
      </c>
      <c r="C1160" t="s">
        <v>1166</v>
      </c>
    </row>
    <row r="1161" spans="1:3" x14ac:dyDescent="0.4">
      <c r="A1161">
        <v>52476</v>
      </c>
      <c r="B1161" t="s">
        <v>1115</v>
      </c>
      <c r="C1161" t="s">
        <v>1165</v>
      </c>
    </row>
    <row r="1162" spans="1:3" x14ac:dyDescent="0.4">
      <c r="A1162">
        <v>52477</v>
      </c>
      <c r="B1162" t="s">
        <v>1115</v>
      </c>
      <c r="C1162" t="s">
        <v>1164</v>
      </c>
    </row>
    <row r="1163" spans="1:3" x14ac:dyDescent="0.4">
      <c r="A1163">
        <v>52478</v>
      </c>
      <c r="B1163" t="s">
        <v>1115</v>
      </c>
      <c r="C1163" t="s">
        <v>1163</v>
      </c>
    </row>
    <row r="1164" spans="1:3" x14ac:dyDescent="0.4">
      <c r="A1164">
        <v>52479</v>
      </c>
      <c r="B1164" t="s">
        <v>1115</v>
      </c>
      <c r="C1164" t="s">
        <v>1162</v>
      </c>
    </row>
    <row r="1165" spans="1:3" x14ac:dyDescent="0.4">
      <c r="A1165">
        <v>52712</v>
      </c>
      <c r="B1165" t="s">
        <v>1115</v>
      </c>
      <c r="C1165" t="s">
        <v>1161</v>
      </c>
    </row>
    <row r="1166" spans="1:3" x14ac:dyDescent="0.4">
      <c r="A1166">
        <v>52829</v>
      </c>
      <c r="B1166" t="s">
        <v>1115</v>
      </c>
      <c r="C1166" t="s">
        <v>1160</v>
      </c>
    </row>
    <row r="1167" spans="1:3" x14ac:dyDescent="0.4">
      <c r="A1167">
        <v>52830</v>
      </c>
      <c r="B1167" t="s">
        <v>1115</v>
      </c>
      <c r="C1167" t="s">
        <v>1159</v>
      </c>
    </row>
    <row r="1168" spans="1:3" x14ac:dyDescent="0.4">
      <c r="A1168">
        <v>52896</v>
      </c>
      <c r="B1168" t="s">
        <v>1115</v>
      </c>
      <c r="C1168" t="s">
        <v>1158</v>
      </c>
    </row>
    <row r="1169" spans="1:3" x14ac:dyDescent="0.4">
      <c r="A1169">
        <v>52897</v>
      </c>
      <c r="B1169" t="s">
        <v>1115</v>
      </c>
      <c r="C1169" t="s">
        <v>1157</v>
      </c>
    </row>
    <row r="1170" spans="1:3" x14ac:dyDescent="0.4">
      <c r="A1170">
        <v>52898</v>
      </c>
      <c r="B1170" t="s">
        <v>1115</v>
      </c>
      <c r="C1170" t="s">
        <v>1156</v>
      </c>
    </row>
    <row r="1171" spans="1:3" x14ac:dyDescent="0.4">
      <c r="A1171">
        <v>52899</v>
      </c>
      <c r="B1171" t="s">
        <v>1115</v>
      </c>
      <c r="C1171" t="s">
        <v>1155</v>
      </c>
    </row>
    <row r="1172" spans="1:3" x14ac:dyDescent="0.4">
      <c r="A1172">
        <v>52900</v>
      </c>
      <c r="B1172" t="s">
        <v>1115</v>
      </c>
      <c r="C1172" t="s">
        <v>1154</v>
      </c>
    </row>
    <row r="1173" spans="1:3" x14ac:dyDescent="0.4">
      <c r="A1173">
        <v>52901</v>
      </c>
      <c r="B1173" t="s">
        <v>1115</v>
      </c>
      <c r="C1173" t="s">
        <v>1153</v>
      </c>
    </row>
    <row r="1174" spans="1:3" x14ac:dyDescent="0.4">
      <c r="A1174">
        <v>52902</v>
      </c>
      <c r="B1174" t="s">
        <v>1115</v>
      </c>
      <c r="C1174" t="s">
        <v>1152</v>
      </c>
    </row>
    <row r="1175" spans="1:3" x14ac:dyDescent="0.4">
      <c r="A1175">
        <v>52903</v>
      </c>
      <c r="B1175" t="s">
        <v>1115</v>
      </c>
      <c r="C1175" t="s">
        <v>1151</v>
      </c>
    </row>
    <row r="1176" spans="1:3" x14ac:dyDescent="0.4">
      <c r="A1176">
        <v>52904</v>
      </c>
      <c r="B1176" t="s">
        <v>1115</v>
      </c>
      <c r="C1176" t="s">
        <v>1150</v>
      </c>
    </row>
    <row r="1177" spans="1:3" x14ac:dyDescent="0.4">
      <c r="A1177">
        <v>52905</v>
      </c>
      <c r="B1177" t="s">
        <v>1115</v>
      </c>
      <c r="C1177" t="s">
        <v>1149</v>
      </c>
    </row>
    <row r="1178" spans="1:3" x14ac:dyDescent="0.4">
      <c r="A1178">
        <v>53008</v>
      </c>
      <c r="B1178" t="s">
        <v>1115</v>
      </c>
      <c r="C1178" t="s">
        <v>1148</v>
      </c>
    </row>
    <row r="1179" spans="1:3" x14ac:dyDescent="0.4">
      <c r="A1179">
        <v>53009</v>
      </c>
      <c r="B1179" t="s">
        <v>1115</v>
      </c>
      <c r="C1179" t="s">
        <v>1147</v>
      </c>
    </row>
    <row r="1180" spans="1:3" x14ac:dyDescent="0.4">
      <c r="A1180">
        <v>53010</v>
      </c>
      <c r="B1180" t="s">
        <v>1115</v>
      </c>
      <c r="C1180" t="s">
        <v>1146</v>
      </c>
    </row>
    <row r="1181" spans="1:3" x14ac:dyDescent="0.4">
      <c r="A1181">
        <v>53011</v>
      </c>
      <c r="B1181" t="s">
        <v>1115</v>
      </c>
      <c r="C1181" t="s">
        <v>1145</v>
      </c>
    </row>
    <row r="1182" spans="1:3" x14ac:dyDescent="0.4">
      <c r="A1182">
        <v>53014</v>
      </c>
      <c r="B1182" t="s">
        <v>1115</v>
      </c>
      <c r="C1182" t="s">
        <v>1144</v>
      </c>
    </row>
    <row r="1183" spans="1:3" x14ac:dyDescent="0.4">
      <c r="A1183">
        <v>53015</v>
      </c>
      <c r="B1183" t="s">
        <v>1115</v>
      </c>
      <c r="C1183" t="s">
        <v>1143</v>
      </c>
    </row>
    <row r="1184" spans="1:3" x14ac:dyDescent="0.4">
      <c r="A1184">
        <v>53016</v>
      </c>
      <c r="B1184" t="s">
        <v>1115</v>
      </c>
      <c r="C1184" t="s">
        <v>1142</v>
      </c>
    </row>
    <row r="1185" spans="1:3" x14ac:dyDescent="0.4">
      <c r="A1185">
        <v>53017</v>
      </c>
      <c r="B1185" t="s">
        <v>1115</v>
      </c>
      <c r="C1185" t="s">
        <v>1141</v>
      </c>
    </row>
    <row r="1186" spans="1:3" x14ac:dyDescent="0.4">
      <c r="A1186">
        <v>54108</v>
      </c>
      <c r="B1186" t="s">
        <v>1115</v>
      </c>
      <c r="C1186" t="s">
        <v>1140</v>
      </c>
    </row>
    <row r="1187" spans="1:3" x14ac:dyDescent="0.4">
      <c r="A1187">
        <v>54109</v>
      </c>
      <c r="B1187" t="s">
        <v>1115</v>
      </c>
      <c r="C1187" t="s">
        <v>1139</v>
      </c>
    </row>
    <row r="1188" spans="1:3" x14ac:dyDescent="0.4">
      <c r="A1188">
        <v>54110</v>
      </c>
      <c r="B1188" t="s">
        <v>1115</v>
      </c>
      <c r="C1188" t="s">
        <v>1138</v>
      </c>
    </row>
    <row r="1189" spans="1:3" x14ac:dyDescent="0.4">
      <c r="A1189">
        <v>54111</v>
      </c>
      <c r="B1189" t="s">
        <v>1115</v>
      </c>
      <c r="C1189" t="s">
        <v>1137</v>
      </c>
    </row>
    <row r="1190" spans="1:3" x14ac:dyDescent="0.4">
      <c r="A1190">
        <v>54112</v>
      </c>
      <c r="B1190" t="s">
        <v>1115</v>
      </c>
      <c r="C1190" t="s">
        <v>1136</v>
      </c>
    </row>
    <row r="1191" spans="1:3" x14ac:dyDescent="0.4">
      <c r="A1191">
        <v>54113</v>
      </c>
      <c r="B1191" t="s">
        <v>1115</v>
      </c>
      <c r="C1191" t="s">
        <v>1135</v>
      </c>
    </row>
    <row r="1192" spans="1:3" x14ac:dyDescent="0.4">
      <c r="A1192">
        <v>54114</v>
      </c>
      <c r="B1192" t="s">
        <v>1115</v>
      </c>
      <c r="C1192" t="s">
        <v>1134</v>
      </c>
    </row>
    <row r="1193" spans="1:3" x14ac:dyDescent="0.4">
      <c r="A1193">
        <v>54115</v>
      </c>
      <c r="B1193" t="s">
        <v>1115</v>
      </c>
      <c r="C1193" t="s">
        <v>1133</v>
      </c>
    </row>
    <row r="1194" spans="1:3" x14ac:dyDescent="0.4">
      <c r="A1194">
        <v>54116</v>
      </c>
      <c r="B1194" t="s">
        <v>1115</v>
      </c>
      <c r="C1194" t="s">
        <v>1132</v>
      </c>
    </row>
    <row r="1195" spans="1:3" x14ac:dyDescent="0.4">
      <c r="A1195">
        <v>54117</v>
      </c>
      <c r="B1195" t="s">
        <v>1115</v>
      </c>
      <c r="C1195" t="s">
        <v>1131</v>
      </c>
    </row>
    <row r="1196" spans="1:3" x14ac:dyDescent="0.4">
      <c r="A1196">
        <v>54118</v>
      </c>
      <c r="B1196" t="s">
        <v>1115</v>
      </c>
      <c r="C1196" t="s">
        <v>1130</v>
      </c>
    </row>
    <row r="1197" spans="1:3" x14ac:dyDescent="0.4">
      <c r="A1197">
        <v>54119</v>
      </c>
      <c r="B1197" t="s">
        <v>1115</v>
      </c>
      <c r="C1197" t="s">
        <v>1129</v>
      </c>
    </row>
    <row r="1198" spans="1:3" x14ac:dyDescent="0.4">
      <c r="A1198">
        <v>55108</v>
      </c>
      <c r="B1198" t="s">
        <v>1115</v>
      </c>
      <c r="C1198" t="s">
        <v>1128</v>
      </c>
    </row>
    <row r="1199" spans="1:3" x14ac:dyDescent="0.4">
      <c r="A1199">
        <v>55109</v>
      </c>
      <c r="B1199" t="s">
        <v>1115</v>
      </c>
      <c r="C1199" t="s">
        <v>1127</v>
      </c>
    </row>
    <row r="1200" spans="1:3" x14ac:dyDescent="0.4">
      <c r="A1200">
        <v>55110</v>
      </c>
      <c r="B1200" t="s">
        <v>1115</v>
      </c>
      <c r="C1200" t="s">
        <v>1126</v>
      </c>
    </row>
    <row r="1201" spans="1:3" x14ac:dyDescent="0.4">
      <c r="A1201">
        <v>55111</v>
      </c>
      <c r="B1201" t="s">
        <v>1115</v>
      </c>
      <c r="C1201" t="s">
        <v>1125</v>
      </c>
    </row>
    <row r="1202" spans="1:3" x14ac:dyDescent="0.4">
      <c r="A1202">
        <v>55112</v>
      </c>
      <c r="B1202" t="s">
        <v>1115</v>
      </c>
      <c r="C1202" t="s">
        <v>1124</v>
      </c>
    </row>
    <row r="1203" spans="1:3" x14ac:dyDescent="0.4">
      <c r="A1203">
        <v>55113</v>
      </c>
      <c r="B1203" t="s">
        <v>1115</v>
      </c>
      <c r="C1203" t="s">
        <v>1123</v>
      </c>
    </row>
    <row r="1204" spans="1:3" x14ac:dyDescent="0.4">
      <c r="A1204">
        <v>55114</v>
      </c>
      <c r="B1204" t="s">
        <v>1115</v>
      </c>
      <c r="C1204" t="s">
        <v>1122</v>
      </c>
    </row>
    <row r="1205" spans="1:3" x14ac:dyDescent="0.4">
      <c r="A1205">
        <v>55115</v>
      </c>
      <c r="B1205" t="s">
        <v>1115</v>
      </c>
      <c r="C1205" t="s">
        <v>1121</v>
      </c>
    </row>
    <row r="1206" spans="1:3" x14ac:dyDescent="0.4">
      <c r="A1206">
        <v>55116</v>
      </c>
      <c r="B1206" t="s">
        <v>1115</v>
      </c>
      <c r="C1206" t="s">
        <v>1120</v>
      </c>
    </row>
    <row r="1207" spans="1:3" x14ac:dyDescent="0.4">
      <c r="A1207">
        <v>55117</v>
      </c>
      <c r="B1207" t="s">
        <v>1115</v>
      </c>
      <c r="C1207" t="s">
        <v>1119</v>
      </c>
    </row>
    <row r="1208" spans="1:3" x14ac:dyDescent="0.4">
      <c r="A1208">
        <v>55118</v>
      </c>
      <c r="B1208" t="s">
        <v>1115</v>
      </c>
      <c r="C1208" t="s">
        <v>1118</v>
      </c>
    </row>
    <row r="1209" spans="1:3" x14ac:dyDescent="0.4">
      <c r="A1209">
        <v>55119</v>
      </c>
      <c r="B1209" t="s">
        <v>1115</v>
      </c>
      <c r="C1209" t="s">
        <v>1117</v>
      </c>
    </row>
    <row r="1210" spans="1:3" x14ac:dyDescent="0.4">
      <c r="A1210">
        <v>57113</v>
      </c>
      <c r="B1210" t="s">
        <v>1115</v>
      </c>
      <c r="C1210" t="s">
        <v>1116</v>
      </c>
    </row>
    <row r="1211" spans="1:3" x14ac:dyDescent="0.4">
      <c r="A1211">
        <v>58000</v>
      </c>
      <c r="B1211" t="s">
        <v>1115</v>
      </c>
      <c r="C1211" t="s">
        <v>540</v>
      </c>
    </row>
    <row r="1212" spans="1:3" x14ac:dyDescent="0.4">
      <c r="A1212">
        <v>58001</v>
      </c>
      <c r="B1212" t="s">
        <v>1115</v>
      </c>
      <c r="C1212" t="s">
        <v>539</v>
      </c>
    </row>
    <row r="1213" spans="1:3" x14ac:dyDescent="0.4">
      <c r="A1213">
        <v>58002</v>
      </c>
      <c r="B1213" t="s">
        <v>1115</v>
      </c>
      <c r="C1213" t="s">
        <v>538</v>
      </c>
    </row>
    <row r="1214" spans="1:3" x14ac:dyDescent="0.4">
      <c r="A1214">
        <v>58003</v>
      </c>
      <c r="B1214" t="s">
        <v>1115</v>
      </c>
      <c r="C1214" t="s">
        <v>537</v>
      </c>
    </row>
    <row r="1215" spans="1:3" x14ac:dyDescent="0.4">
      <c r="A1215">
        <v>58004</v>
      </c>
      <c r="B1215" t="s">
        <v>1115</v>
      </c>
      <c r="C1215" t="s">
        <v>536</v>
      </c>
    </row>
    <row r="1216" spans="1:3" x14ac:dyDescent="0.4">
      <c r="A1216">
        <v>58005</v>
      </c>
      <c r="B1216" t="s">
        <v>1115</v>
      </c>
      <c r="C1216" t="s">
        <v>534</v>
      </c>
    </row>
    <row r="1217" spans="1:3" x14ac:dyDescent="0.4">
      <c r="A1217">
        <v>60768</v>
      </c>
      <c r="B1217" t="s">
        <v>988</v>
      </c>
      <c r="C1217" t="s">
        <v>1114</v>
      </c>
    </row>
    <row r="1218" spans="1:3" x14ac:dyDescent="0.4">
      <c r="A1218">
        <v>60769</v>
      </c>
      <c r="B1218" t="s">
        <v>988</v>
      </c>
      <c r="C1218" t="s">
        <v>1113</v>
      </c>
    </row>
    <row r="1219" spans="1:3" x14ac:dyDescent="0.4">
      <c r="A1219">
        <v>60770</v>
      </c>
      <c r="B1219" t="s">
        <v>988</v>
      </c>
      <c r="C1219" t="s">
        <v>1112</v>
      </c>
    </row>
    <row r="1220" spans="1:3" x14ac:dyDescent="0.4">
      <c r="A1220">
        <v>60771</v>
      </c>
      <c r="B1220" t="s">
        <v>988</v>
      </c>
      <c r="C1220" t="s">
        <v>1111</v>
      </c>
    </row>
    <row r="1221" spans="1:3" x14ac:dyDescent="0.4">
      <c r="A1221">
        <v>60774</v>
      </c>
      <c r="B1221" t="s">
        <v>988</v>
      </c>
      <c r="C1221" t="s">
        <v>1110</v>
      </c>
    </row>
    <row r="1222" spans="1:3" x14ac:dyDescent="0.4">
      <c r="A1222">
        <v>60775</v>
      </c>
      <c r="B1222" t="s">
        <v>988</v>
      </c>
      <c r="C1222" t="s">
        <v>1109</v>
      </c>
    </row>
    <row r="1223" spans="1:3" x14ac:dyDescent="0.4">
      <c r="A1223">
        <v>60776</v>
      </c>
      <c r="B1223" t="s">
        <v>988</v>
      </c>
      <c r="C1223" t="s">
        <v>1108</v>
      </c>
    </row>
    <row r="1224" spans="1:3" x14ac:dyDescent="0.4">
      <c r="A1224">
        <v>60777</v>
      </c>
      <c r="B1224" t="s">
        <v>988</v>
      </c>
      <c r="C1224" t="s">
        <v>1107</v>
      </c>
    </row>
    <row r="1225" spans="1:3" x14ac:dyDescent="0.4">
      <c r="A1225">
        <v>60780</v>
      </c>
      <c r="B1225" t="s">
        <v>988</v>
      </c>
      <c r="C1225" t="s">
        <v>1106</v>
      </c>
    </row>
    <row r="1226" spans="1:3" x14ac:dyDescent="0.4">
      <c r="A1226">
        <v>60781</v>
      </c>
      <c r="B1226" t="s">
        <v>988</v>
      </c>
      <c r="C1226" t="s">
        <v>1105</v>
      </c>
    </row>
    <row r="1227" spans="1:3" x14ac:dyDescent="0.4">
      <c r="A1227">
        <v>60784</v>
      </c>
      <c r="B1227" t="s">
        <v>988</v>
      </c>
      <c r="C1227" t="s">
        <v>1104</v>
      </c>
    </row>
    <row r="1228" spans="1:3" x14ac:dyDescent="0.4">
      <c r="A1228">
        <v>60785</v>
      </c>
      <c r="B1228" t="s">
        <v>988</v>
      </c>
      <c r="C1228" t="s">
        <v>1103</v>
      </c>
    </row>
    <row r="1229" spans="1:3" x14ac:dyDescent="0.4">
      <c r="A1229">
        <v>60786</v>
      </c>
      <c r="B1229" t="s">
        <v>988</v>
      </c>
      <c r="C1229" t="s">
        <v>1102</v>
      </c>
    </row>
    <row r="1230" spans="1:3" x14ac:dyDescent="0.4">
      <c r="A1230">
        <v>60787</v>
      </c>
      <c r="B1230" t="s">
        <v>988</v>
      </c>
      <c r="C1230" t="s">
        <v>1101</v>
      </c>
    </row>
    <row r="1231" spans="1:3" x14ac:dyDescent="0.4">
      <c r="A1231">
        <v>60788</v>
      </c>
      <c r="B1231" t="s">
        <v>988</v>
      </c>
      <c r="C1231" t="s">
        <v>1100</v>
      </c>
    </row>
    <row r="1232" spans="1:3" x14ac:dyDescent="0.4">
      <c r="A1232">
        <v>60789</v>
      </c>
      <c r="B1232" t="s">
        <v>988</v>
      </c>
      <c r="C1232" t="s">
        <v>1099</v>
      </c>
    </row>
    <row r="1233" spans="1:3" x14ac:dyDescent="0.4">
      <c r="A1233">
        <v>60790</v>
      </c>
      <c r="B1233" t="s">
        <v>988</v>
      </c>
      <c r="C1233" t="s">
        <v>1098</v>
      </c>
    </row>
    <row r="1234" spans="1:3" x14ac:dyDescent="0.4">
      <c r="A1234">
        <v>60791</v>
      </c>
      <c r="B1234" t="s">
        <v>988</v>
      </c>
      <c r="C1234" t="s">
        <v>1097</v>
      </c>
    </row>
    <row r="1235" spans="1:3" x14ac:dyDescent="0.4">
      <c r="A1235">
        <v>60792</v>
      </c>
      <c r="B1235" t="s">
        <v>988</v>
      </c>
      <c r="C1235" t="s">
        <v>1096</v>
      </c>
    </row>
    <row r="1236" spans="1:3" x14ac:dyDescent="0.4">
      <c r="A1236">
        <v>60793</v>
      </c>
      <c r="B1236" t="s">
        <v>988</v>
      </c>
      <c r="C1236" t="s">
        <v>1095</v>
      </c>
    </row>
    <row r="1237" spans="1:3" x14ac:dyDescent="0.4">
      <c r="A1237">
        <v>60794</v>
      </c>
      <c r="B1237" t="s">
        <v>988</v>
      </c>
      <c r="C1237" t="s">
        <v>1094</v>
      </c>
    </row>
    <row r="1238" spans="1:3" x14ac:dyDescent="0.4">
      <c r="A1238">
        <v>60795</v>
      </c>
      <c r="B1238" t="s">
        <v>988</v>
      </c>
      <c r="C1238" t="s">
        <v>1093</v>
      </c>
    </row>
    <row r="1239" spans="1:3" x14ac:dyDescent="0.4">
      <c r="A1239">
        <v>60796</v>
      </c>
      <c r="B1239" t="s">
        <v>988</v>
      </c>
      <c r="C1239" t="s">
        <v>1092</v>
      </c>
    </row>
    <row r="1240" spans="1:3" x14ac:dyDescent="0.4">
      <c r="A1240">
        <v>60797</v>
      </c>
      <c r="B1240" t="s">
        <v>988</v>
      </c>
      <c r="C1240" t="s">
        <v>1091</v>
      </c>
    </row>
    <row r="1241" spans="1:3" x14ac:dyDescent="0.4">
      <c r="A1241">
        <v>60798</v>
      </c>
      <c r="B1241" t="s">
        <v>988</v>
      </c>
      <c r="C1241" t="s">
        <v>1090</v>
      </c>
    </row>
    <row r="1242" spans="1:3" x14ac:dyDescent="0.4">
      <c r="A1242">
        <v>60799</v>
      </c>
      <c r="B1242" t="s">
        <v>988</v>
      </c>
      <c r="C1242" t="s">
        <v>1089</v>
      </c>
    </row>
    <row r="1243" spans="1:3" x14ac:dyDescent="0.4">
      <c r="A1243">
        <v>60800</v>
      </c>
      <c r="B1243" t="s">
        <v>988</v>
      </c>
      <c r="C1243" t="s">
        <v>1088</v>
      </c>
    </row>
    <row r="1244" spans="1:3" x14ac:dyDescent="0.4">
      <c r="A1244">
        <v>60801</v>
      </c>
      <c r="B1244" t="s">
        <v>988</v>
      </c>
      <c r="C1244" t="s">
        <v>1087</v>
      </c>
    </row>
    <row r="1245" spans="1:3" x14ac:dyDescent="0.4">
      <c r="A1245">
        <v>60802</v>
      </c>
      <c r="B1245" t="s">
        <v>988</v>
      </c>
      <c r="C1245" t="s">
        <v>1086</v>
      </c>
    </row>
    <row r="1246" spans="1:3" x14ac:dyDescent="0.4">
      <c r="A1246">
        <v>60803</v>
      </c>
      <c r="B1246" t="s">
        <v>988</v>
      </c>
      <c r="C1246" t="s">
        <v>1085</v>
      </c>
    </row>
    <row r="1247" spans="1:3" x14ac:dyDescent="0.4">
      <c r="A1247">
        <v>60804</v>
      </c>
      <c r="B1247" t="s">
        <v>988</v>
      </c>
      <c r="C1247" t="s">
        <v>1084</v>
      </c>
    </row>
    <row r="1248" spans="1:3" x14ac:dyDescent="0.4">
      <c r="A1248">
        <v>60805</v>
      </c>
      <c r="B1248" t="s">
        <v>988</v>
      </c>
      <c r="C1248" t="s">
        <v>1083</v>
      </c>
    </row>
    <row r="1249" spans="1:3" x14ac:dyDescent="0.4">
      <c r="A1249">
        <v>60806</v>
      </c>
      <c r="B1249" t="s">
        <v>988</v>
      </c>
      <c r="C1249" t="s">
        <v>1082</v>
      </c>
    </row>
    <row r="1250" spans="1:3" x14ac:dyDescent="0.4">
      <c r="A1250">
        <v>60807</v>
      </c>
      <c r="B1250" t="s">
        <v>988</v>
      </c>
      <c r="C1250" t="s">
        <v>1081</v>
      </c>
    </row>
    <row r="1251" spans="1:3" x14ac:dyDescent="0.4">
      <c r="A1251">
        <v>60808</v>
      </c>
      <c r="B1251" t="s">
        <v>988</v>
      </c>
      <c r="C1251" t="s">
        <v>1080</v>
      </c>
    </row>
    <row r="1252" spans="1:3" x14ac:dyDescent="0.4">
      <c r="A1252">
        <v>60809</v>
      </c>
      <c r="B1252" t="s">
        <v>988</v>
      </c>
      <c r="C1252" t="s">
        <v>1079</v>
      </c>
    </row>
    <row r="1253" spans="1:3" x14ac:dyDescent="0.4">
      <c r="A1253">
        <v>60810</v>
      </c>
      <c r="B1253" t="s">
        <v>988</v>
      </c>
      <c r="C1253" t="s">
        <v>1078</v>
      </c>
    </row>
    <row r="1254" spans="1:3" x14ac:dyDescent="0.4">
      <c r="A1254">
        <v>60811</v>
      </c>
      <c r="B1254" t="s">
        <v>988</v>
      </c>
      <c r="C1254" t="s">
        <v>1077</v>
      </c>
    </row>
    <row r="1255" spans="1:3" x14ac:dyDescent="0.4">
      <c r="A1255">
        <v>60812</v>
      </c>
      <c r="B1255" t="s">
        <v>988</v>
      </c>
      <c r="C1255" t="s">
        <v>1076</v>
      </c>
    </row>
    <row r="1256" spans="1:3" x14ac:dyDescent="0.4">
      <c r="A1256">
        <v>60813</v>
      </c>
      <c r="B1256" t="s">
        <v>988</v>
      </c>
      <c r="C1256" t="s">
        <v>1075</v>
      </c>
    </row>
    <row r="1257" spans="1:3" x14ac:dyDescent="0.4">
      <c r="A1257">
        <v>60814</v>
      </c>
      <c r="B1257" t="s">
        <v>988</v>
      </c>
      <c r="C1257" t="s">
        <v>1074</v>
      </c>
    </row>
    <row r="1258" spans="1:3" x14ac:dyDescent="0.4">
      <c r="A1258">
        <v>60815</v>
      </c>
      <c r="B1258" t="s">
        <v>988</v>
      </c>
      <c r="C1258" t="s">
        <v>1073</v>
      </c>
    </row>
    <row r="1259" spans="1:3" x14ac:dyDescent="0.4">
      <c r="A1259">
        <v>60816</v>
      </c>
      <c r="B1259" t="s">
        <v>988</v>
      </c>
      <c r="C1259" t="s">
        <v>1072</v>
      </c>
    </row>
    <row r="1260" spans="1:3" x14ac:dyDescent="0.4">
      <c r="A1260">
        <v>60817</v>
      </c>
      <c r="B1260" t="s">
        <v>988</v>
      </c>
      <c r="C1260" t="s">
        <v>1071</v>
      </c>
    </row>
    <row r="1261" spans="1:3" x14ac:dyDescent="0.4">
      <c r="A1261">
        <v>60818</v>
      </c>
      <c r="B1261" t="s">
        <v>988</v>
      </c>
      <c r="C1261" t="s">
        <v>1070</v>
      </c>
    </row>
    <row r="1262" spans="1:3" x14ac:dyDescent="0.4">
      <c r="A1262">
        <v>60819</v>
      </c>
      <c r="B1262" t="s">
        <v>988</v>
      </c>
      <c r="C1262" t="s">
        <v>1069</v>
      </c>
    </row>
    <row r="1263" spans="1:3" x14ac:dyDescent="0.4">
      <c r="A1263">
        <v>60823</v>
      </c>
      <c r="B1263" t="s">
        <v>988</v>
      </c>
      <c r="C1263" t="s">
        <v>1068</v>
      </c>
    </row>
    <row r="1264" spans="1:3" x14ac:dyDescent="0.4">
      <c r="A1264">
        <v>60824</v>
      </c>
      <c r="B1264" t="s">
        <v>988</v>
      </c>
      <c r="C1264" t="s">
        <v>1067</v>
      </c>
    </row>
    <row r="1265" spans="1:3" x14ac:dyDescent="0.4">
      <c r="A1265">
        <v>60825</v>
      </c>
      <c r="B1265" t="s">
        <v>988</v>
      </c>
      <c r="C1265" t="s">
        <v>1066</v>
      </c>
    </row>
    <row r="1266" spans="1:3" x14ac:dyDescent="0.4">
      <c r="A1266">
        <v>60826</v>
      </c>
      <c r="B1266" t="s">
        <v>988</v>
      </c>
      <c r="C1266" t="s">
        <v>1065</v>
      </c>
    </row>
    <row r="1267" spans="1:3" x14ac:dyDescent="0.4">
      <c r="A1267">
        <v>62768</v>
      </c>
      <c r="B1267" t="s">
        <v>988</v>
      </c>
      <c r="C1267" t="s">
        <v>1064</v>
      </c>
    </row>
    <row r="1268" spans="1:3" x14ac:dyDescent="0.4">
      <c r="A1268">
        <v>62769</v>
      </c>
      <c r="B1268" t="s">
        <v>988</v>
      </c>
      <c r="C1268" t="s">
        <v>1063</v>
      </c>
    </row>
    <row r="1269" spans="1:3" x14ac:dyDescent="0.4">
      <c r="A1269">
        <v>62770</v>
      </c>
      <c r="B1269" t="s">
        <v>988</v>
      </c>
      <c r="C1269" t="s">
        <v>1062</v>
      </c>
    </row>
    <row r="1270" spans="1:3" x14ac:dyDescent="0.4">
      <c r="A1270">
        <v>62771</v>
      </c>
      <c r="B1270" t="s">
        <v>988</v>
      </c>
      <c r="C1270" t="s">
        <v>1061</v>
      </c>
    </row>
    <row r="1271" spans="1:3" x14ac:dyDescent="0.4">
      <c r="A1271">
        <v>62774</v>
      </c>
      <c r="B1271" t="s">
        <v>988</v>
      </c>
      <c r="C1271" t="s">
        <v>1060</v>
      </c>
    </row>
    <row r="1272" spans="1:3" x14ac:dyDescent="0.4">
      <c r="A1272">
        <v>62775</v>
      </c>
      <c r="B1272" t="s">
        <v>988</v>
      </c>
      <c r="C1272" t="s">
        <v>1059</v>
      </c>
    </row>
    <row r="1273" spans="1:3" x14ac:dyDescent="0.4">
      <c r="A1273">
        <v>62776</v>
      </c>
      <c r="B1273" t="s">
        <v>988</v>
      </c>
      <c r="C1273" t="s">
        <v>1058</v>
      </c>
    </row>
    <row r="1274" spans="1:3" x14ac:dyDescent="0.4">
      <c r="A1274">
        <v>62777</v>
      </c>
      <c r="B1274" t="s">
        <v>988</v>
      </c>
      <c r="C1274" t="s">
        <v>1057</v>
      </c>
    </row>
    <row r="1275" spans="1:3" x14ac:dyDescent="0.4">
      <c r="A1275">
        <v>62780</v>
      </c>
      <c r="B1275" t="s">
        <v>988</v>
      </c>
      <c r="C1275" t="s">
        <v>1056</v>
      </c>
    </row>
    <row r="1276" spans="1:3" x14ac:dyDescent="0.4">
      <c r="A1276">
        <v>62781</v>
      </c>
      <c r="B1276" t="s">
        <v>988</v>
      </c>
      <c r="C1276" t="s">
        <v>1055</v>
      </c>
    </row>
    <row r="1277" spans="1:3" x14ac:dyDescent="0.4">
      <c r="A1277">
        <v>62784</v>
      </c>
      <c r="B1277" t="s">
        <v>988</v>
      </c>
      <c r="C1277" t="s">
        <v>1054</v>
      </c>
    </row>
    <row r="1278" spans="1:3" x14ac:dyDescent="0.4">
      <c r="A1278">
        <v>62785</v>
      </c>
      <c r="B1278" t="s">
        <v>988</v>
      </c>
      <c r="C1278" t="s">
        <v>1053</v>
      </c>
    </row>
    <row r="1279" spans="1:3" x14ac:dyDescent="0.4">
      <c r="A1279">
        <v>62786</v>
      </c>
      <c r="B1279" t="s">
        <v>988</v>
      </c>
      <c r="C1279" t="s">
        <v>1052</v>
      </c>
    </row>
    <row r="1280" spans="1:3" x14ac:dyDescent="0.4">
      <c r="A1280">
        <v>62787</v>
      </c>
      <c r="B1280" t="s">
        <v>988</v>
      </c>
      <c r="C1280" t="s">
        <v>1051</v>
      </c>
    </row>
    <row r="1281" spans="1:3" x14ac:dyDescent="0.4">
      <c r="A1281">
        <v>62788</v>
      </c>
      <c r="B1281" t="s">
        <v>988</v>
      </c>
      <c r="C1281" t="s">
        <v>1050</v>
      </c>
    </row>
    <row r="1282" spans="1:3" x14ac:dyDescent="0.4">
      <c r="A1282">
        <v>62789</v>
      </c>
      <c r="B1282" t="s">
        <v>988</v>
      </c>
      <c r="C1282" t="s">
        <v>1049</v>
      </c>
    </row>
    <row r="1283" spans="1:3" x14ac:dyDescent="0.4">
      <c r="A1283">
        <v>62790</v>
      </c>
      <c r="B1283" t="s">
        <v>988</v>
      </c>
      <c r="C1283" t="s">
        <v>1048</v>
      </c>
    </row>
    <row r="1284" spans="1:3" x14ac:dyDescent="0.4">
      <c r="A1284">
        <v>62791</v>
      </c>
      <c r="B1284" t="s">
        <v>988</v>
      </c>
      <c r="C1284" t="s">
        <v>1047</v>
      </c>
    </row>
    <row r="1285" spans="1:3" x14ac:dyDescent="0.4">
      <c r="A1285">
        <v>62792</v>
      </c>
      <c r="B1285" t="s">
        <v>988</v>
      </c>
      <c r="C1285" t="s">
        <v>1046</v>
      </c>
    </row>
    <row r="1286" spans="1:3" x14ac:dyDescent="0.4">
      <c r="A1286">
        <v>62793</v>
      </c>
      <c r="B1286" t="s">
        <v>988</v>
      </c>
      <c r="C1286" t="s">
        <v>1045</v>
      </c>
    </row>
    <row r="1287" spans="1:3" x14ac:dyDescent="0.4">
      <c r="A1287">
        <v>62794</v>
      </c>
      <c r="B1287" t="s">
        <v>988</v>
      </c>
      <c r="C1287" t="s">
        <v>1044</v>
      </c>
    </row>
    <row r="1288" spans="1:3" x14ac:dyDescent="0.4">
      <c r="A1288">
        <v>62795</v>
      </c>
      <c r="B1288" t="s">
        <v>988</v>
      </c>
      <c r="C1288" t="s">
        <v>1043</v>
      </c>
    </row>
    <row r="1289" spans="1:3" x14ac:dyDescent="0.4">
      <c r="A1289">
        <v>62796</v>
      </c>
      <c r="B1289" t="s">
        <v>988</v>
      </c>
      <c r="C1289" t="s">
        <v>1042</v>
      </c>
    </row>
    <row r="1290" spans="1:3" x14ac:dyDescent="0.4">
      <c r="A1290">
        <v>62797</v>
      </c>
      <c r="B1290" t="s">
        <v>988</v>
      </c>
      <c r="C1290" t="s">
        <v>1041</v>
      </c>
    </row>
    <row r="1291" spans="1:3" x14ac:dyDescent="0.4">
      <c r="A1291">
        <v>62798</v>
      </c>
      <c r="B1291" t="s">
        <v>988</v>
      </c>
      <c r="C1291" t="s">
        <v>1040</v>
      </c>
    </row>
    <row r="1292" spans="1:3" x14ac:dyDescent="0.4">
      <c r="A1292">
        <v>62799</v>
      </c>
      <c r="B1292" t="s">
        <v>988</v>
      </c>
      <c r="C1292" t="s">
        <v>1039</v>
      </c>
    </row>
    <row r="1293" spans="1:3" x14ac:dyDescent="0.4">
      <c r="A1293">
        <v>62800</v>
      </c>
      <c r="B1293" t="s">
        <v>988</v>
      </c>
      <c r="C1293" t="s">
        <v>1038</v>
      </c>
    </row>
    <row r="1294" spans="1:3" x14ac:dyDescent="0.4">
      <c r="A1294">
        <v>62801</v>
      </c>
      <c r="B1294" t="s">
        <v>988</v>
      </c>
      <c r="C1294" t="s">
        <v>1037</v>
      </c>
    </row>
    <row r="1295" spans="1:3" x14ac:dyDescent="0.4">
      <c r="A1295">
        <v>62802</v>
      </c>
      <c r="B1295" t="s">
        <v>988</v>
      </c>
      <c r="C1295" t="s">
        <v>1036</v>
      </c>
    </row>
    <row r="1296" spans="1:3" x14ac:dyDescent="0.4">
      <c r="A1296">
        <v>62803</v>
      </c>
      <c r="B1296" t="s">
        <v>988</v>
      </c>
      <c r="C1296" t="s">
        <v>1035</v>
      </c>
    </row>
    <row r="1297" spans="1:3" x14ac:dyDescent="0.4">
      <c r="A1297">
        <v>62804</v>
      </c>
      <c r="B1297" t="s">
        <v>988</v>
      </c>
      <c r="C1297" t="s">
        <v>1034</v>
      </c>
    </row>
    <row r="1298" spans="1:3" x14ac:dyDescent="0.4">
      <c r="A1298">
        <v>62805</v>
      </c>
      <c r="B1298" t="s">
        <v>988</v>
      </c>
      <c r="C1298" t="s">
        <v>1033</v>
      </c>
    </row>
    <row r="1299" spans="1:3" x14ac:dyDescent="0.4">
      <c r="A1299">
        <v>62806</v>
      </c>
      <c r="B1299" t="s">
        <v>988</v>
      </c>
      <c r="C1299" t="s">
        <v>1032</v>
      </c>
    </row>
    <row r="1300" spans="1:3" x14ac:dyDescent="0.4">
      <c r="A1300">
        <v>62807</v>
      </c>
      <c r="B1300" t="s">
        <v>988</v>
      </c>
      <c r="C1300" t="s">
        <v>1031</v>
      </c>
    </row>
    <row r="1301" spans="1:3" x14ac:dyDescent="0.4">
      <c r="A1301">
        <v>62808</v>
      </c>
      <c r="B1301" t="s">
        <v>988</v>
      </c>
      <c r="C1301" t="s">
        <v>1030</v>
      </c>
    </row>
    <row r="1302" spans="1:3" x14ac:dyDescent="0.4">
      <c r="A1302">
        <v>62809</v>
      </c>
      <c r="B1302" t="s">
        <v>988</v>
      </c>
      <c r="C1302" t="s">
        <v>1029</v>
      </c>
    </row>
    <row r="1303" spans="1:3" x14ac:dyDescent="0.4">
      <c r="A1303">
        <v>62810</v>
      </c>
      <c r="B1303" t="s">
        <v>988</v>
      </c>
      <c r="C1303" t="s">
        <v>1028</v>
      </c>
    </row>
    <row r="1304" spans="1:3" x14ac:dyDescent="0.4">
      <c r="A1304">
        <v>62811</v>
      </c>
      <c r="B1304" t="s">
        <v>988</v>
      </c>
      <c r="C1304" t="s">
        <v>1027</v>
      </c>
    </row>
    <row r="1305" spans="1:3" x14ac:dyDescent="0.4">
      <c r="A1305">
        <v>62812</v>
      </c>
      <c r="B1305" t="s">
        <v>988</v>
      </c>
      <c r="C1305" t="s">
        <v>1026</v>
      </c>
    </row>
    <row r="1306" spans="1:3" x14ac:dyDescent="0.4">
      <c r="A1306">
        <v>62813</v>
      </c>
      <c r="B1306" t="s">
        <v>988</v>
      </c>
      <c r="C1306" t="s">
        <v>1025</v>
      </c>
    </row>
    <row r="1307" spans="1:3" x14ac:dyDescent="0.4">
      <c r="A1307">
        <v>62814</v>
      </c>
      <c r="B1307" t="s">
        <v>988</v>
      </c>
      <c r="C1307" t="s">
        <v>1024</v>
      </c>
    </row>
    <row r="1308" spans="1:3" x14ac:dyDescent="0.4">
      <c r="A1308">
        <v>62815</v>
      </c>
      <c r="B1308" t="s">
        <v>988</v>
      </c>
      <c r="C1308" t="s">
        <v>1023</v>
      </c>
    </row>
    <row r="1309" spans="1:3" x14ac:dyDescent="0.4">
      <c r="A1309">
        <v>62816</v>
      </c>
      <c r="B1309" t="s">
        <v>988</v>
      </c>
      <c r="C1309" t="s">
        <v>1022</v>
      </c>
    </row>
    <row r="1310" spans="1:3" x14ac:dyDescent="0.4">
      <c r="A1310">
        <v>62817</v>
      </c>
      <c r="B1310" t="s">
        <v>988</v>
      </c>
      <c r="C1310" t="s">
        <v>1021</v>
      </c>
    </row>
    <row r="1311" spans="1:3" x14ac:dyDescent="0.4">
      <c r="A1311">
        <v>62818</v>
      </c>
      <c r="B1311" t="s">
        <v>988</v>
      </c>
      <c r="C1311" t="s">
        <v>1020</v>
      </c>
    </row>
    <row r="1312" spans="1:3" x14ac:dyDescent="0.4">
      <c r="A1312">
        <v>62819</v>
      </c>
      <c r="B1312" t="s">
        <v>988</v>
      </c>
      <c r="C1312" t="s">
        <v>1019</v>
      </c>
    </row>
    <row r="1313" spans="1:3" x14ac:dyDescent="0.4">
      <c r="A1313">
        <v>62823</v>
      </c>
      <c r="B1313" t="s">
        <v>988</v>
      </c>
      <c r="C1313" t="s">
        <v>1018</v>
      </c>
    </row>
    <row r="1314" spans="1:3" x14ac:dyDescent="0.4">
      <c r="A1314">
        <v>62824</v>
      </c>
      <c r="B1314" t="s">
        <v>988</v>
      </c>
      <c r="C1314" t="s">
        <v>1017</v>
      </c>
    </row>
    <row r="1315" spans="1:3" x14ac:dyDescent="0.4">
      <c r="A1315">
        <v>62825</v>
      </c>
      <c r="B1315" t="s">
        <v>988</v>
      </c>
      <c r="C1315" t="s">
        <v>1016</v>
      </c>
    </row>
    <row r="1316" spans="1:3" x14ac:dyDescent="0.4">
      <c r="A1316">
        <v>62826</v>
      </c>
      <c r="B1316" t="s">
        <v>988</v>
      </c>
      <c r="C1316" t="s">
        <v>1015</v>
      </c>
    </row>
    <row r="1317" spans="1:3" x14ac:dyDescent="0.4">
      <c r="A1317">
        <v>64120</v>
      </c>
      <c r="B1317" t="s">
        <v>988</v>
      </c>
      <c r="C1317" t="s">
        <v>1014</v>
      </c>
    </row>
    <row r="1318" spans="1:3" x14ac:dyDescent="0.4">
      <c r="A1318">
        <v>64121</v>
      </c>
      <c r="B1318" t="s">
        <v>988</v>
      </c>
      <c r="C1318" t="s">
        <v>1013</v>
      </c>
    </row>
    <row r="1319" spans="1:3" x14ac:dyDescent="0.4">
      <c r="A1319">
        <v>64122</v>
      </c>
      <c r="B1319" t="s">
        <v>988</v>
      </c>
      <c r="C1319" t="s">
        <v>1012</v>
      </c>
    </row>
    <row r="1320" spans="1:3" x14ac:dyDescent="0.4">
      <c r="A1320">
        <v>64123</v>
      </c>
      <c r="B1320" t="s">
        <v>988</v>
      </c>
      <c r="C1320" t="s">
        <v>1011</v>
      </c>
    </row>
    <row r="1321" spans="1:3" x14ac:dyDescent="0.4">
      <c r="A1321">
        <v>64124</v>
      </c>
      <c r="B1321" t="s">
        <v>988</v>
      </c>
      <c r="C1321" t="s">
        <v>1010</v>
      </c>
    </row>
    <row r="1322" spans="1:3" x14ac:dyDescent="0.4">
      <c r="A1322">
        <v>64125</v>
      </c>
      <c r="B1322" t="s">
        <v>988</v>
      </c>
      <c r="C1322" t="s">
        <v>1009</v>
      </c>
    </row>
    <row r="1323" spans="1:3" x14ac:dyDescent="0.4">
      <c r="A1323">
        <v>64126</v>
      </c>
      <c r="B1323" t="s">
        <v>988</v>
      </c>
      <c r="C1323" t="s">
        <v>1008</v>
      </c>
    </row>
    <row r="1324" spans="1:3" x14ac:dyDescent="0.4">
      <c r="A1324">
        <v>64127</v>
      </c>
      <c r="B1324" t="s">
        <v>988</v>
      </c>
      <c r="C1324" t="s">
        <v>1007</v>
      </c>
    </row>
    <row r="1325" spans="1:3" x14ac:dyDescent="0.4">
      <c r="A1325">
        <v>64128</v>
      </c>
      <c r="B1325" t="s">
        <v>988</v>
      </c>
      <c r="C1325" t="s">
        <v>1006</v>
      </c>
    </row>
    <row r="1326" spans="1:3" x14ac:dyDescent="0.4">
      <c r="A1326">
        <v>64129</v>
      </c>
      <c r="B1326" t="s">
        <v>988</v>
      </c>
      <c r="C1326" t="s">
        <v>1005</v>
      </c>
    </row>
    <row r="1327" spans="1:3" x14ac:dyDescent="0.4">
      <c r="A1327">
        <v>64130</v>
      </c>
      <c r="B1327" t="s">
        <v>988</v>
      </c>
      <c r="C1327" t="s">
        <v>1004</v>
      </c>
    </row>
    <row r="1328" spans="1:3" x14ac:dyDescent="0.4">
      <c r="A1328">
        <v>65120</v>
      </c>
      <c r="B1328" t="s">
        <v>988</v>
      </c>
      <c r="C1328" t="s">
        <v>1003</v>
      </c>
    </row>
    <row r="1329" spans="1:3" x14ac:dyDescent="0.4">
      <c r="A1329">
        <v>65121</v>
      </c>
      <c r="B1329" t="s">
        <v>988</v>
      </c>
      <c r="C1329" t="s">
        <v>1002</v>
      </c>
    </row>
    <row r="1330" spans="1:3" x14ac:dyDescent="0.4">
      <c r="A1330">
        <v>65122</v>
      </c>
      <c r="B1330" t="s">
        <v>988</v>
      </c>
      <c r="C1330" t="s">
        <v>1001</v>
      </c>
    </row>
    <row r="1331" spans="1:3" x14ac:dyDescent="0.4">
      <c r="A1331">
        <v>65123</v>
      </c>
      <c r="B1331" t="s">
        <v>988</v>
      </c>
      <c r="C1331" t="s">
        <v>1000</v>
      </c>
    </row>
    <row r="1332" spans="1:3" x14ac:dyDescent="0.4">
      <c r="A1332">
        <v>65124</v>
      </c>
      <c r="B1332" t="s">
        <v>988</v>
      </c>
      <c r="C1332" t="s">
        <v>999</v>
      </c>
    </row>
    <row r="1333" spans="1:3" x14ac:dyDescent="0.4">
      <c r="A1333">
        <v>65125</v>
      </c>
      <c r="B1333" t="s">
        <v>988</v>
      </c>
      <c r="C1333" t="s">
        <v>998</v>
      </c>
    </row>
    <row r="1334" spans="1:3" x14ac:dyDescent="0.4">
      <c r="A1334">
        <v>65126</v>
      </c>
      <c r="B1334" t="s">
        <v>988</v>
      </c>
      <c r="C1334" t="s">
        <v>997</v>
      </c>
    </row>
    <row r="1335" spans="1:3" x14ac:dyDescent="0.4">
      <c r="A1335">
        <v>65127</v>
      </c>
      <c r="B1335" t="s">
        <v>988</v>
      </c>
      <c r="C1335" t="s">
        <v>996</v>
      </c>
    </row>
    <row r="1336" spans="1:3" x14ac:dyDescent="0.4">
      <c r="A1336">
        <v>65128</v>
      </c>
      <c r="B1336" t="s">
        <v>988</v>
      </c>
      <c r="C1336" t="s">
        <v>995</v>
      </c>
    </row>
    <row r="1337" spans="1:3" x14ac:dyDescent="0.4">
      <c r="A1337">
        <v>65129</v>
      </c>
      <c r="B1337" t="s">
        <v>988</v>
      </c>
      <c r="C1337" t="s">
        <v>994</v>
      </c>
    </row>
    <row r="1338" spans="1:3" x14ac:dyDescent="0.4">
      <c r="A1338">
        <v>65130</v>
      </c>
      <c r="B1338" t="s">
        <v>988</v>
      </c>
      <c r="C1338" t="s">
        <v>993</v>
      </c>
    </row>
    <row r="1339" spans="1:3" x14ac:dyDescent="0.4">
      <c r="A1339">
        <v>68000</v>
      </c>
      <c r="B1339" t="s">
        <v>988</v>
      </c>
      <c r="C1339" t="s">
        <v>992</v>
      </c>
    </row>
    <row r="1340" spans="1:3" x14ac:dyDescent="0.4">
      <c r="A1340">
        <v>68001</v>
      </c>
      <c r="B1340" t="s">
        <v>988</v>
      </c>
      <c r="C1340" t="s">
        <v>991</v>
      </c>
    </row>
    <row r="1341" spans="1:3" x14ac:dyDescent="0.4">
      <c r="A1341">
        <v>68002</v>
      </c>
      <c r="B1341" t="s">
        <v>988</v>
      </c>
      <c r="C1341" t="s">
        <v>990</v>
      </c>
    </row>
    <row r="1342" spans="1:3" x14ac:dyDescent="0.4">
      <c r="A1342">
        <v>68003</v>
      </c>
      <c r="B1342" t="s">
        <v>988</v>
      </c>
      <c r="C1342" t="s">
        <v>989</v>
      </c>
    </row>
    <row r="1343" spans="1:3" x14ac:dyDescent="0.4">
      <c r="A1343">
        <v>68004</v>
      </c>
      <c r="B1343" t="s">
        <v>988</v>
      </c>
      <c r="C1343" t="s">
        <v>701</v>
      </c>
    </row>
    <row r="1344" spans="1:3" x14ac:dyDescent="0.4">
      <c r="A1344">
        <v>68005</v>
      </c>
      <c r="B1344" t="s">
        <v>988</v>
      </c>
      <c r="C1344" t="s">
        <v>700</v>
      </c>
    </row>
    <row r="1345" spans="1:3" x14ac:dyDescent="0.4">
      <c r="A1345">
        <v>68006</v>
      </c>
      <c r="B1345" t="s">
        <v>988</v>
      </c>
      <c r="C1345" t="s">
        <v>699</v>
      </c>
    </row>
    <row r="1346" spans="1:3" x14ac:dyDescent="0.4">
      <c r="A1346">
        <v>68007</v>
      </c>
      <c r="B1346" t="s">
        <v>988</v>
      </c>
      <c r="C1346" t="s">
        <v>698</v>
      </c>
    </row>
    <row r="1347" spans="1:3" x14ac:dyDescent="0.4">
      <c r="A1347">
        <v>68008</v>
      </c>
      <c r="B1347" t="s">
        <v>988</v>
      </c>
      <c r="C1347" t="s">
        <v>697</v>
      </c>
    </row>
    <row r="1348" spans="1:3" x14ac:dyDescent="0.4">
      <c r="A1348">
        <v>68009</v>
      </c>
      <c r="B1348" t="s">
        <v>988</v>
      </c>
      <c r="C1348" t="s">
        <v>696</v>
      </c>
    </row>
    <row r="1349" spans="1:3" x14ac:dyDescent="0.4">
      <c r="A1349">
        <v>68010</v>
      </c>
      <c r="B1349" t="s">
        <v>988</v>
      </c>
      <c r="C1349" t="s">
        <v>695</v>
      </c>
    </row>
    <row r="1350" spans="1:3" x14ac:dyDescent="0.4">
      <c r="A1350">
        <v>68011</v>
      </c>
      <c r="B1350" t="s">
        <v>988</v>
      </c>
      <c r="C1350" t="s">
        <v>694</v>
      </c>
    </row>
    <row r="1351" spans="1:3" x14ac:dyDescent="0.4">
      <c r="A1351">
        <v>68012</v>
      </c>
      <c r="B1351" t="s">
        <v>988</v>
      </c>
      <c r="C1351" t="s">
        <v>693</v>
      </c>
    </row>
    <row r="1352" spans="1:3" x14ac:dyDescent="0.4">
      <c r="A1352">
        <v>68013</v>
      </c>
      <c r="B1352" t="s">
        <v>988</v>
      </c>
      <c r="C1352" t="s">
        <v>691</v>
      </c>
    </row>
    <row r="1353" spans="1:3" x14ac:dyDescent="0.4">
      <c r="A1353">
        <v>70868</v>
      </c>
      <c r="B1353" t="s">
        <v>825</v>
      </c>
      <c r="C1353" t="s">
        <v>987</v>
      </c>
    </row>
    <row r="1354" spans="1:3" x14ac:dyDescent="0.4">
      <c r="A1354">
        <v>70869</v>
      </c>
      <c r="B1354" t="s">
        <v>825</v>
      </c>
      <c r="C1354" t="s">
        <v>986</v>
      </c>
    </row>
    <row r="1355" spans="1:3" x14ac:dyDescent="0.4">
      <c r="A1355">
        <v>70874</v>
      </c>
      <c r="B1355" t="s">
        <v>825</v>
      </c>
      <c r="C1355" t="s">
        <v>985</v>
      </c>
    </row>
    <row r="1356" spans="1:3" x14ac:dyDescent="0.4">
      <c r="A1356">
        <v>70875</v>
      </c>
      <c r="B1356" t="s">
        <v>825</v>
      </c>
      <c r="C1356" t="s">
        <v>984</v>
      </c>
    </row>
    <row r="1357" spans="1:3" x14ac:dyDescent="0.4">
      <c r="A1357">
        <v>70928</v>
      </c>
      <c r="B1357" t="s">
        <v>825</v>
      </c>
      <c r="C1357" t="s">
        <v>983</v>
      </c>
    </row>
    <row r="1358" spans="1:3" x14ac:dyDescent="0.4">
      <c r="A1358">
        <v>70929</v>
      </c>
      <c r="B1358" t="s">
        <v>825</v>
      </c>
      <c r="C1358" t="s">
        <v>982</v>
      </c>
    </row>
    <row r="1359" spans="1:3" x14ac:dyDescent="0.4">
      <c r="A1359">
        <v>70930</v>
      </c>
      <c r="B1359" t="s">
        <v>825</v>
      </c>
      <c r="C1359" t="s">
        <v>981</v>
      </c>
    </row>
    <row r="1360" spans="1:3" x14ac:dyDescent="0.4">
      <c r="A1360">
        <v>70931</v>
      </c>
      <c r="B1360" t="s">
        <v>825</v>
      </c>
      <c r="C1360" t="s">
        <v>980</v>
      </c>
    </row>
    <row r="1361" spans="1:3" x14ac:dyDescent="0.4">
      <c r="A1361">
        <v>70932</v>
      </c>
      <c r="B1361" t="s">
        <v>825</v>
      </c>
      <c r="C1361" t="s">
        <v>979</v>
      </c>
    </row>
    <row r="1362" spans="1:3" x14ac:dyDescent="0.4">
      <c r="A1362">
        <v>70933</v>
      </c>
      <c r="B1362" t="s">
        <v>825</v>
      </c>
      <c r="C1362" t="s">
        <v>978</v>
      </c>
    </row>
    <row r="1363" spans="1:3" x14ac:dyDescent="0.4">
      <c r="A1363">
        <v>70936</v>
      </c>
      <c r="B1363" t="s">
        <v>825</v>
      </c>
      <c r="C1363" t="s">
        <v>977</v>
      </c>
    </row>
    <row r="1364" spans="1:3" x14ac:dyDescent="0.4">
      <c r="A1364">
        <v>70937</v>
      </c>
      <c r="B1364" t="s">
        <v>825</v>
      </c>
      <c r="C1364" t="s">
        <v>976</v>
      </c>
    </row>
    <row r="1365" spans="1:3" x14ac:dyDescent="0.4">
      <c r="A1365">
        <v>70938</v>
      </c>
      <c r="B1365" t="s">
        <v>825</v>
      </c>
      <c r="C1365" t="s">
        <v>975</v>
      </c>
    </row>
    <row r="1366" spans="1:3" x14ac:dyDescent="0.4">
      <c r="A1366">
        <v>70939</v>
      </c>
      <c r="B1366" t="s">
        <v>825</v>
      </c>
      <c r="C1366" t="s">
        <v>974</v>
      </c>
    </row>
    <row r="1367" spans="1:3" x14ac:dyDescent="0.4">
      <c r="A1367">
        <v>70940</v>
      </c>
      <c r="B1367" t="s">
        <v>825</v>
      </c>
      <c r="C1367" t="s">
        <v>973</v>
      </c>
    </row>
    <row r="1368" spans="1:3" x14ac:dyDescent="0.4">
      <c r="A1368">
        <v>70941</v>
      </c>
      <c r="B1368" t="s">
        <v>825</v>
      </c>
      <c r="C1368" t="s">
        <v>972</v>
      </c>
    </row>
    <row r="1369" spans="1:3" x14ac:dyDescent="0.4">
      <c r="A1369">
        <v>70944</v>
      </c>
      <c r="B1369" t="s">
        <v>825</v>
      </c>
      <c r="C1369" t="s">
        <v>971</v>
      </c>
    </row>
    <row r="1370" spans="1:3" x14ac:dyDescent="0.4">
      <c r="A1370">
        <v>70945</v>
      </c>
      <c r="B1370" t="s">
        <v>825</v>
      </c>
      <c r="C1370" t="s">
        <v>970</v>
      </c>
    </row>
    <row r="1371" spans="1:3" x14ac:dyDescent="0.4">
      <c r="A1371">
        <v>70946</v>
      </c>
      <c r="B1371" t="s">
        <v>825</v>
      </c>
      <c r="C1371" t="s">
        <v>969</v>
      </c>
    </row>
    <row r="1372" spans="1:3" x14ac:dyDescent="0.4">
      <c r="A1372">
        <v>70947</v>
      </c>
      <c r="B1372" t="s">
        <v>825</v>
      </c>
      <c r="C1372" t="s">
        <v>968</v>
      </c>
    </row>
    <row r="1373" spans="1:3" x14ac:dyDescent="0.4">
      <c r="A1373">
        <v>70950</v>
      </c>
      <c r="B1373" t="s">
        <v>825</v>
      </c>
      <c r="C1373" t="s">
        <v>967</v>
      </c>
    </row>
    <row r="1374" spans="1:3" x14ac:dyDescent="0.4">
      <c r="A1374">
        <v>70951</v>
      </c>
      <c r="B1374" t="s">
        <v>825</v>
      </c>
      <c r="C1374" t="s">
        <v>966</v>
      </c>
    </row>
    <row r="1375" spans="1:3" x14ac:dyDescent="0.4">
      <c r="A1375">
        <v>70952</v>
      </c>
      <c r="B1375" t="s">
        <v>825</v>
      </c>
      <c r="C1375" t="s">
        <v>965</v>
      </c>
    </row>
    <row r="1376" spans="1:3" x14ac:dyDescent="0.4">
      <c r="A1376">
        <v>70953</v>
      </c>
      <c r="B1376" t="s">
        <v>825</v>
      </c>
      <c r="C1376" t="s">
        <v>964</v>
      </c>
    </row>
    <row r="1377" spans="1:3" x14ac:dyDescent="0.4">
      <c r="A1377">
        <v>70960</v>
      </c>
      <c r="B1377" t="s">
        <v>825</v>
      </c>
      <c r="C1377" t="s">
        <v>963</v>
      </c>
    </row>
    <row r="1378" spans="1:3" x14ac:dyDescent="0.4">
      <c r="A1378">
        <v>70961</v>
      </c>
      <c r="B1378" t="s">
        <v>825</v>
      </c>
      <c r="C1378" t="s">
        <v>962</v>
      </c>
    </row>
    <row r="1379" spans="1:3" x14ac:dyDescent="0.4">
      <c r="A1379">
        <v>70962</v>
      </c>
      <c r="B1379" t="s">
        <v>825</v>
      </c>
      <c r="C1379" t="s">
        <v>961</v>
      </c>
    </row>
    <row r="1380" spans="1:3" x14ac:dyDescent="0.4">
      <c r="A1380">
        <v>70963</v>
      </c>
      <c r="B1380" t="s">
        <v>825</v>
      </c>
      <c r="C1380" t="s">
        <v>960</v>
      </c>
    </row>
    <row r="1381" spans="1:3" x14ac:dyDescent="0.4">
      <c r="A1381">
        <v>70964</v>
      </c>
      <c r="B1381" t="s">
        <v>825</v>
      </c>
      <c r="C1381" t="s">
        <v>959</v>
      </c>
    </row>
    <row r="1382" spans="1:3" x14ac:dyDescent="0.4">
      <c r="A1382">
        <v>70965</v>
      </c>
      <c r="B1382" t="s">
        <v>825</v>
      </c>
      <c r="C1382" t="s">
        <v>958</v>
      </c>
    </row>
    <row r="1383" spans="1:3" x14ac:dyDescent="0.4">
      <c r="A1383">
        <v>70966</v>
      </c>
      <c r="B1383" t="s">
        <v>825</v>
      </c>
      <c r="C1383" t="s">
        <v>957</v>
      </c>
    </row>
    <row r="1384" spans="1:3" x14ac:dyDescent="0.4">
      <c r="A1384">
        <v>70967</v>
      </c>
      <c r="B1384" t="s">
        <v>825</v>
      </c>
      <c r="C1384" t="s">
        <v>956</v>
      </c>
    </row>
    <row r="1385" spans="1:3" x14ac:dyDescent="0.4">
      <c r="A1385">
        <v>70968</v>
      </c>
      <c r="B1385" t="s">
        <v>825</v>
      </c>
      <c r="C1385" t="s">
        <v>955</v>
      </c>
    </row>
    <row r="1386" spans="1:3" x14ac:dyDescent="0.4">
      <c r="A1386">
        <v>70969</v>
      </c>
      <c r="B1386" t="s">
        <v>825</v>
      </c>
      <c r="C1386" t="s">
        <v>954</v>
      </c>
    </row>
    <row r="1387" spans="1:3" x14ac:dyDescent="0.4">
      <c r="A1387">
        <v>70970</v>
      </c>
      <c r="B1387" t="s">
        <v>825</v>
      </c>
      <c r="C1387" t="s">
        <v>953</v>
      </c>
    </row>
    <row r="1388" spans="1:3" x14ac:dyDescent="0.4">
      <c r="A1388">
        <v>70971</v>
      </c>
      <c r="B1388" t="s">
        <v>825</v>
      </c>
      <c r="C1388" t="s">
        <v>952</v>
      </c>
    </row>
    <row r="1389" spans="1:3" x14ac:dyDescent="0.4">
      <c r="A1389">
        <v>70976</v>
      </c>
      <c r="B1389" t="s">
        <v>825</v>
      </c>
      <c r="C1389" t="s">
        <v>951</v>
      </c>
    </row>
    <row r="1390" spans="1:3" x14ac:dyDescent="0.4">
      <c r="A1390">
        <v>70977</v>
      </c>
      <c r="B1390" t="s">
        <v>825</v>
      </c>
      <c r="C1390" t="s">
        <v>950</v>
      </c>
    </row>
    <row r="1391" spans="1:3" x14ac:dyDescent="0.4">
      <c r="A1391">
        <v>70978</v>
      </c>
      <c r="B1391" t="s">
        <v>825</v>
      </c>
      <c r="C1391" t="s">
        <v>949</v>
      </c>
    </row>
    <row r="1392" spans="1:3" x14ac:dyDescent="0.4">
      <c r="A1392">
        <v>70979</v>
      </c>
      <c r="B1392" t="s">
        <v>825</v>
      </c>
      <c r="C1392" t="s">
        <v>948</v>
      </c>
    </row>
    <row r="1393" spans="1:3" x14ac:dyDescent="0.4">
      <c r="A1393">
        <v>70980</v>
      </c>
      <c r="B1393" t="s">
        <v>825</v>
      </c>
      <c r="C1393" t="s">
        <v>947</v>
      </c>
    </row>
    <row r="1394" spans="1:3" x14ac:dyDescent="0.4">
      <c r="A1394">
        <v>70981</v>
      </c>
      <c r="B1394" t="s">
        <v>825</v>
      </c>
      <c r="C1394" t="s">
        <v>946</v>
      </c>
    </row>
    <row r="1395" spans="1:3" x14ac:dyDescent="0.4">
      <c r="A1395">
        <v>70982</v>
      </c>
      <c r="B1395" t="s">
        <v>825</v>
      </c>
      <c r="C1395" t="s">
        <v>945</v>
      </c>
    </row>
    <row r="1396" spans="1:3" x14ac:dyDescent="0.4">
      <c r="A1396">
        <v>70984</v>
      </c>
      <c r="B1396" t="s">
        <v>825</v>
      </c>
      <c r="C1396" t="s">
        <v>944</v>
      </c>
    </row>
    <row r="1397" spans="1:3" x14ac:dyDescent="0.4">
      <c r="A1397">
        <v>70985</v>
      </c>
      <c r="B1397" t="s">
        <v>825</v>
      </c>
      <c r="C1397" t="s">
        <v>943</v>
      </c>
    </row>
    <row r="1398" spans="1:3" x14ac:dyDescent="0.4">
      <c r="A1398">
        <v>70986</v>
      </c>
      <c r="B1398" t="s">
        <v>825</v>
      </c>
      <c r="C1398" t="s">
        <v>942</v>
      </c>
    </row>
    <row r="1399" spans="1:3" x14ac:dyDescent="0.4">
      <c r="A1399">
        <v>70987</v>
      </c>
      <c r="B1399" t="s">
        <v>825</v>
      </c>
      <c r="C1399" t="s">
        <v>941</v>
      </c>
    </row>
    <row r="1400" spans="1:3" x14ac:dyDescent="0.4">
      <c r="A1400">
        <v>70988</v>
      </c>
      <c r="B1400" t="s">
        <v>825</v>
      </c>
      <c r="C1400" t="s">
        <v>940</v>
      </c>
    </row>
    <row r="1401" spans="1:3" x14ac:dyDescent="0.4">
      <c r="A1401">
        <v>70989</v>
      </c>
      <c r="B1401" t="s">
        <v>825</v>
      </c>
      <c r="C1401" t="s">
        <v>939</v>
      </c>
    </row>
    <row r="1402" spans="1:3" x14ac:dyDescent="0.4">
      <c r="A1402">
        <v>70990</v>
      </c>
      <c r="B1402" t="s">
        <v>825</v>
      </c>
      <c r="C1402" t="s">
        <v>938</v>
      </c>
    </row>
    <row r="1403" spans="1:3" x14ac:dyDescent="0.4">
      <c r="A1403">
        <v>70992</v>
      </c>
      <c r="B1403" t="s">
        <v>825</v>
      </c>
      <c r="C1403" t="s">
        <v>937</v>
      </c>
    </row>
    <row r="1404" spans="1:3" x14ac:dyDescent="0.4">
      <c r="A1404">
        <v>70993</v>
      </c>
      <c r="B1404" t="s">
        <v>825</v>
      </c>
      <c r="C1404" t="s">
        <v>936</v>
      </c>
    </row>
    <row r="1405" spans="1:3" x14ac:dyDescent="0.4">
      <c r="A1405">
        <v>70994</v>
      </c>
      <c r="B1405" t="s">
        <v>825</v>
      </c>
      <c r="C1405" t="s">
        <v>935</v>
      </c>
    </row>
    <row r="1406" spans="1:3" x14ac:dyDescent="0.4">
      <c r="A1406">
        <v>70995</v>
      </c>
      <c r="B1406" t="s">
        <v>825</v>
      </c>
      <c r="C1406" t="s">
        <v>934</v>
      </c>
    </row>
    <row r="1407" spans="1:3" x14ac:dyDescent="0.4">
      <c r="A1407">
        <v>70996</v>
      </c>
      <c r="B1407" t="s">
        <v>825</v>
      </c>
      <c r="C1407" t="s">
        <v>933</v>
      </c>
    </row>
    <row r="1408" spans="1:3" x14ac:dyDescent="0.4">
      <c r="A1408">
        <v>70997</v>
      </c>
      <c r="B1408" t="s">
        <v>825</v>
      </c>
      <c r="C1408" t="s">
        <v>932</v>
      </c>
    </row>
    <row r="1409" spans="1:3" x14ac:dyDescent="0.4">
      <c r="A1409">
        <v>71000</v>
      </c>
      <c r="B1409" t="s">
        <v>825</v>
      </c>
      <c r="C1409" t="s">
        <v>931</v>
      </c>
    </row>
    <row r="1410" spans="1:3" x14ac:dyDescent="0.4">
      <c r="A1410">
        <v>71001</v>
      </c>
      <c r="B1410" t="s">
        <v>825</v>
      </c>
      <c r="C1410" t="s">
        <v>930</v>
      </c>
    </row>
    <row r="1411" spans="1:3" x14ac:dyDescent="0.4">
      <c r="A1411">
        <v>71002</v>
      </c>
      <c r="B1411" t="s">
        <v>825</v>
      </c>
      <c r="C1411" t="s">
        <v>929</v>
      </c>
    </row>
    <row r="1412" spans="1:3" x14ac:dyDescent="0.4">
      <c r="A1412">
        <v>71003</v>
      </c>
      <c r="B1412" t="s">
        <v>825</v>
      </c>
      <c r="C1412" t="s">
        <v>928</v>
      </c>
    </row>
    <row r="1413" spans="1:3" x14ac:dyDescent="0.4">
      <c r="A1413">
        <v>71004</v>
      </c>
      <c r="B1413" t="s">
        <v>825</v>
      </c>
      <c r="C1413" t="s">
        <v>927</v>
      </c>
    </row>
    <row r="1414" spans="1:3" x14ac:dyDescent="0.4">
      <c r="A1414">
        <v>71005</v>
      </c>
      <c r="B1414" t="s">
        <v>825</v>
      </c>
      <c r="C1414" t="s">
        <v>926</v>
      </c>
    </row>
    <row r="1415" spans="1:3" x14ac:dyDescent="0.4">
      <c r="A1415">
        <v>72868</v>
      </c>
      <c r="B1415" t="s">
        <v>825</v>
      </c>
      <c r="C1415" t="s">
        <v>925</v>
      </c>
    </row>
    <row r="1416" spans="1:3" x14ac:dyDescent="0.4">
      <c r="A1416">
        <v>72869</v>
      </c>
      <c r="B1416" t="s">
        <v>825</v>
      </c>
      <c r="C1416" t="s">
        <v>924</v>
      </c>
    </row>
    <row r="1417" spans="1:3" x14ac:dyDescent="0.4">
      <c r="A1417">
        <v>72874</v>
      </c>
      <c r="B1417" t="s">
        <v>825</v>
      </c>
      <c r="C1417" t="s">
        <v>923</v>
      </c>
    </row>
    <row r="1418" spans="1:3" x14ac:dyDescent="0.4">
      <c r="A1418">
        <v>72875</v>
      </c>
      <c r="B1418" t="s">
        <v>825</v>
      </c>
      <c r="C1418" t="s">
        <v>922</v>
      </c>
    </row>
    <row r="1419" spans="1:3" x14ac:dyDescent="0.4">
      <c r="A1419">
        <v>72928</v>
      </c>
      <c r="B1419" t="s">
        <v>825</v>
      </c>
      <c r="C1419" t="s">
        <v>921</v>
      </c>
    </row>
    <row r="1420" spans="1:3" x14ac:dyDescent="0.4">
      <c r="A1420">
        <v>72929</v>
      </c>
      <c r="B1420" t="s">
        <v>825</v>
      </c>
      <c r="C1420" t="s">
        <v>920</v>
      </c>
    </row>
    <row r="1421" spans="1:3" x14ac:dyDescent="0.4">
      <c r="A1421">
        <v>72930</v>
      </c>
      <c r="B1421" t="s">
        <v>825</v>
      </c>
      <c r="C1421" t="s">
        <v>919</v>
      </c>
    </row>
    <row r="1422" spans="1:3" x14ac:dyDescent="0.4">
      <c r="A1422">
        <v>72931</v>
      </c>
      <c r="B1422" t="s">
        <v>825</v>
      </c>
      <c r="C1422" t="s">
        <v>918</v>
      </c>
    </row>
    <row r="1423" spans="1:3" x14ac:dyDescent="0.4">
      <c r="A1423">
        <v>72932</v>
      </c>
      <c r="B1423" t="s">
        <v>825</v>
      </c>
      <c r="C1423" t="s">
        <v>917</v>
      </c>
    </row>
    <row r="1424" spans="1:3" x14ac:dyDescent="0.4">
      <c r="A1424">
        <v>72933</v>
      </c>
      <c r="B1424" t="s">
        <v>825</v>
      </c>
      <c r="C1424" t="s">
        <v>916</v>
      </c>
    </row>
    <row r="1425" spans="1:3" x14ac:dyDescent="0.4">
      <c r="A1425">
        <v>72936</v>
      </c>
      <c r="B1425" t="s">
        <v>825</v>
      </c>
      <c r="C1425" t="s">
        <v>915</v>
      </c>
    </row>
    <row r="1426" spans="1:3" x14ac:dyDescent="0.4">
      <c r="A1426">
        <v>72937</v>
      </c>
      <c r="B1426" t="s">
        <v>825</v>
      </c>
      <c r="C1426" t="s">
        <v>914</v>
      </c>
    </row>
    <row r="1427" spans="1:3" x14ac:dyDescent="0.4">
      <c r="A1427">
        <v>72938</v>
      </c>
      <c r="B1427" t="s">
        <v>825</v>
      </c>
      <c r="C1427" t="s">
        <v>913</v>
      </c>
    </row>
    <row r="1428" spans="1:3" x14ac:dyDescent="0.4">
      <c r="A1428">
        <v>72939</v>
      </c>
      <c r="B1428" t="s">
        <v>825</v>
      </c>
      <c r="C1428" t="s">
        <v>912</v>
      </c>
    </row>
    <row r="1429" spans="1:3" x14ac:dyDescent="0.4">
      <c r="A1429">
        <v>72940</v>
      </c>
      <c r="B1429" t="s">
        <v>825</v>
      </c>
      <c r="C1429" t="s">
        <v>911</v>
      </c>
    </row>
    <row r="1430" spans="1:3" x14ac:dyDescent="0.4">
      <c r="A1430">
        <v>72941</v>
      </c>
      <c r="B1430" t="s">
        <v>825</v>
      </c>
      <c r="C1430" t="s">
        <v>910</v>
      </c>
    </row>
    <row r="1431" spans="1:3" x14ac:dyDescent="0.4">
      <c r="A1431">
        <v>72944</v>
      </c>
      <c r="B1431" t="s">
        <v>825</v>
      </c>
      <c r="C1431" t="s">
        <v>909</v>
      </c>
    </row>
    <row r="1432" spans="1:3" x14ac:dyDescent="0.4">
      <c r="A1432">
        <v>72945</v>
      </c>
      <c r="B1432" t="s">
        <v>825</v>
      </c>
      <c r="C1432" t="s">
        <v>908</v>
      </c>
    </row>
    <row r="1433" spans="1:3" x14ac:dyDescent="0.4">
      <c r="A1433">
        <v>72946</v>
      </c>
      <c r="B1433" t="s">
        <v>825</v>
      </c>
      <c r="C1433" t="s">
        <v>907</v>
      </c>
    </row>
    <row r="1434" spans="1:3" x14ac:dyDescent="0.4">
      <c r="A1434">
        <v>72947</v>
      </c>
      <c r="B1434" t="s">
        <v>825</v>
      </c>
      <c r="C1434" t="s">
        <v>906</v>
      </c>
    </row>
    <row r="1435" spans="1:3" x14ac:dyDescent="0.4">
      <c r="A1435">
        <v>72950</v>
      </c>
      <c r="B1435" t="s">
        <v>825</v>
      </c>
      <c r="C1435" t="s">
        <v>905</v>
      </c>
    </row>
    <row r="1436" spans="1:3" x14ac:dyDescent="0.4">
      <c r="A1436">
        <v>72951</v>
      </c>
      <c r="B1436" t="s">
        <v>825</v>
      </c>
      <c r="C1436" t="s">
        <v>904</v>
      </c>
    </row>
    <row r="1437" spans="1:3" x14ac:dyDescent="0.4">
      <c r="A1437">
        <v>72952</v>
      </c>
      <c r="B1437" t="s">
        <v>825</v>
      </c>
      <c r="C1437" t="s">
        <v>903</v>
      </c>
    </row>
    <row r="1438" spans="1:3" x14ac:dyDescent="0.4">
      <c r="A1438">
        <v>72953</v>
      </c>
      <c r="B1438" t="s">
        <v>825</v>
      </c>
      <c r="C1438" t="s">
        <v>902</v>
      </c>
    </row>
    <row r="1439" spans="1:3" x14ac:dyDescent="0.4">
      <c r="A1439">
        <v>72960</v>
      </c>
      <c r="B1439" t="s">
        <v>825</v>
      </c>
      <c r="C1439" t="s">
        <v>901</v>
      </c>
    </row>
    <row r="1440" spans="1:3" x14ac:dyDescent="0.4">
      <c r="A1440">
        <v>72961</v>
      </c>
      <c r="B1440" t="s">
        <v>825</v>
      </c>
      <c r="C1440" t="s">
        <v>900</v>
      </c>
    </row>
    <row r="1441" spans="1:3" x14ac:dyDescent="0.4">
      <c r="A1441">
        <v>72962</v>
      </c>
      <c r="B1441" t="s">
        <v>825</v>
      </c>
      <c r="C1441" t="s">
        <v>899</v>
      </c>
    </row>
    <row r="1442" spans="1:3" x14ac:dyDescent="0.4">
      <c r="A1442">
        <v>72963</v>
      </c>
      <c r="B1442" t="s">
        <v>825</v>
      </c>
      <c r="C1442" t="s">
        <v>898</v>
      </c>
    </row>
    <row r="1443" spans="1:3" x14ac:dyDescent="0.4">
      <c r="A1443">
        <v>72964</v>
      </c>
      <c r="B1443" t="s">
        <v>825</v>
      </c>
      <c r="C1443" t="s">
        <v>897</v>
      </c>
    </row>
    <row r="1444" spans="1:3" x14ac:dyDescent="0.4">
      <c r="A1444">
        <v>72965</v>
      </c>
      <c r="B1444" t="s">
        <v>825</v>
      </c>
      <c r="C1444" t="s">
        <v>896</v>
      </c>
    </row>
    <row r="1445" spans="1:3" x14ac:dyDescent="0.4">
      <c r="A1445">
        <v>72966</v>
      </c>
      <c r="B1445" t="s">
        <v>825</v>
      </c>
      <c r="C1445" t="s">
        <v>895</v>
      </c>
    </row>
    <row r="1446" spans="1:3" x14ac:dyDescent="0.4">
      <c r="A1446">
        <v>72967</v>
      </c>
      <c r="B1446" t="s">
        <v>825</v>
      </c>
      <c r="C1446" t="s">
        <v>894</v>
      </c>
    </row>
    <row r="1447" spans="1:3" x14ac:dyDescent="0.4">
      <c r="A1447">
        <v>72968</v>
      </c>
      <c r="B1447" t="s">
        <v>825</v>
      </c>
      <c r="C1447" t="s">
        <v>893</v>
      </c>
    </row>
    <row r="1448" spans="1:3" x14ac:dyDescent="0.4">
      <c r="A1448">
        <v>72969</v>
      </c>
      <c r="B1448" t="s">
        <v>825</v>
      </c>
      <c r="C1448" t="s">
        <v>892</v>
      </c>
    </row>
    <row r="1449" spans="1:3" x14ac:dyDescent="0.4">
      <c r="A1449">
        <v>72970</v>
      </c>
      <c r="B1449" t="s">
        <v>825</v>
      </c>
      <c r="C1449" t="s">
        <v>891</v>
      </c>
    </row>
    <row r="1450" spans="1:3" x14ac:dyDescent="0.4">
      <c r="A1450">
        <v>72971</v>
      </c>
      <c r="B1450" t="s">
        <v>825</v>
      </c>
      <c r="C1450" t="s">
        <v>890</v>
      </c>
    </row>
    <row r="1451" spans="1:3" x14ac:dyDescent="0.4">
      <c r="A1451">
        <v>72976</v>
      </c>
      <c r="B1451" t="s">
        <v>825</v>
      </c>
      <c r="C1451" t="s">
        <v>889</v>
      </c>
    </row>
    <row r="1452" spans="1:3" x14ac:dyDescent="0.4">
      <c r="A1452">
        <v>72977</v>
      </c>
      <c r="B1452" t="s">
        <v>825</v>
      </c>
      <c r="C1452" t="s">
        <v>888</v>
      </c>
    </row>
    <row r="1453" spans="1:3" x14ac:dyDescent="0.4">
      <c r="A1453">
        <v>72978</v>
      </c>
      <c r="B1453" t="s">
        <v>825</v>
      </c>
      <c r="C1453" t="s">
        <v>887</v>
      </c>
    </row>
    <row r="1454" spans="1:3" x14ac:dyDescent="0.4">
      <c r="A1454">
        <v>72979</v>
      </c>
      <c r="B1454" t="s">
        <v>825</v>
      </c>
      <c r="C1454" t="s">
        <v>886</v>
      </c>
    </row>
    <row r="1455" spans="1:3" x14ac:dyDescent="0.4">
      <c r="A1455">
        <v>72980</v>
      </c>
      <c r="B1455" t="s">
        <v>825</v>
      </c>
      <c r="C1455" t="s">
        <v>885</v>
      </c>
    </row>
    <row r="1456" spans="1:3" x14ac:dyDescent="0.4">
      <c r="A1456">
        <v>72981</v>
      </c>
      <c r="B1456" t="s">
        <v>825</v>
      </c>
      <c r="C1456" t="s">
        <v>884</v>
      </c>
    </row>
    <row r="1457" spans="1:3" x14ac:dyDescent="0.4">
      <c r="A1457">
        <v>72982</v>
      </c>
      <c r="B1457" t="s">
        <v>825</v>
      </c>
      <c r="C1457" t="s">
        <v>883</v>
      </c>
    </row>
    <row r="1458" spans="1:3" x14ac:dyDescent="0.4">
      <c r="A1458">
        <v>72984</v>
      </c>
      <c r="B1458" t="s">
        <v>825</v>
      </c>
      <c r="C1458" t="s">
        <v>882</v>
      </c>
    </row>
    <row r="1459" spans="1:3" x14ac:dyDescent="0.4">
      <c r="A1459">
        <v>72985</v>
      </c>
      <c r="B1459" t="s">
        <v>825</v>
      </c>
      <c r="C1459" t="s">
        <v>881</v>
      </c>
    </row>
    <row r="1460" spans="1:3" x14ac:dyDescent="0.4">
      <c r="A1460">
        <v>72986</v>
      </c>
      <c r="B1460" t="s">
        <v>825</v>
      </c>
      <c r="C1460" t="s">
        <v>880</v>
      </c>
    </row>
    <row r="1461" spans="1:3" x14ac:dyDescent="0.4">
      <c r="A1461">
        <v>72987</v>
      </c>
      <c r="B1461" t="s">
        <v>825</v>
      </c>
      <c r="C1461" t="s">
        <v>879</v>
      </c>
    </row>
    <row r="1462" spans="1:3" x14ac:dyDescent="0.4">
      <c r="A1462">
        <v>72988</v>
      </c>
      <c r="B1462" t="s">
        <v>825</v>
      </c>
      <c r="C1462" t="s">
        <v>878</v>
      </c>
    </row>
    <row r="1463" spans="1:3" x14ac:dyDescent="0.4">
      <c r="A1463">
        <v>72989</v>
      </c>
      <c r="B1463" t="s">
        <v>825</v>
      </c>
      <c r="C1463" t="s">
        <v>877</v>
      </c>
    </row>
    <row r="1464" spans="1:3" x14ac:dyDescent="0.4">
      <c r="A1464">
        <v>72990</v>
      </c>
      <c r="B1464" t="s">
        <v>825</v>
      </c>
      <c r="C1464" t="s">
        <v>876</v>
      </c>
    </row>
    <row r="1465" spans="1:3" x14ac:dyDescent="0.4">
      <c r="A1465">
        <v>72992</v>
      </c>
      <c r="B1465" t="s">
        <v>825</v>
      </c>
      <c r="C1465" t="s">
        <v>875</v>
      </c>
    </row>
    <row r="1466" spans="1:3" x14ac:dyDescent="0.4">
      <c r="A1466">
        <v>72993</v>
      </c>
      <c r="B1466" t="s">
        <v>825</v>
      </c>
      <c r="C1466" t="s">
        <v>874</v>
      </c>
    </row>
    <row r="1467" spans="1:3" x14ac:dyDescent="0.4">
      <c r="A1467">
        <v>72994</v>
      </c>
      <c r="B1467" t="s">
        <v>825</v>
      </c>
      <c r="C1467" t="s">
        <v>873</v>
      </c>
    </row>
    <row r="1468" spans="1:3" x14ac:dyDescent="0.4">
      <c r="A1468">
        <v>72995</v>
      </c>
      <c r="B1468" t="s">
        <v>825</v>
      </c>
      <c r="C1468" t="s">
        <v>872</v>
      </c>
    </row>
    <row r="1469" spans="1:3" x14ac:dyDescent="0.4">
      <c r="A1469">
        <v>72996</v>
      </c>
      <c r="B1469" t="s">
        <v>825</v>
      </c>
      <c r="C1469" t="s">
        <v>871</v>
      </c>
    </row>
    <row r="1470" spans="1:3" x14ac:dyDescent="0.4">
      <c r="A1470">
        <v>72997</v>
      </c>
      <c r="B1470" t="s">
        <v>825</v>
      </c>
      <c r="C1470" t="s">
        <v>870</v>
      </c>
    </row>
    <row r="1471" spans="1:3" x14ac:dyDescent="0.4">
      <c r="A1471">
        <v>73000</v>
      </c>
      <c r="B1471" t="s">
        <v>825</v>
      </c>
      <c r="C1471" t="s">
        <v>869</v>
      </c>
    </row>
    <row r="1472" spans="1:3" x14ac:dyDescent="0.4">
      <c r="A1472">
        <v>73001</v>
      </c>
      <c r="B1472" t="s">
        <v>825</v>
      </c>
      <c r="C1472" t="s">
        <v>868</v>
      </c>
    </row>
    <row r="1473" spans="1:3" x14ac:dyDescent="0.4">
      <c r="A1473">
        <v>73002</v>
      </c>
      <c r="B1473" t="s">
        <v>825</v>
      </c>
      <c r="C1473" t="s">
        <v>867</v>
      </c>
    </row>
    <row r="1474" spans="1:3" x14ac:dyDescent="0.4">
      <c r="A1474">
        <v>73003</v>
      </c>
      <c r="B1474" t="s">
        <v>825</v>
      </c>
      <c r="C1474" t="s">
        <v>866</v>
      </c>
    </row>
    <row r="1475" spans="1:3" x14ac:dyDescent="0.4">
      <c r="A1475">
        <v>73004</v>
      </c>
      <c r="B1475" t="s">
        <v>825</v>
      </c>
      <c r="C1475" t="s">
        <v>865</v>
      </c>
    </row>
    <row r="1476" spans="1:3" x14ac:dyDescent="0.4">
      <c r="A1476">
        <v>73005</v>
      </c>
      <c r="B1476" t="s">
        <v>825</v>
      </c>
      <c r="C1476" t="s">
        <v>864</v>
      </c>
    </row>
    <row r="1477" spans="1:3" x14ac:dyDescent="0.4">
      <c r="A1477">
        <v>74131</v>
      </c>
      <c r="B1477" t="s">
        <v>825</v>
      </c>
      <c r="C1477" t="s">
        <v>863</v>
      </c>
    </row>
    <row r="1478" spans="1:3" x14ac:dyDescent="0.4">
      <c r="A1478">
        <v>74132</v>
      </c>
      <c r="B1478" t="s">
        <v>825</v>
      </c>
      <c r="C1478" t="s">
        <v>862</v>
      </c>
    </row>
    <row r="1479" spans="1:3" x14ac:dyDescent="0.4">
      <c r="A1479">
        <v>74133</v>
      </c>
      <c r="B1479" t="s">
        <v>825</v>
      </c>
      <c r="C1479" t="s">
        <v>861</v>
      </c>
    </row>
    <row r="1480" spans="1:3" x14ac:dyDescent="0.4">
      <c r="A1480">
        <v>74134</v>
      </c>
      <c r="B1480" t="s">
        <v>825</v>
      </c>
      <c r="C1480" t="s">
        <v>860</v>
      </c>
    </row>
    <row r="1481" spans="1:3" x14ac:dyDescent="0.4">
      <c r="A1481">
        <v>74135</v>
      </c>
      <c r="B1481" t="s">
        <v>825</v>
      </c>
      <c r="C1481" t="s">
        <v>859</v>
      </c>
    </row>
    <row r="1482" spans="1:3" x14ac:dyDescent="0.4">
      <c r="A1482">
        <v>74136</v>
      </c>
      <c r="B1482" t="s">
        <v>825</v>
      </c>
      <c r="C1482" t="s">
        <v>858</v>
      </c>
    </row>
    <row r="1483" spans="1:3" x14ac:dyDescent="0.4">
      <c r="A1483">
        <v>74137</v>
      </c>
      <c r="B1483" t="s">
        <v>825</v>
      </c>
      <c r="C1483" t="s">
        <v>857</v>
      </c>
    </row>
    <row r="1484" spans="1:3" x14ac:dyDescent="0.4">
      <c r="A1484">
        <v>74138</v>
      </c>
      <c r="B1484" t="s">
        <v>825</v>
      </c>
      <c r="C1484" t="s">
        <v>856</v>
      </c>
    </row>
    <row r="1485" spans="1:3" x14ac:dyDescent="0.4">
      <c r="A1485">
        <v>74139</v>
      </c>
      <c r="B1485" t="s">
        <v>825</v>
      </c>
      <c r="C1485" t="s">
        <v>855</v>
      </c>
    </row>
    <row r="1486" spans="1:3" x14ac:dyDescent="0.4">
      <c r="A1486">
        <v>74140</v>
      </c>
      <c r="B1486" t="s">
        <v>825</v>
      </c>
      <c r="C1486" t="s">
        <v>854</v>
      </c>
    </row>
    <row r="1487" spans="1:3" x14ac:dyDescent="0.4">
      <c r="A1487">
        <v>75131</v>
      </c>
      <c r="B1487" t="s">
        <v>825</v>
      </c>
      <c r="C1487" t="s">
        <v>853</v>
      </c>
    </row>
    <row r="1488" spans="1:3" x14ac:dyDescent="0.4">
      <c r="A1488">
        <v>75132</v>
      </c>
      <c r="B1488" t="s">
        <v>825</v>
      </c>
      <c r="C1488" t="s">
        <v>852</v>
      </c>
    </row>
    <row r="1489" spans="1:3" x14ac:dyDescent="0.4">
      <c r="A1489">
        <v>75133</v>
      </c>
      <c r="B1489" t="s">
        <v>825</v>
      </c>
      <c r="C1489" t="s">
        <v>851</v>
      </c>
    </row>
    <row r="1490" spans="1:3" x14ac:dyDescent="0.4">
      <c r="A1490">
        <v>75134</v>
      </c>
      <c r="B1490" t="s">
        <v>825</v>
      </c>
      <c r="C1490" t="s">
        <v>850</v>
      </c>
    </row>
    <row r="1491" spans="1:3" x14ac:dyDescent="0.4">
      <c r="A1491">
        <v>75135</v>
      </c>
      <c r="B1491" t="s">
        <v>825</v>
      </c>
      <c r="C1491" t="s">
        <v>849</v>
      </c>
    </row>
    <row r="1492" spans="1:3" x14ac:dyDescent="0.4">
      <c r="A1492">
        <v>75136</v>
      </c>
      <c r="B1492" t="s">
        <v>825</v>
      </c>
      <c r="C1492" t="s">
        <v>848</v>
      </c>
    </row>
    <row r="1493" spans="1:3" x14ac:dyDescent="0.4">
      <c r="A1493">
        <v>75137</v>
      </c>
      <c r="B1493" t="s">
        <v>825</v>
      </c>
      <c r="C1493" t="s">
        <v>847</v>
      </c>
    </row>
    <row r="1494" spans="1:3" x14ac:dyDescent="0.4">
      <c r="A1494">
        <v>75138</v>
      </c>
      <c r="B1494" t="s">
        <v>825</v>
      </c>
      <c r="C1494" t="s">
        <v>846</v>
      </c>
    </row>
    <row r="1495" spans="1:3" x14ac:dyDescent="0.4">
      <c r="A1495">
        <v>75139</v>
      </c>
      <c r="B1495" t="s">
        <v>825</v>
      </c>
      <c r="C1495" t="s">
        <v>845</v>
      </c>
    </row>
    <row r="1496" spans="1:3" x14ac:dyDescent="0.4">
      <c r="A1496">
        <v>75140</v>
      </c>
      <c r="B1496" t="s">
        <v>825</v>
      </c>
      <c r="C1496" t="s">
        <v>844</v>
      </c>
    </row>
    <row r="1497" spans="1:3" x14ac:dyDescent="0.4">
      <c r="A1497">
        <v>76131</v>
      </c>
      <c r="B1497" t="s">
        <v>825</v>
      </c>
      <c r="C1497" t="s">
        <v>843</v>
      </c>
    </row>
    <row r="1498" spans="1:3" x14ac:dyDescent="0.4">
      <c r="A1498">
        <v>76135</v>
      </c>
      <c r="B1498" t="s">
        <v>825</v>
      </c>
      <c r="C1498" t="s">
        <v>842</v>
      </c>
    </row>
    <row r="1499" spans="1:3" x14ac:dyDescent="0.4">
      <c r="A1499">
        <v>78000</v>
      </c>
      <c r="B1499" t="s">
        <v>825</v>
      </c>
      <c r="C1499" t="s">
        <v>45</v>
      </c>
    </row>
    <row r="1500" spans="1:3" x14ac:dyDescent="0.4">
      <c r="A1500">
        <v>78001</v>
      </c>
      <c r="B1500" t="s">
        <v>825</v>
      </c>
      <c r="C1500" t="s">
        <v>841</v>
      </c>
    </row>
    <row r="1501" spans="1:3" x14ac:dyDescent="0.4">
      <c r="A1501">
        <v>78002</v>
      </c>
      <c r="B1501" t="s">
        <v>825</v>
      </c>
      <c r="C1501" t="s">
        <v>840</v>
      </c>
    </row>
    <row r="1502" spans="1:3" x14ac:dyDescent="0.4">
      <c r="A1502">
        <v>78003</v>
      </c>
      <c r="B1502" t="s">
        <v>825</v>
      </c>
      <c r="C1502" t="s">
        <v>839</v>
      </c>
    </row>
    <row r="1503" spans="1:3" x14ac:dyDescent="0.4">
      <c r="A1503">
        <v>78004</v>
      </c>
      <c r="B1503" t="s">
        <v>825</v>
      </c>
      <c r="C1503" t="s">
        <v>838</v>
      </c>
    </row>
    <row r="1504" spans="1:3" x14ac:dyDescent="0.4">
      <c r="A1504">
        <v>78005</v>
      </c>
      <c r="B1504" t="s">
        <v>825</v>
      </c>
      <c r="C1504" t="s">
        <v>837</v>
      </c>
    </row>
    <row r="1505" spans="1:3" x14ac:dyDescent="0.4">
      <c r="A1505">
        <v>78006</v>
      </c>
      <c r="B1505" t="s">
        <v>825</v>
      </c>
      <c r="C1505" t="s">
        <v>836</v>
      </c>
    </row>
    <row r="1506" spans="1:3" x14ac:dyDescent="0.4">
      <c r="A1506">
        <v>78007</v>
      </c>
      <c r="B1506" t="s">
        <v>825</v>
      </c>
      <c r="C1506" t="s">
        <v>835</v>
      </c>
    </row>
    <row r="1507" spans="1:3" x14ac:dyDescent="0.4">
      <c r="A1507">
        <v>78008</v>
      </c>
      <c r="B1507" t="s">
        <v>825</v>
      </c>
      <c r="C1507" t="s">
        <v>834</v>
      </c>
    </row>
    <row r="1508" spans="1:3" x14ac:dyDescent="0.4">
      <c r="A1508">
        <v>78009</v>
      </c>
      <c r="B1508" t="s">
        <v>825</v>
      </c>
      <c r="C1508" t="s">
        <v>833</v>
      </c>
    </row>
    <row r="1509" spans="1:3" x14ac:dyDescent="0.4">
      <c r="A1509">
        <v>78010</v>
      </c>
      <c r="B1509" t="s">
        <v>825</v>
      </c>
      <c r="C1509" t="s">
        <v>832</v>
      </c>
    </row>
    <row r="1510" spans="1:3" x14ac:dyDescent="0.4">
      <c r="A1510">
        <v>78012</v>
      </c>
      <c r="B1510" t="s">
        <v>825</v>
      </c>
      <c r="C1510" t="s">
        <v>831</v>
      </c>
    </row>
    <row r="1511" spans="1:3" x14ac:dyDescent="0.4">
      <c r="A1511">
        <v>78013</v>
      </c>
      <c r="B1511" t="s">
        <v>825</v>
      </c>
      <c r="C1511" t="s">
        <v>830</v>
      </c>
    </row>
    <row r="1512" spans="1:3" x14ac:dyDescent="0.4">
      <c r="A1512">
        <v>78014</v>
      </c>
      <c r="B1512" t="s">
        <v>825</v>
      </c>
      <c r="C1512" t="s">
        <v>46</v>
      </c>
    </row>
    <row r="1513" spans="1:3" x14ac:dyDescent="0.4">
      <c r="A1513">
        <v>78015</v>
      </c>
      <c r="B1513" t="s">
        <v>825</v>
      </c>
      <c r="C1513" t="s">
        <v>829</v>
      </c>
    </row>
    <row r="1514" spans="1:3" x14ac:dyDescent="0.4">
      <c r="A1514">
        <v>78016</v>
      </c>
      <c r="B1514" t="s">
        <v>825</v>
      </c>
      <c r="C1514" t="s">
        <v>828</v>
      </c>
    </row>
    <row r="1515" spans="1:3" x14ac:dyDescent="0.4">
      <c r="A1515">
        <v>78017</v>
      </c>
      <c r="B1515" t="s">
        <v>825</v>
      </c>
      <c r="C1515" t="s">
        <v>827</v>
      </c>
    </row>
    <row r="1516" spans="1:3" x14ac:dyDescent="0.4">
      <c r="A1516">
        <v>78018</v>
      </c>
      <c r="B1516" t="s">
        <v>825</v>
      </c>
      <c r="C1516" t="s">
        <v>826</v>
      </c>
    </row>
    <row r="1517" spans="1:3" x14ac:dyDescent="0.4">
      <c r="A1517">
        <v>78019</v>
      </c>
      <c r="B1517" t="s">
        <v>825</v>
      </c>
      <c r="C1517" t="s">
        <v>824</v>
      </c>
    </row>
    <row r="1518" spans="1:3" x14ac:dyDescent="0.4">
      <c r="A1518">
        <v>80832</v>
      </c>
      <c r="B1518" t="s">
        <v>692</v>
      </c>
      <c r="C1518" t="s">
        <v>823</v>
      </c>
    </row>
    <row r="1519" spans="1:3" x14ac:dyDescent="0.4">
      <c r="A1519">
        <v>80833</v>
      </c>
      <c r="B1519" t="s">
        <v>692</v>
      </c>
      <c r="C1519" t="s">
        <v>822</v>
      </c>
    </row>
    <row r="1520" spans="1:3" x14ac:dyDescent="0.4">
      <c r="A1520">
        <v>80834</v>
      </c>
      <c r="B1520" t="s">
        <v>692</v>
      </c>
      <c r="C1520" t="s">
        <v>821</v>
      </c>
    </row>
    <row r="1521" spans="1:3" x14ac:dyDescent="0.4">
      <c r="A1521">
        <v>80835</v>
      </c>
      <c r="B1521" t="s">
        <v>692</v>
      </c>
      <c r="C1521" t="s">
        <v>820</v>
      </c>
    </row>
    <row r="1522" spans="1:3" x14ac:dyDescent="0.4">
      <c r="A1522">
        <v>80836</v>
      </c>
      <c r="B1522" t="s">
        <v>692</v>
      </c>
      <c r="C1522" t="s">
        <v>819</v>
      </c>
    </row>
    <row r="1523" spans="1:3" x14ac:dyDescent="0.4">
      <c r="A1523">
        <v>80837</v>
      </c>
      <c r="B1523" t="s">
        <v>692</v>
      </c>
      <c r="C1523" t="s">
        <v>818</v>
      </c>
    </row>
    <row r="1524" spans="1:3" x14ac:dyDescent="0.4">
      <c r="A1524">
        <v>80838</v>
      </c>
      <c r="B1524" t="s">
        <v>692</v>
      </c>
      <c r="C1524" t="s">
        <v>817</v>
      </c>
    </row>
    <row r="1525" spans="1:3" x14ac:dyDescent="0.4">
      <c r="A1525">
        <v>80839</v>
      </c>
      <c r="B1525" t="s">
        <v>692</v>
      </c>
      <c r="C1525" t="s">
        <v>816</v>
      </c>
    </row>
    <row r="1526" spans="1:3" x14ac:dyDescent="0.4">
      <c r="A1526">
        <v>80840</v>
      </c>
      <c r="B1526" t="s">
        <v>692</v>
      </c>
      <c r="C1526" t="s">
        <v>815</v>
      </c>
    </row>
    <row r="1527" spans="1:3" x14ac:dyDescent="0.4">
      <c r="A1527">
        <v>80841</v>
      </c>
      <c r="B1527" t="s">
        <v>692</v>
      </c>
      <c r="C1527" t="s">
        <v>814</v>
      </c>
    </row>
    <row r="1528" spans="1:3" x14ac:dyDescent="0.4">
      <c r="A1528">
        <v>80842</v>
      </c>
      <c r="B1528" t="s">
        <v>692</v>
      </c>
      <c r="C1528" t="s">
        <v>813</v>
      </c>
    </row>
    <row r="1529" spans="1:3" x14ac:dyDescent="0.4">
      <c r="A1529">
        <v>80843</v>
      </c>
      <c r="B1529" t="s">
        <v>692</v>
      </c>
      <c r="C1529" t="s">
        <v>812</v>
      </c>
    </row>
    <row r="1530" spans="1:3" x14ac:dyDescent="0.4">
      <c r="A1530">
        <v>80844</v>
      </c>
      <c r="B1530" t="s">
        <v>692</v>
      </c>
      <c r="C1530" t="s">
        <v>811</v>
      </c>
    </row>
    <row r="1531" spans="1:3" x14ac:dyDescent="0.4">
      <c r="A1531">
        <v>80845</v>
      </c>
      <c r="B1531" t="s">
        <v>692</v>
      </c>
      <c r="C1531" t="s">
        <v>810</v>
      </c>
    </row>
    <row r="1532" spans="1:3" x14ac:dyDescent="0.4">
      <c r="A1532">
        <v>80846</v>
      </c>
      <c r="B1532" t="s">
        <v>692</v>
      </c>
      <c r="C1532" t="s">
        <v>809</v>
      </c>
    </row>
    <row r="1533" spans="1:3" x14ac:dyDescent="0.4">
      <c r="A1533">
        <v>80847</v>
      </c>
      <c r="B1533" t="s">
        <v>692</v>
      </c>
      <c r="C1533" t="s">
        <v>808</v>
      </c>
    </row>
    <row r="1534" spans="1:3" x14ac:dyDescent="0.4">
      <c r="A1534">
        <v>80848</v>
      </c>
      <c r="B1534" t="s">
        <v>692</v>
      </c>
      <c r="C1534" t="s">
        <v>807</v>
      </c>
    </row>
    <row r="1535" spans="1:3" x14ac:dyDescent="0.4">
      <c r="A1535">
        <v>80849</v>
      </c>
      <c r="B1535" t="s">
        <v>692</v>
      </c>
      <c r="C1535" t="s">
        <v>806</v>
      </c>
    </row>
    <row r="1536" spans="1:3" x14ac:dyDescent="0.4">
      <c r="A1536">
        <v>80850</v>
      </c>
      <c r="B1536" t="s">
        <v>692</v>
      </c>
      <c r="C1536" t="s">
        <v>805</v>
      </c>
    </row>
    <row r="1537" spans="1:3" x14ac:dyDescent="0.4">
      <c r="A1537">
        <v>80851</v>
      </c>
      <c r="B1537" t="s">
        <v>692</v>
      </c>
      <c r="C1537" t="s">
        <v>804</v>
      </c>
    </row>
    <row r="1538" spans="1:3" x14ac:dyDescent="0.4">
      <c r="A1538">
        <v>80855</v>
      </c>
      <c r="B1538" t="s">
        <v>692</v>
      </c>
      <c r="C1538" t="s">
        <v>803</v>
      </c>
    </row>
    <row r="1539" spans="1:3" x14ac:dyDescent="0.4">
      <c r="A1539">
        <v>80856</v>
      </c>
      <c r="B1539" t="s">
        <v>692</v>
      </c>
      <c r="C1539" t="s">
        <v>802</v>
      </c>
    </row>
    <row r="1540" spans="1:3" x14ac:dyDescent="0.4">
      <c r="A1540">
        <v>80857</v>
      </c>
      <c r="B1540" t="s">
        <v>692</v>
      </c>
      <c r="C1540" t="s">
        <v>801</v>
      </c>
    </row>
    <row r="1541" spans="1:3" x14ac:dyDescent="0.4">
      <c r="A1541">
        <v>80858</v>
      </c>
      <c r="B1541" t="s">
        <v>692</v>
      </c>
      <c r="C1541" t="s">
        <v>800</v>
      </c>
    </row>
    <row r="1542" spans="1:3" x14ac:dyDescent="0.4">
      <c r="A1542">
        <v>80864</v>
      </c>
      <c r="B1542" t="s">
        <v>692</v>
      </c>
      <c r="C1542" t="s">
        <v>799</v>
      </c>
    </row>
    <row r="1543" spans="1:3" x14ac:dyDescent="0.4">
      <c r="A1543">
        <v>80865</v>
      </c>
      <c r="B1543" t="s">
        <v>692</v>
      </c>
      <c r="C1543" t="s">
        <v>798</v>
      </c>
    </row>
    <row r="1544" spans="1:3" x14ac:dyDescent="0.4">
      <c r="A1544">
        <v>80866</v>
      </c>
      <c r="B1544" t="s">
        <v>692</v>
      </c>
      <c r="C1544" t="s">
        <v>797</v>
      </c>
    </row>
    <row r="1545" spans="1:3" x14ac:dyDescent="0.4">
      <c r="A1545">
        <v>80867</v>
      </c>
      <c r="B1545" t="s">
        <v>692</v>
      </c>
      <c r="C1545" t="s">
        <v>796</v>
      </c>
    </row>
    <row r="1546" spans="1:3" x14ac:dyDescent="0.4">
      <c r="A1546">
        <v>80870</v>
      </c>
      <c r="B1546" t="s">
        <v>692</v>
      </c>
      <c r="C1546" t="s">
        <v>795</v>
      </c>
    </row>
    <row r="1547" spans="1:3" x14ac:dyDescent="0.4">
      <c r="A1547">
        <v>80871</v>
      </c>
      <c r="B1547" t="s">
        <v>692</v>
      </c>
      <c r="C1547" t="s">
        <v>794</v>
      </c>
    </row>
    <row r="1548" spans="1:3" x14ac:dyDescent="0.4">
      <c r="A1548">
        <v>80872</v>
      </c>
      <c r="B1548" t="s">
        <v>692</v>
      </c>
      <c r="C1548" t="s">
        <v>793</v>
      </c>
    </row>
    <row r="1549" spans="1:3" x14ac:dyDescent="0.4">
      <c r="A1549">
        <v>80873</v>
      </c>
      <c r="B1549" t="s">
        <v>692</v>
      </c>
      <c r="C1549" t="s">
        <v>792</v>
      </c>
    </row>
    <row r="1550" spans="1:3" x14ac:dyDescent="0.4">
      <c r="A1550">
        <v>80876</v>
      </c>
      <c r="B1550" t="s">
        <v>692</v>
      </c>
      <c r="C1550" t="s">
        <v>791</v>
      </c>
    </row>
    <row r="1551" spans="1:3" x14ac:dyDescent="0.4">
      <c r="A1551">
        <v>80877</v>
      </c>
      <c r="B1551" t="s">
        <v>692</v>
      </c>
      <c r="C1551" t="s">
        <v>790</v>
      </c>
    </row>
    <row r="1552" spans="1:3" x14ac:dyDescent="0.4">
      <c r="A1552">
        <v>80880</v>
      </c>
      <c r="B1552" t="s">
        <v>692</v>
      </c>
      <c r="C1552" t="s">
        <v>789</v>
      </c>
    </row>
    <row r="1553" spans="1:3" x14ac:dyDescent="0.4">
      <c r="A1553">
        <v>80881</v>
      </c>
      <c r="B1553" t="s">
        <v>692</v>
      </c>
      <c r="C1553" t="s">
        <v>788</v>
      </c>
    </row>
    <row r="1554" spans="1:3" x14ac:dyDescent="0.4">
      <c r="A1554">
        <v>80882</v>
      </c>
      <c r="B1554" t="s">
        <v>692</v>
      </c>
      <c r="C1554" t="s">
        <v>787</v>
      </c>
    </row>
    <row r="1555" spans="1:3" x14ac:dyDescent="0.4">
      <c r="A1555">
        <v>80883</v>
      </c>
      <c r="B1555" t="s">
        <v>692</v>
      </c>
      <c r="C1555" t="s">
        <v>786</v>
      </c>
    </row>
    <row r="1556" spans="1:3" x14ac:dyDescent="0.4">
      <c r="A1556">
        <v>80884</v>
      </c>
      <c r="B1556" t="s">
        <v>692</v>
      </c>
      <c r="C1556" t="s">
        <v>785</v>
      </c>
    </row>
    <row r="1557" spans="1:3" x14ac:dyDescent="0.4">
      <c r="A1557">
        <v>80885</v>
      </c>
      <c r="B1557" t="s">
        <v>692</v>
      </c>
      <c r="C1557" t="s">
        <v>784</v>
      </c>
    </row>
    <row r="1558" spans="1:3" x14ac:dyDescent="0.4">
      <c r="A1558">
        <v>80886</v>
      </c>
      <c r="B1558" t="s">
        <v>692</v>
      </c>
      <c r="C1558" t="s">
        <v>783</v>
      </c>
    </row>
    <row r="1559" spans="1:3" x14ac:dyDescent="0.4">
      <c r="A1559">
        <v>80887</v>
      </c>
      <c r="B1559" t="s">
        <v>692</v>
      </c>
      <c r="C1559" t="s">
        <v>782</v>
      </c>
    </row>
    <row r="1560" spans="1:3" x14ac:dyDescent="0.4">
      <c r="A1560">
        <v>80888</v>
      </c>
      <c r="B1560" t="s">
        <v>692</v>
      </c>
      <c r="C1560" t="s">
        <v>781</v>
      </c>
    </row>
    <row r="1561" spans="1:3" x14ac:dyDescent="0.4">
      <c r="A1561">
        <v>80889</v>
      </c>
      <c r="B1561" t="s">
        <v>692</v>
      </c>
      <c r="C1561" t="s">
        <v>780</v>
      </c>
    </row>
    <row r="1562" spans="1:3" x14ac:dyDescent="0.4">
      <c r="A1562">
        <v>80890</v>
      </c>
      <c r="B1562" t="s">
        <v>692</v>
      </c>
      <c r="C1562" t="s">
        <v>779</v>
      </c>
    </row>
    <row r="1563" spans="1:3" x14ac:dyDescent="0.4">
      <c r="A1563">
        <v>80891</v>
      </c>
      <c r="B1563" t="s">
        <v>692</v>
      </c>
      <c r="C1563" t="s">
        <v>778</v>
      </c>
    </row>
    <row r="1564" spans="1:3" x14ac:dyDescent="0.4">
      <c r="A1564">
        <v>80892</v>
      </c>
      <c r="B1564" t="s">
        <v>692</v>
      </c>
      <c r="C1564" t="s">
        <v>777</v>
      </c>
    </row>
    <row r="1565" spans="1:3" x14ac:dyDescent="0.4">
      <c r="A1565">
        <v>80893</v>
      </c>
      <c r="B1565" t="s">
        <v>692</v>
      </c>
      <c r="C1565" t="s">
        <v>776</v>
      </c>
    </row>
    <row r="1566" spans="1:3" x14ac:dyDescent="0.4">
      <c r="A1566">
        <v>80894</v>
      </c>
      <c r="B1566" t="s">
        <v>692</v>
      </c>
      <c r="C1566" t="s">
        <v>775</v>
      </c>
    </row>
    <row r="1567" spans="1:3" x14ac:dyDescent="0.4">
      <c r="A1567">
        <v>80895</v>
      </c>
      <c r="B1567" t="s">
        <v>692</v>
      </c>
      <c r="C1567" t="s">
        <v>774</v>
      </c>
    </row>
    <row r="1568" spans="1:3" x14ac:dyDescent="0.4">
      <c r="A1568">
        <v>82832</v>
      </c>
      <c r="B1568" t="s">
        <v>692</v>
      </c>
      <c r="C1568" t="s">
        <v>773</v>
      </c>
    </row>
    <row r="1569" spans="1:3" x14ac:dyDescent="0.4">
      <c r="A1569">
        <v>82833</v>
      </c>
      <c r="B1569" t="s">
        <v>692</v>
      </c>
      <c r="C1569" t="s">
        <v>772</v>
      </c>
    </row>
    <row r="1570" spans="1:3" x14ac:dyDescent="0.4">
      <c r="A1570">
        <v>82834</v>
      </c>
      <c r="B1570" t="s">
        <v>692</v>
      </c>
      <c r="C1570" t="s">
        <v>771</v>
      </c>
    </row>
    <row r="1571" spans="1:3" x14ac:dyDescent="0.4">
      <c r="A1571">
        <v>82835</v>
      </c>
      <c r="B1571" t="s">
        <v>692</v>
      </c>
      <c r="C1571" t="s">
        <v>770</v>
      </c>
    </row>
    <row r="1572" spans="1:3" x14ac:dyDescent="0.4">
      <c r="A1572">
        <v>82836</v>
      </c>
      <c r="B1572" t="s">
        <v>692</v>
      </c>
      <c r="C1572" t="s">
        <v>769</v>
      </c>
    </row>
    <row r="1573" spans="1:3" x14ac:dyDescent="0.4">
      <c r="A1573">
        <v>82837</v>
      </c>
      <c r="B1573" t="s">
        <v>692</v>
      </c>
      <c r="C1573" t="s">
        <v>768</v>
      </c>
    </row>
    <row r="1574" spans="1:3" x14ac:dyDescent="0.4">
      <c r="A1574">
        <v>82838</v>
      </c>
      <c r="B1574" t="s">
        <v>692</v>
      </c>
      <c r="C1574" t="s">
        <v>767</v>
      </c>
    </row>
    <row r="1575" spans="1:3" x14ac:dyDescent="0.4">
      <c r="A1575">
        <v>82839</v>
      </c>
      <c r="B1575" t="s">
        <v>692</v>
      </c>
      <c r="C1575" t="s">
        <v>766</v>
      </c>
    </row>
    <row r="1576" spans="1:3" x14ac:dyDescent="0.4">
      <c r="A1576">
        <v>82840</v>
      </c>
      <c r="B1576" t="s">
        <v>692</v>
      </c>
      <c r="C1576" t="s">
        <v>765</v>
      </c>
    </row>
    <row r="1577" spans="1:3" x14ac:dyDescent="0.4">
      <c r="A1577">
        <v>82841</v>
      </c>
      <c r="B1577" t="s">
        <v>692</v>
      </c>
      <c r="C1577" t="s">
        <v>764</v>
      </c>
    </row>
    <row r="1578" spans="1:3" x14ac:dyDescent="0.4">
      <c r="A1578">
        <v>82842</v>
      </c>
      <c r="B1578" t="s">
        <v>692</v>
      </c>
      <c r="C1578" t="s">
        <v>763</v>
      </c>
    </row>
    <row r="1579" spans="1:3" x14ac:dyDescent="0.4">
      <c r="A1579">
        <v>82843</v>
      </c>
      <c r="B1579" t="s">
        <v>692</v>
      </c>
      <c r="C1579" t="s">
        <v>762</v>
      </c>
    </row>
    <row r="1580" spans="1:3" x14ac:dyDescent="0.4">
      <c r="A1580">
        <v>82844</v>
      </c>
      <c r="B1580" t="s">
        <v>692</v>
      </c>
      <c r="C1580" t="s">
        <v>761</v>
      </c>
    </row>
    <row r="1581" spans="1:3" x14ac:dyDescent="0.4">
      <c r="A1581">
        <v>82845</v>
      </c>
      <c r="B1581" t="s">
        <v>692</v>
      </c>
      <c r="C1581" t="s">
        <v>760</v>
      </c>
    </row>
    <row r="1582" spans="1:3" x14ac:dyDescent="0.4">
      <c r="A1582">
        <v>82846</v>
      </c>
      <c r="B1582" t="s">
        <v>692</v>
      </c>
      <c r="C1582" t="s">
        <v>759</v>
      </c>
    </row>
    <row r="1583" spans="1:3" x14ac:dyDescent="0.4">
      <c r="A1583">
        <v>82847</v>
      </c>
      <c r="B1583" t="s">
        <v>692</v>
      </c>
      <c r="C1583" t="s">
        <v>758</v>
      </c>
    </row>
    <row r="1584" spans="1:3" x14ac:dyDescent="0.4">
      <c r="A1584">
        <v>82848</v>
      </c>
      <c r="B1584" t="s">
        <v>692</v>
      </c>
      <c r="C1584" t="s">
        <v>757</v>
      </c>
    </row>
    <row r="1585" spans="1:3" x14ac:dyDescent="0.4">
      <c r="A1585">
        <v>82849</v>
      </c>
      <c r="B1585" t="s">
        <v>692</v>
      </c>
      <c r="C1585" t="s">
        <v>756</v>
      </c>
    </row>
    <row r="1586" spans="1:3" x14ac:dyDescent="0.4">
      <c r="A1586">
        <v>82850</v>
      </c>
      <c r="B1586" t="s">
        <v>692</v>
      </c>
      <c r="C1586" t="s">
        <v>755</v>
      </c>
    </row>
    <row r="1587" spans="1:3" x14ac:dyDescent="0.4">
      <c r="A1587">
        <v>82851</v>
      </c>
      <c r="B1587" t="s">
        <v>692</v>
      </c>
      <c r="C1587" t="s">
        <v>754</v>
      </c>
    </row>
    <row r="1588" spans="1:3" x14ac:dyDescent="0.4">
      <c r="A1588">
        <v>82855</v>
      </c>
      <c r="B1588" t="s">
        <v>692</v>
      </c>
      <c r="C1588" t="s">
        <v>753</v>
      </c>
    </row>
    <row r="1589" spans="1:3" x14ac:dyDescent="0.4">
      <c r="A1589">
        <v>82856</v>
      </c>
      <c r="B1589" t="s">
        <v>692</v>
      </c>
      <c r="C1589" t="s">
        <v>752</v>
      </c>
    </row>
    <row r="1590" spans="1:3" x14ac:dyDescent="0.4">
      <c r="A1590">
        <v>82857</v>
      </c>
      <c r="B1590" t="s">
        <v>692</v>
      </c>
      <c r="C1590" t="s">
        <v>751</v>
      </c>
    </row>
    <row r="1591" spans="1:3" x14ac:dyDescent="0.4">
      <c r="A1591">
        <v>82858</v>
      </c>
      <c r="B1591" t="s">
        <v>692</v>
      </c>
      <c r="C1591" t="s">
        <v>750</v>
      </c>
    </row>
    <row r="1592" spans="1:3" x14ac:dyDescent="0.4">
      <c r="A1592">
        <v>82864</v>
      </c>
      <c r="B1592" t="s">
        <v>692</v>
      </c>
      <c r="C1592" t="s">
        <v>749</v>
      </c>
    </row>
    <row r="1593" spans="1:3" x14ac:dyDescent="0.4">
      <c r="A1593">
        <v>82865</v>
      </c>
      <c r="B1593" t="s">
        <v>692</v>
      </c>
      <c r="C1593" t="s">
        <v>748</v>
      </c>
    </row>
    <row r="1594" spans="1:3" x14ac:dyDescent="0.4">
      <c r="A1594">
        <v>82866</v>
      </c>
      <c r="B1594" t="s">
        <v>692</v>
      </c>
      <c r="C1594" t="s">
        <v>747</v>
      </c>
    </row>
    <row r="1595" spans="1:3" x14ac:dyDescent="0.4">
      <c r="A1595">
        <v>82867</v>
      </c>
      <c r="B1595" t="s">
        <v>692</v>
      </c>
      <c r="C1595" t="s">
        <v>746</v>
      </c>
    </row>
    <row r="1596" spans="1:3" x14ac:dyDescent="0.4">
      <c r="A1596">
        <v>82870</v>
      </c>
      <c r="B1596" t="s">
        <v>692</v>
      </c>
      <c r="C1596" t="s">
        <v>745</v>
      </c>
    </row>
    <row r="1597" spans="1:3" x14ac:dyDescent="0.4">
      <c r="A1597">
        <v>82871</v>
      </c>
      <c r="B1597" t="s">
        <v>692</v>
      </c>
      <c r="C1597" t="s">
        <v>744</v>
      </c>
    </row>
    <row r="1598" spans="1:3" x14ac:dyDescent="0.4">
      <c r="A1598">
        <v>82872</v>
      </c>
      <c r="B1598" t="s">
        <v>692</v>
      </c>
      <c r="C1598" t="s">
        <v>743</v>
      </c>
    </row>
    <row r="1599" spans="1:3" x14ac:dyDescent="0.4">
      <c r="A1599">
        <v>82873</v>
      </c>
      <c r="B1599" t="s">
        <v>692</v>
      </c>
      <c r="C1599" t="s">
        <v>742</v>
      </c>
    </row>
    <row r="1600" spans="1:3" x14ac:dyDescent="0.4">
      <c r="A1600">
        <v>82876</v>
      </c>
      <c r="B1600" t="s">
        <v>692</v>
      </c>
      <c r="C1600" t="s">
        <v>741</v>
      </c>
    </row>
    <row r="1601" spans="1:3" x14ac:dyDescent="0.4">
      <c r="A1601">
        <v>82877</v>
      </c>
      <c r="B1601" t="s">
        <v>692</v>
      </c>
      <c r="C1601" t="s">
        <v>740</v>
      </c>
    </row>
    <row r="1602" spans="1:3" x14ac:dyDescent="0.4">
      <c r="A1602">
        <v>82880</v>
      </c>
      <c r="B1602" t="s">
        <v>692</v>
      </c>
      <c r="C1602" t="s">
        <v>739</v>
      </c>
    </row>
    <row r="1603" spans="1:3" x14ac:dyDescent="0.4">
      <c r="A1603">
        <v>82881</v>
      </c>
      <c r="B1603" t="s">
        <v>692</v>
      </c>
      <c r="C1603" t="s">
        <v>738</v>
      </c>
    </row>
    <row r="1604" spans="1:3" x14ac:dyDescent="0.4">
      <c r="A1604">
        <v>82882</v>
      </c>
      <c r="B1604" t="s">
        <v>692</v>
      </c>
      <c r="C1604" t="s">
        <v>737</v>
      </c>
    </row>
    <row r="1605" spans="1:3" x14ac:dyDescent="0.4">
      <c r="A1605">
        <v>82883</v>
      </c>
      <c r="B1605" t="s">
        <v>692</v>
      </c>
      <c r="C1605" t="s">
        <v>736</v>
      </c>
    </row>
    <row r="1606" spans="1:3" x14ac:dyDescent="0.4">
      <c r="A1606">
        <v>82884</v>
      </c>
      <c r="B1606" t="s">
        <v>692</v>
      </c>
      <c r="C1606" t="s">
        <v>735</v>
      </c>
    </row>
    <row r="1607" spans="1:3" x14ac:dyDescent="0.4">
      <c r="A1607">
        <v>82885</v>
      </c>
      <c r="B1607" t="s">
        <v>692</v>
      </c>
      <c r="C1607" t="s">
        <v>734</v>
      </c>
    </row>
    <row r="1608" spans="1:3" x14ac:dyDescent="0.4">
      <c r="A1608">
        <v>82886</v>
      </c>
      <c r="B1608" t="s">
        <v>692</v>
      </c>
      <c r="C1608" t="s">
        <v>733</v>
      </c>
    </row>
    <row r="1609" spans="1:3" x14ac:dyDescent="0.4">
      <c r="A1609">
        <v>82887</v>
      </c>
      <c r="B1609" t="s">
        <v>692</v>
      </c>
      <c r="C1609" t="s">
        <v>732</v>
      </c>
    </row>
    <row r="1610" spans="1:3" x14ac:dyDescent="0.4">
      <c r="A1610">
        <v>82888</v>
      </c>
      <c r="B1610" t="s">
        <v>692</v>
      </c>
      <c r="C1610" t="s">
        <v>731</v>
      </c>
    </row>
    <row r="1611" spans="1:3" x14ac:dyDescent="0.4">
      <c r="A1611">
        <v>82889</v>
      </c>
      <c r="B1611" t="s">
        <v>692</v>
      </c>
      <c r="C1611" t="s">
        <v>730</v>
      </c>
    </row>
    <row r="1612" spans="1:3" x14ac:dyDescent="0.4">
      <c r="A1612">
        <v>82890</v>
      </c>
      <c r="B1612" t="s">
        <v>692</v>
      </c>
      <c r="C1612" t="s">
        <v>729</v>
      </c>
    </row>
    <row r="1613" spans="1:3" x14ac:dyDescent="0.4">
      <c r="A1613">
        <v>82891</v>
      </c>
      <c r="B1613" t="s">
        <v>692</v>
      </c>
      <c r="C1613" t="s">
        <v>728</v>
      </c>
    </row>
    <row r="1614" spans="1:3" x14ac:dyDescent="0.4">
      <c r="A1614">
        <v>82892</v>
      </c>
      <c r="B1614" t="s">
        <v>692</v>
      </c>
      <c r="C1614" t="s">
        <v>727</v>
      </c>
    </row>
    <row r="1615" spans="1:3" x14ac:dyDescent="0.4">
      <c r="A1615">
        <v>82893</v>
      </c>
      <c r="B1615" t="s">
        <v>692</v>
      </c>
      <c r="C1615" t="s">
        <v>726</v>
      </c>
    </row>
    <row r="1616" spans="1:3" x14ac:dyDescent="0.4">
      <c r="A1616">
        <v>82894</v>
      </c>
      <c r="B1616" t="s">
        <v>692</v>
      </c>
      <c r="C1616" t="s">
        <v>725</v>
      </c>
    </row>
    <row r="1617" spans="1:3" x14ac:dyDescent="0.4">
      <c r="A1617">
        <v>82895</v>
      </c>
      <c r="B1617" t="s">
        <v>692</v>
      </c>
      <c r="C1617" t="s">
        <v>724</v>
      </c>
    </row>
    <row r="1618" spans="1:3" x14ac:dyDescent="0.4">
      <c r="A1618">
        <v>84141</v>
      </c>
      <c r="B1618" t="s">
        <v>692</v>
      </c>
      <c r="C1618" t="s">
        <v>723</v>
      </c>
    </row>
    <row r="1619" spans="1:3" x14ac:dyDescent="0.4">
      <c r="A1619">
        <v>84142</v>
      </c>
      <c r="B1619" t="s">
        <v>692</v>
      </c>
      <c r="C1619" t="s">
        <v>722</v>
      </c>
    </row>
    <row r="1620" spans="1:3" x14ac:dyDescent="0.4">
      <c r="A1620">
        <v>84143</v>
      </c>
      <c r="B1620" t="s">
        <v>692</v>
      </c>
      <c r="C1620" t="s">
        <v>721</v>
      </c>
    </row>
    <row r="1621" spans="1:3" x14ac:dyDescent="0.4">
      <c r="A1621">
        <v>84144</v>
      </c>
      <c r="B1621" t="s">
        <v>692</v>
      </c>
      <c r="C1621" t="s">
        <v>720</v>
      </c>
    </row>
    <row r="1622" spans="1:3" x14ac:dyDescent="0.4">
      <c r="A1622">
        <v>84145</v>
      </c>
      <c r="B1622" t="s">
        <v>692</v>
      </c>
      <c r="C1622" t="s">
        <v>719</v>
      </c>
    </row>
    <row r="1623" spans="1:3" x14ac:dyDescent="0.4">
      <c r="A1623">
        <v>84146</v>
      </c>
      <c r="B1623" t="s">
        <v>692</v>
      </c>
      <c r="C1623" t="s">
        <v>718</v>
      </c>
    </row>
    <row r="1624" spans="1:3" x14ac:dyDescent="0.4">
      <c r="A1624">
        <v>84147</v>
      </c>
      <c r="B1624" t="s">
        <v>692</v>
      </c>
      <c r="C1624" t="s">
        <v>717</v>
      </c>
    </row>
    <row r="1625" spans="1:3" x14ac:dyDescent="0.4">
      <c r="A1625">
        <v>84148</v>
      </c>
      <c r="B1625" t="s">
        <v>692</v>
      </c>
      <c r="C1625" t="s">
        <v>716</v>
      </c>
    </row>
    <row r="1626" spans="1:3" x14ac:dyDescent="0.4">
      <c r="A1626">
        <v>84149</v>
      </c>
      <c r="B1626" t="s">
        <v>692</v>
      </c>
      <c r="C1626" t="s">
        <v>715</v>
      </c>
    </row>
    <row r="1627" spans="1:3" x14ac:dyDescent="0.4">
      <c r="A1627">
        <v>84150</v>
      </c>
      <c r="B1627" t="s">
        <v>692</v>
      </c>
      <c r="C1627" t="s">
        <v>714</v>
      </c>
    </row>
    <row r="1628" spans="1:3" x14ac:dyDescent="0.4">
      <c r="A1628">
        <v>84151</v>
      </c>
      <c r="B1628" t="s">
        <v>692</v>
      </c>
      <c r="C1628" t="s">
        <v>713</v>
      </c>
    </row>
    <row r="1629" spans="1:3" x14ac:dyDescent="0.4">
      <c r="A1629">
        <v>85141</v>
      </c>
      <c r="B1629" t="s">
        <v>692</v>
      </c>
      <c r="C1629" t="s">
        <v>712</v>
      </c>
    </row>
    <row r="1630" spans="1:3" x14ac:dyDescent="0.4">
      <c r="A1630">
        <v>85142</v>
      </c>
      <c r="B1630" t="s">
        <v>692</v>
      </c>
      <c r="C1630" t="s">
        <v>711</v>
      </c>
    </row>
    <row r="1631" spans="1:3" x14ac:dyDescent="0.4">
      <c r="A1631">
        <v>85143</v>
      </c>
      <c r="B1631" t="s">
        <v>692</v>
      </c>
      <c r="C1631" t="s">
        <v>710</v>
      </c>
    </row>
    <row r="1632" spans="1:3" x14ac:dyDescent="0.4">
      <c r="A1632">
        <v>85144</v>
      </c>
      <c r="B1632" t="s">
        <v>692</v>
      </c>
      <c r="C1632" t="s">
        <v>709</v>
      </c>
    </row>
    <row r="1633" spans="1:3" x14ac:dyDescent="0.4">
      <c r="A1633">
        <v>85145</v>
      </c>
      <c r="B1633" t="s">
        <v>692</v>
      </c>
      <c r="C1633" t="s">
        <v>708</v>
      </c>
    </row>
    <row r="1634" spans="1:3" x14ac:dyDescent="0.4">
      <c r="A1634">
        <v>85146</v>
      </c>
      <c r="B1634" t="s">
        <v>692</v>
      </c>
      <c r="C1634" t="s">
        <v>707</v>
      </c>
    </row>
    <row r="1635" spans="1:3" x14ac:dyDescent="0.4">
      <c r="A1635">
        <v>85147</v>
      </c>
      <c r="B1635" t="s">
        <v>692</v>
      </c>
      <c r="C1635" t="s">
        <v>706</v>
      </c>
    </row>
    <row r="1636" spans="1:3" x14ac:dyDescent="0.4">
      <c r="A1636">
        <v>85148</v>
      </c>
      <c r="B1636" t="s">
        <v>692</v>
      </c>
      <c r="C1636" t="s">
        <v>705</v>
      </c>
    </row>
    <row r="1637" spans="1:3" x14ac:dyDescent="0.4">
      <c r="A1637">
        <v>85149</v>
      </c>
      <c r="B1637" t="s">
        <v>692</v>
      </c>
      <c r="C1637" t="s">
        <v>704</v>
      </c>
    </row>
    <row r="1638" spans="1:3" x14ac:dyDescent="0.4">
      <c r="A1638">
        <v>85150</v>
      </c>
      <c r="B1638" t="s">
        <v>692</v>
      </c>
      <c r="C1638" t="s">
        <v>703</v>
      </c>
    </row>
    <row r="1639" spans="1:3" x14ac:dyDescent="0.4">
      <c r="A1639">
        <v>85151</v>
      </c>
      <c r="B1639" t="s">
        <v>692</v>
      </c>
      <c r="C1639" t="s">
        <v>702</v>
      </c>
    </row>
    <row r="1640" spans="1:3" x14ac:dyDescent="0.4">
      <c r="A1640">
        <v>88000</v>
      </c>
      <c r="B1640" t="s">
        <v>692</v>
      </c>
      <c r="C1640" t="s">
        <v>701</v>
      </c>
    </row>
    <row r="1641" spans="1:3" x14ac:dyDescent="0.4">
      <c r="A1641">
        <v>88001</v>
      </c>
      <c r="B1641" t="s">
        <v>692</v>
      </c>
      <c r="C1641" t="s">
        <v>700</v>
      </c>
    </row>
    <row r="1642" spans="1:3" x14ac:dyDescent="0.4">
      <c r="A1642">
        <v>88002</v>
      </c>
      <c r="B1642" t="s">
        <v>692</v>
      </c>
      <c r="C1642" t="s">
        <v>699</v>
      </c>
    </row>
    <row r="1643" spans="1:3" x14ac:dyDescent="0.4">
      <c r="A1643">
        <v>88003</v>
      </c>
      <c r="B1643" t="s">
        <v>692</v>
      </c>
      <c r="C1643" t="s">
        <v>698</v>
      </c>
    </row>
    <row r="1644" spans="1:3" x14ac:dyDescent="0.4">
      <c r="A1644">
        <v>88004</v>
      </c>
      <c r="B1644" t="s">
        <v>692</v>
      </c>
      <c r="C1644" t="s">
        <v>697</v>
      </c>
    </row>
    <row r="1645" spans="1:3" x14ac:dyDescent="0.4">
      <c r="A1645">
        <v>88005</v>
      </c>
      <c r="B1645" t="s">
        <v>692</v>
      </c>
      <c r="C1645" t="s">
        <v>696</v>
      </c>
    </row>
    <row r="1646" spans="1:3" x14ac:dyDescent="0.4">
      <c r="A1646">
        <v>88006</v>
      </c>
      <c r="B1646" t="s">
        <v>692</v>
      </c>
      <c r="C1646" t="s">
        <v>695</v>
      </c>
    </row>
    <row r="1647" spans="1:3" x14ac:dyDescent="0.4">
      <c r="A1647">
        <v>88007</v>
      </c>
      <c r="B1647" t="s">
        <v>692</v>
      </c>
      <c r="C1647" t="s">
        <v>694</v>
      </c>
    </row>
    <row r="1648" spans="1:3" x14ac:dyDescent="0.4">
      <c r="A1648">
        <v>88008</v>
      </c>
      <c r="B1648" t="s">
        <v>692</v>
      </c>
      <c r="C1648" t="s">
        <v>693</v>
      </c>
    </row>
    <row r="1649" spans="1:3" x14ac:dyDescent="0.4">
      <c r="A1649">
        <v>88009</v>
      </c>
      <c r="B1649" t="s">
        <v>692</v>
      </c>
      <c r="C1649" t="s">
        <v>691</v>
      </c>
    </row>
    <row r="1650" spans="1:3" x14ac:dyDescent="0.4">
      <c r="A1650">
        <v>90396</v>
      </c>
      <c r="B1650" t="s">
        <v>535</v>
      </c>
      <c r="C1650" t="s">
        <v>690</v>
      </c>
    </row>
    <row r="1651" spans="1:3" x14ac:dyDescent="0.4">
      <c r="A1651">
        <v>90397</v>
      </c>
      <c r="B1651" t="s">
        <v>535</v>
      </c>
      <c r="C1651" t="s">
        <v>689</v>
      </c>
    </row>
    <row r="1652" spans="1:3" x14ac:dyDescent="0.4">
      <c r="A1652">
        <v>90528</v>
      </c>
      <c r="B1652" t="s">
        <v>535</v>
      </c>
      <c r="C1652" t="s">
        <v>688</v>
      </c>
    </row>
    <row r="1653" spans="1:3" x14ac:dyDescent="0.4">
      <c r="A1653">
        <v>90529</v>
      </c>
      <c r="B1653" t="s">
        <v>535</v>
      </c>
      <c r="C1653" t="s">
        <v>687</v>
      </c>
    </row>
    <row r="1654" spans="1:3" x14ac:dyDescent="0.4">
      <c r="A1654">
        <v>90530</v>
      </c>
      <c r="B1654" t="s">
        <v>535</v>
      </c>
      <c r="C1654" t="s">
        <v>686</v>
      </c>
    </row>
    <row r="1655" spans="1:3" x14ac:dyDescent="0.4">
      <c r="A1655">
        <v>90531</v>
      </c>
      <c r="B1655" t="s">
        <v>535</v>
      </c>
      <c r="C1655" t="s">
        <v>685</v>
      </c>
    </row>
    <row r="1656" spans="1:3" x14ac:dyDescent="0.4">
      <c r="A1656">
        <v>90532</v>
      </c>
      <c r="B1656" t="s">
        <v>535</v>
      </c>
      <c r="C1656" t="s">
        <v>684</v>
      </c>
    </row>
    <row r="1657" spans="1:3" x14ac:dyDescent="0.4">
      <c r="A1657">
        <v>90533</v>
      </c>
      <c r="B1657" t="s">
        <v>535</v>
      </c>
      <c r="C1657" t="s">
        <v>683</v>
      </c>
    </row>
    <row r="1658" spans="1:3" x14ac:dyDescent="0.4">
      <c r="A1658">
        <v>90534</v>
      </c>
      <c r="B1658" t="s">
        <v>535</v>
      </c>
      <c r="C1658" t="s">
        <v>682</v>
      </c>
    </row>
    <row r="1659" spans="1:3" x14ac:dyDescent="0.4">
      <c r="A1659">
        <v>90535</v>
      </c>
      <c r="B1659" t="s">
        <v>535</v>
      </c>
      <c r="C1659" t="s">
        <v>681</v>
      </c>
    </row>
    <row r="1660" spans="1:3" x14ac:dyDescent="0.4">
      <c r="A1660">
        <v>90536</v>
      </c>
      <c r="B1660" t="s">
        <v>535</v>
      </c>
      <c r="C1660" t="s">
        <v>680</v>
      </c>
    </row>
    <row r="1661" spans="1:3" x14ac:dyDescent="0.4">
      <c r="A1661">
        <v>90537</v>
      </c>
      <c r="B1661" t="s">
        <v>535</v>
      </c>
      <c r="C1661" t="s">
        <v>679</v>
      </c>
    </row>
    <row r="1662" spans="1:3" x14ac:dyDescent="0.4">
      <c r="A1662">
        <v>90538</v>
      </c>
      <c r="B1662" t="s">
        <v>535</v>
      </c>
      <c r="C1662" t="s">
        <v>678</v>
      </c>
    </row>
    <row r="1663" spans="1:3" x14ac:dyDescent="0.4">
      <c r="A1663">
        <v>90539</v>
      </c>
      <c r="B1663" t="s">
        <v>535</v>
      </c>
      <c r="C1663" t="s">
        <v>677</v>
      </c>
    </row>
    <row r="1664" spans="1:3" x14ac:dyDescent="0.4">
      <c r="A1664">
        <v>90540</v>
      </c>
      <c r="B1664" t="s">
        <v>535</v>
      </c>
      <c r="C1664" t="s">
        <v>676</v>
      </c>
    </row>
    <row r="1665" spans="1:3" x14ac:dyDescent="0.4">
      <c r="A1665">
        <v>90541</v>
      </c>
      <c r="B1665" t="s">
        <v>535</v>
      </c>
      <c r="C1665" t="s">
        <v>675</v>
      </c>
    </row>
    <row r="1666" spans="1:3" x14ac:dyDescent="0.4">
      <c r="A1666">
        <v>90544</v>
      </c>
      <c r="B1666" t="s">
        <v>535</v>
      </c>
      <c r="C1666" t="s">
        <v>674</v>
      </c>
    </row>
    <row r="1667" spans="1:3" x14ac:dyDescent="0.4">
      <c r="A1667">
        <v>90545</v>
      </c>
      <c r="B1667" t="s">
        <v>535</v>
      </c>
      <c r="C1667" t="s">
        <v>673</v>
      </c>
    </row>
    <row r="1668" spans="1:3" x14ac:dyDescent="0.4">
      <c r="A1668">
        <v>90548</v>
      </c>
      <c r="B1668" t="s">
        <v>535</v>
      </c>
      <c r="C1668" t="s">
        <v>672</v>
      </c>
    </row>
    <row r="1669" spans="1:3" x14ac:dyDescent="0.4">
      <c r="A1669">
        <v>90549</v>
      </c>
      <c r="B1669" t="s">
        <v>535</v>
      </c>
      <c r="C1669" t="s">
        <v>671</v>
      </c>
    </row>
    <row r="1670" spans="1:3" x14ac:dyDescent="0.4">
      <c r="A1670">
        <v>90552</v>
      </c>
      <c r="B1670" t="s">
        <v>535</v>
      </c>
      <c r="C1670" t="s">
        <v>670</v>
      </c>
    </row>
    <row r="1671" spans="1:3" x14ac:dyDescent="0.4">
      <c r="A1671">
        <v>90553</v>
      </c>
      <c r="B1671" t="s">
        <v>535</v>
      </c>
      <c r="C1671" t="s">
        <v>669</v>
      </c>
    </row>
    <row r="1672" spans="1:3" x14ac:dyDescent="0.4">
      <c r="A1672">
        <v>90554</v>
      </c>
      <c r="B1672" t="s">
        <v>535</v>
      </c>
      <c r="C1672" t="s">
        <v>668</v>
      </c>
    </row>
    <row r="1673" spans="1:3" x14ac:dyDescent="0.4">
      <c r="A1673">
        <v>90555</v>
      </c>
      <c r="B1673" t="s">
        <v>535</v>
      </c>
      <c r="C1673" t="s">
        <v>667</v>
      </c>
    </row>
    <row r="1674" spans="1:3" x14ac:dyDescent="0.4">
      <c r="A1674">
        <v>90560</v>
      </c>
      <c r="B1674" t="s">
        <v>535</v>
      </c>
      <c r="C1674" t="s">
        <v>666</v>
      </c>
    </row>
    <row r="1675" spans="1:3" x14ac:dyDescent="0.4">
      <c r="A1675">
        <v>90561</v>
      </c>
      <c r="B1675" t="s">
        <v>535</v>
      </c>
      <c r="C1675" t="s">
        <v>665</v>
      </c>
    </row>
    <row r="1676" spans="1:3" x14ac:dyDescent="0.4">
      <c r="A1676">
        <v>90562</v>
      </c>
      <c r="B1676" t="s">
        <v>535</v>
      </c>
      <c r="C1676" t="s">
        <v>664</v>
      </c>
    </row>
    <row r="1677" spans="1:3" x14ac:dyDescent="0.4">
      <c r="A1677">
        <v>90563</v>
      </c>
      <c r="B1677" t="s">
        <v>535</v>
      </c>
      <c r="C1677" t="s">
        <v>663</v>
      </c>
    </row>
    <row r="1678" spans="1:3" x14ac:dyDescent="0.4">
      <c r="A1678">
        <v>90564</v>
      </c>
      <c r="B1678" t="s">
        <v>535</v>
      </c>
      <c r="C1678" t="s">
        <v>662</v>
      </c>
    </row>
    <row r="1679" spans="1:3" x14ac:dyDescent="0.4">
      <c r="A1679">
        <v>90565</v>
      </c>
      <c r="B1679" t="s">
        <v>535</v>
      </c>
      <c r="C1679" t="s">
        <v>661</v>
      </c>
    </row>
    <row r="1680" spans="1:3" x14ac:dyDescent="0.4">
      <c r="A1680">
        <v>90566</v>
      </c>
      <c r="B1680" t="s">
        <v>535</v>
      </c>
      <c r="C1680" t="s">
        <v>660</v>
      </c>
    </row>
    <row r="1681" spans="1:3" x14ac:dyDescent="0.4">
      <c r="A1681">
        <v>90567</v>
      </c>
      <c r="B1681" t="s">
        <v>535</v>
      </c>
      <c r="C1681" t="s">
        <v>659</v>
      </c>
    </row>
    <row r="1682" spans="1:3" x14ac:dyDescent="0.4">
      <c r="A1682">
        <v>90570</v>
      </c>
      <c r="B1682" t="s">
        <v>535</v>
      </c>
      <c r="C1682" t="s">
        <v>658</v>
      </c>
    </row>
    <row r="1683" spans="1:3" x14ac:dyDescent="0.4">
      <c r="A1683">
        <v>90571</v>
      </c>
      <c r="B1683" t="s">
        <v>535</v>
      </c>
      <c r="C1683" t="s">
        <v>657</v>
      </c>
    </row>
    <row r="1684" spans="1:3" x14ac:dyDescent="0.4">
      <c r="A1684">
        <v>90572</v>
      </c>
      <c r="B1684" t="s">
        <v>535</v>
      </c>
      <c r="C1684" t="s">
        <v>656</v>
      </c>
    </row>
    <row r="1685" spans="1:3" x14ac:dyDescent="0.4">
      <c r="A1685">
        <v>90573</v>
      </c>
      <c r="B1685" t="s">
        <v>535</v>
      </c>
      <c r="C1685" t="s">
        <v>655</v>
      </c>
    </row>
    <row r="1686" spans="1:3" x14ac:dyDescent="0.4">
      <c r="A1686">
        <v>90576</v>
      </c>
      <c r="B1686" t="s">
        <v>535</v>
      </c>
      <c r="C1686" t="s">
        <v>654</v>
      </c>
    </row>
    <row r="1687" spans="1:3" x14ac:dyDescent="0.4">
      <c r="A1687">
        <v>90577</v>
      </c>
      <c r="B1687" t="s">
        <v>535</v>
      </c>
      <c r="C1687" t="s">
        <v>653</v>
      </c>
    </row>
    <row r="1688" spans="1:3" x14ac:dyDescent="0.4">
      <c r="A1688">
        <v>90578</v>
      </c>
      <c r="B1688" t="s">
        <v>535</v>
      </c>
      <c r="C1688" t="s">
        <v>652</v>
      </c>
    </row>
    <row r="1689" spans="1:3" x14ac:dyDescent="0.4">
      <c r="A1689">
        <v>90579</v>
      </c>
      <c r="B1689" t="s">
        <v>535</v>
      </c>
      <c r="C1689" t="s">
        <v>651</v>
      </c>
    </row>
    <row r="1690" spans="1:3" x14ac:dyDescent="0.4">
      <c r="A1690">
        <v>90582</v>
      </c>
      <c r="B1690" t="s">
        <v>535</v>
      </c>
      <c r="C1690" t="s">
        <v>650</v>
      </c>
    </row>
    <row r="1691" spans="1:3" x14ac:dyDescent="0.4">
      <c r="A1691">
        <v>90583</v>
      </c>
      <c r="B1691" t="s">
        <v>535</v>
      </c>
      <c r="C1691" t="s">
        <v>649</v>
      </c>
    </row>
    <row r="1692" spans="1:3" x14ac:dyDescent="0.4">
      <c r="A1692">
        <v>90584</v>
      </c>
      <c r="B1692" t="s">
        <v>535</v>
      </c>
      <c r="C1692" t="s">
        <v>648</v>
      </c>
    </row>
    <row r="1693" spans="1:3" x14ac:dyDescent="0.4">
      <c r="A1693">
        <v>90585</v>
      </c>
      <c r="B1693" t="s">
        <v>535</v>
      </c>
      <c r="C1693" t="s">
        <v>647</v>
      </c>
    </row>
    <row r="1694" spans="1:3" x14ac:dyDescent="0.4">
      <c r="A1694">
        <v>90588</v>
      </c>
      <c r="B1694" t="s">
        <v>535</v>
      </c>
      <c r="C1694" t="s">
        <v>646</v>
      </c>
    </row>
    <row r="1695" spans="1:3" x14ac:dyDescent="0.4">
      <c r="A1695">
        <v>90589</v>
      </c>
      <c r="B1695" t="s">
        <v>535</v>
      </c>
      <c r="C1695" t="s">
        <v>645</v>
      </c>
    </row>
    <row r="1696" spans="1:3" x14ac:dyDescent="0.4">
      <c r="A1696">
        <v>90590</v>
      </c>
      <c r="B1696" t="s">
        <v>535</v>
      </c>
      <c r="C1696" t="s">
        <v>644</v>
      </c>
    </row>
    <row r="1697" spans="1:3" x14ac:dyDescent="0.4">
      <c r="A1697">
        <v>90591</v>
      </c>
      <c r="B1697" t="s">
        <v>535</v>
      </c>
      <c r="C1697" t="s">
        <v>643</v>
      </c>
    </row>
    <row r="1698" spans="1:3" x14ac:dyDescent="0.4">
      <c r="A1698">
        <v>90752</v>
      </c>
      <c r="B1698" t="s">
        <v>535</v>
      </c>
      <c r="C1698" t="s">
        <v>642</v>
      </c>
    </row>
    <row r="1699" spans="1:3" x14ac:dyDescent="0.4">
      <c r="A1699">
        <v>90861</v>
      </c>
      <c r="B1699" t="s">
        <v>535</v>
      </c>
      <c r="C1699" t="s">
        <v>641</v>
      </c>
    </row>
    <row r="1700" spans="1:3" x14ac:dyDescent="0.4">
      <c r="A1700">
        <v>90862</v>
      </c>
      <c r="B1700" t="s">
        <v>535</v>
      </c>
      <c r="C1700" t="s">
        <v>640</v>
      </c>
    </row>
    <row r="1701" spans="1:3" x14ac:dyDescent="0.4">
      <c r="A1701">
        <v>90912</v>
      </c>
      <c r="B1701" t="s">
        <v>535</v>
      </c>
      <c r="C1701" t="s">
        <v>639</v>
      </c>
    </row>
    <row r="1702" spans="1:3" x14ac:dyDescent="0.4">
      <c r="A1702">
        <v>90913</v>
      </c>
      <c r="B1702" t="s">
        <v>535</v>
      </c>
      <c r="C1702" t="s">
        <v>638</v>
      </c>
    </row>
    <row r="1703" spans="1:3" x14ac:dyDescent="0.4">
      <c r="A1703">
        <v>90914</v>
      </c>
      <c r="B1703" t="s">
        <v>535</v>
      </c>
      <c r="C1703" t="s">
        <v>637</v>
      </c>
    </row>
    <row r="1704" spans="1:3" x14ac:dyDescent="0.4">
      <c r="A1704">
        <v>90915</v>
      </c>
      <c r="B1704" t="s">
        <v>535</v>
      </c>
      <c r="C1704" t="s">
        <v>636</v>
      </c>
    </row>
    <row r="1705" spans="1:3" x14ac:dyDescent="0.4">
      <c r="A1705">
        <v>90916</v>
      </c>
      <c r="B1705" t="s">
        <v>535</v>
      </c>
      <c r="C1705" t="s">
        <v>635</v>
      </c>
    </row>
    <row r="1706" spans="1:3" x14ac:dyDescent="0.4">
      <c r="A1706">
        <v>90917</v>
      </c>
      <c r="B1706" t="s">
        <v>535</v>
      </c>
      <c r="C1706" t="s">
        <v>634</v>
      </c>
    </row>
    <row r="1707" spans="1:3" x14ac:dyDescent="0.4">
      <c r="A1707">
        <v>90918</v>
      </c>
      <c r="B1707" t="s">
        <v>535</v>
      </c>
      <c r="C1707" t="s">
        <v>633</v>
      </c>
    </row>
    <row r="1708" spans="1:3" x14ac:dyDescent="0.4">
      <c r="A1708">
        <v>90919</v>
      </c>
      <c r="B1708" t="s">
        <v>535</v>
      </c>
      <c r="C1708" t="s">
        <v>632</v>
      </c>
    </row>
    <row r="1709" spans="1:3" x14ac:dyDescent="0.4">
      <c r="A1709">
        <v>90920</v>
      </c>
      <c r="B1709" t="s">
        <v>535</v>
      </c>
      <c r="C1709" t="s">
        <v>631</v>
      </c>
    </row>
    <row r="1710" spans="1:3" x14ac:dyDescent="0.4">
      <c r="A1710">
        <v>90921</v>
      </c>
      <c r="B1710" t="s">
        <v>535</v>
      </c>
      <c r="C1710" t="s">
        <v>630</v>
      </c>
    </row>
    <row r="1711" spans="1:3" x14ac:dyDescent="0.4">
      <c r="A1711">
        <v>92396</v>
      </c>
      <c r="B1711" t="s">
        <v>535</v>
      </c>
      <c r="C1711" t="s">
        <v>629</v>
      </c>
    </row>
    <row r="1712" spans="1:3" x14ac:dyDescent="0.4">
      <c r="A1712">
        <v>92397</v>
      </c>
      <c r="B1712" t="s">
        <v>535</v>
      </c>
      <c r="C1712" t="s">
        <v>628</v>
      </c>
    </row>
    <row r="1713" spans="1:3" x14ac:dyDescent="0.4">
      <c r="A1713">
        <v>92528</v>
      </c>
      <c r="B1713" t="s">
        <v>535</v>
      </c>
      <c r="C1713" t="s">
        <v>627</v>
      </c>
    </row>
    <row r="1714" spans="1:3" x14ac:dyDescent="0.4">
      <c r="A1714">
        <v>92529</v>
      </c>
      <c r="B1714" t="s">
        <v>535</v>
      </c>
      <c r="C1714" t="s">
        <v>626</v>
      </c>
    </row>
    <row r="1715" spans="1:3" x14ac:dyDescent="0.4">
      <c r="A1715">
        <v>92530</v>
      </c>
      <c r="B1715" t="s">
        <v>535</v>
      </c>
      <c r="C1715" t="s">
        <v>625</v>
      </c>
    </row>
    <row r="1716" spans="1:3" x14ac:dyDescent="0.4">
      <c r="A1716">
        <v>92531</v>
      </c>
      <c r="B1716" t="s">
        <v>535</v>
      </c>
      <c r="C1716" t="s">
        <v>624</v>
      </c>
    </row>
    <row r="1717" spans="1:3" x14ac:dyDescent="0.4">
      <c r="A1717">
        <v>92532</v>
      </c>
      <c r="B1717" t="s">
        <v>535</v>
      </c>
      <c r="C1717" t="s">
        <v>623</v>
      </c>
    </row>
    <row r="1718" spans="1:3" x14ac:dyDescent="0.4">
      <c r="A1718">
        <v>92533</v>
      </c>
      <c r="B1718" t="s">
        <v>535</v>
      </c>
      <c r="C1718" t="s">
        <v>622</v>
      </c>
    </row>
    <row r="1719" spans="1:3" x14ac:dyDescent="0.4">
      <c r="A1719">
        <v>92534</v>
      </c>
      <c r="B1719" t="s">
        <v>535</v>
      </c>
      <c r="C1719" t="s">
        <v>621</v>
      </c>
    </row>
    <row r="1720" spans="1:3" x14ac:dyDescent="0.4">
      <c r="A1720">
        <v>92535</v>
      </c>
      <c r="B1720" t="s">
        <v>535</v>
      </c>
      <c r="C1720" t="s">
        <v>620</v>
      </c>
    </row>
    <row r="1721" spans="1:3" x14ac:dyDescent="0.4">
      <c r="A1721">
        <v>92536</v>
      </c>
      <c r="B1721" t="s">
        <v>535</v>
      </c>
      <c r="C1721" t="s">
        <v>619</v>
      </c>
    </row>
    <row r="1722" spans="1:3" x14ac:dyDescent="0.4">
      <c r="A1722">
        <v>92537</v>
      </c>
      <c r="B1722" t="s">
        <v>535</v>
      </c>
      <c r="C1722" t="s">
        <v>618</v>
      </c>
    </row>
    <row r="1723" spans="1:3" x14ac:dyDescent="0.4">
      <c r="A1723">
        <v>92538</v>
      </c>
      <c r="B1723" t="s">
        <v>535</v>
      </c>
      <c r="C1723" t="s">
        <v>617</v>
      </c>
    </row>
    <row r="1724" spans="1:3" x14ac:dyDescent="0.4">
      <c r="A1724">
        <v>92539</v>
      </c>
      <c r="B1724" t="s">
        <v>535</v>
      </c>
      <c r="C1724" t="s">
        <v>616</v>
      </c>
    </row>
    <row r="1725" spans="1:3" x14ac:dyDescent="0.4">
      <c r="A1725">
        <v>92540</v>
      </c>
      <c r="B1725" t="s">
        <v>535</v>
      </c>
      <c r="C1725" t="s">
        <v>615</v>
      </c>
    </row>
    <row r="1726" spans="1:3" x14ac:dyDescent="0.4">
      <c r="A1726">
        <v>92541</v>
      </c>
      <c r="B1726" t="s">
        <v>535</v>
      </c>
      <c r="C1726" t="s">
        <v>614</v>
      </c>
    </row>
    <row r="1727" spans="1:3" x14ac:dyDescent="0.4">
      <c r="A1727">
        <v>92544</v>
      </c>
      <c r="B1727" t="s">
        <v>535</v>
      </c>
      <c r="C1727" t="s">
        <v>613</v>
      </c>
    </row>
    <row r="1728" spans="1:3" x14ac:dyDescent="0.4">
      <c r="A1728">
        <v>92545</v>
      </c>
      <c r="B1728" t="s">
        <v>535</v>
      </c>
      <c r="C1728" t="s">
        <v>612</v>
      </c>
    </row>
    <row r="1729" spans="1:3" x14ac:dyDescent="0.4">
      <c r="A1729">
        <v>92548</v>
      </c>
      <c r="B1729" t="s">
        <v>535</v>
      </c>
      <c r="C1729" t="s">
        <v>611</v>
      </c>
    </row>
    <row r="1730" spans="1:3" x14ac:dyDescent="0.4">
      <c r="A1730">
        <v>92549</v>
      </c>
      <c r="B1730" t="s">
        <v>535</v>
      </c>
      <c r="C1730" t="s">
        <v>610</v>
      </c>
    </row>
    <row r="1731" spans="1:3" x14ac:dyDescent="0.4">
      <c r="A1731">
        <v>92552</v>
      </c>
      <c r="B1731" t="s">
        <v>535</v>
      </c>
      <c r="C1731" t="s">
        <v>609</v>
      </c>
    </row>
    <row r="1732" spans="1:3" x14ac:dyDescent="0.4">
      <c r="A1732">
        <v>92553</v>
      </c>
      <c r="B1732" t="s">
        <v>535</v>
      </c>
      <c r="C1732" t="s">
        <v>608</v>
      </c>
    </row>
    <row r="1733" spans="1:3" x14ac:dyDescent="0.4">
      <c r="A1733">
        <v>92554</v>
      </c>
      <c r="B1733" t="s">
        <v>535</v>
      </c>
      <c r="C1733" t="s">
        <v>607</v>
      </c>
    </row>
    <row r="1734" spans="1:3" x14ac:dyDescent="0.4">
      <c r="A1734">
        <v>92555</v>
      </c>
      <c r="B1734" t="s">
        <v>535</v>
      </c>
      <c r="C1734" t="s">
        <v>606</v>
      </c>
    </row>
    <row r="1735" spans="1:3" x14ac:dyDescent="0.4">
      <c r="A1735">
        <v>92560</v>
      </c>
      <c r="B1735" t="s">
        <v>535</v>
      </c>
      <c r="C1735" t="s">
        <v>605</v>
      </c>
    </row>
    <row r="1736" spans="1:3" x14ac:dyDescent="0.4">
      <c r="A1736">
        <v>92561</v>
      </c>
      <c r="B1736" t="s">
        <v>535</v>
      </c>
      <c r="C1736" t="s">
        <v>604</v>
      </c>
    </row>
    <row r="1737" spans="1:3" x14ac:dyDescent="0.4">
      <c r="A1737">
        <v>92562</v>
      </c>
      <c r="B1737" t="s">
        <v>535</v>
      </c>
      <c r="C1737" t="s">
        <v>603</v>
      </c>
    </row>
    <row r="1738" spans="1:3" x14ac:dyDescent="0.4">
      <c r="A1738">
        <v>92563</v>
      </c>
      <c r="B1738" t="s">
        <v>535</v>
      </c>
      <c r="C1738" t="s">
        <v>602</v>
      </c>
    </row>
    <row r="1739" spans="1:3" x14ac:dyDescent="0.4">
      <c r="A1739">
        <v>92564</v>
      </c>
      <c r="B1739" t="s">
        <v>535</v>
      </c>
      <c r="C1739" t="s">
        <v>601</v>
      </c>
    </row>
    <row r="1740" spans="1:3" x14ac:dyDescent="0.4">
      <c r="A1740">
        <v>92565</v>
      </c>
      <c r="B1740" t="s">
        <v>535</v>
      </c>
      <c r="C1740" t="s">
        <v>600</v>
      </c>
    </row>
    <row r="1741" spans="1:3" x14ac:dyDescent="0.4">
      <c r="A1741">
        <v>92566</v>
      </c>
      <c r="B1741" t="s">
        <v>535</v>
      </c>
      <c r="C1741" t="s">
        <v>599</v>
      </c>
    </row>
    <row r="1742" spans="1:3" x14ac:dyDescent="0.4">
      <c r="A1742">
        <v>92567</v>
      </c>
      <c r="B1742" t="s">
        <v>535</v>
      </c>
      <c r="C1742" t="s">
        <v>598</v>
      </c>
    </row>
    <row r="1743" spans="1:3" x14ac:dyDescent="0.4">
      <c r="A1743">
        <v>92570</v>
      </c>
      <c r="B1743" t="s">
        <v>535</v>
      </c>
      <c r="C1743" t="s">
        <v>597</v>
      </c>
    </row>
    <row r="1744" spans="1:3" x14ac:dyDescent="0.4">
      <c r="A1744">
        <v>92571</v>
      </c>
      <c r="B1744" t="s">
        <v>535</v>
      </c>
      <c r="C1744" t="s">
        <v>596</v>
      </c>
    </row>
    <row r="1745" spans="1:3" x14ac:dyDescent="0.4">
      <c r="A1745">
        <v>92572</v>
      </c>
      <c r="B1745" t="s">
        <v>535</v>
      </c>
      <c r="C1745" t="s">
        <v>595</v>
      </c>
    </row>
    <row r="1746" spans="1:3" x14ac:dyDescent="0.4">
      <c r="A1746">
        <v>92573</v>
      </c>
      <c r="B1746" t="s">
        <v>535</v>
      </c>
      <c r="C1746" t="s">
        <v>594</v>
      </c>
    </row>
    <row r="1747" spans="1:3" x14ac:dyDescent="0.4">
      <c r="A1747">
        <v>92576</v>
      </c>
      <c r="B1747" t="s">
        <v>535</v>
      </c>
      <c r="C1747" t="s">
        <v>593</v>
      </c>
    </row>
    <row r="1748" spans="1:3" x14ac:dyDescent="0.4">
      <c r="A1748">
        <v>92577</v>
      </c>
      <c r="B1748" t="s">
        <v>535</v>
      </c>
      <c r="C1748" t="s">
        <v>592</v>
      </c>
    </row>
    <row r="1749" spans="1:3" x14ac:dyDescent="0.4">
      <c r="A1749">
        <v>92578</v>
      </c>
      <c r="B1749" t="s">
        <v>535</v>
      </c>
      <c r="C1749" t="s">
        <v>591</v>
      </c>
    </row>
    <row r="1750" spans="1:3" x14ac:dyDescent="0.4">
      <c r="A1750">
        <v>92579</v>
      </c>
      <c r="B1750" t="s">
        <v>535</v>
      </c>
      <c r="C1750" t="s">
        <v>590</v>
      </c>
    </row>
    <row r="1751" spans="1:3" x14ac:dyDescent="0.4">
      <c r="A1751">
        <v>92582</v>
      </c>
      <c r="B1751" t="s">
        <v>535</v>
      </c>
      <c r="C1751" t="s">
        <v>589</v>
      </c>
    </row>
    <row r="1752" spans="1:3" x14ac:dyDescent="0.4">
      <c r="A1752">
        <v>92583</v>
      </c>
      <c r="B1752" t="s">
        <v>535</v>
      </c>
      <c r="C1752" t="s">
        <v>588</v>
      </c>
    </row>
    <row r="1753" spans="1:3" x14ac:dyDescent="0.4">
      <c r="A1753">
        <v>92584</v>
      </c>
      <c r="B1753" t="s">
        <v>535</v>
      </c>
      <c r="C1753" t="s">
        <v>587</v>
      </c>
    </row>
    <row r="1754" spans="1:3" x14ac:dyDescent="0.4">
      <c r="A1754">
        <v>92585</v>
      </c>
      <c r="B1754" t="s">
        <v>535</v>
      </c>
      <c r="C1754" t="s">
        <v>586</v>
      </c>
    </row>
    <row r="1755" spans="1:3" x14ac:dyDescent="0.4">
      <c r="A1755">
        <v>92588</v>
      </c>
      <c r="B1755" t="s">
        <v>535</v>
      </c>
      <c r="C1755" t="s">
        <v>585</v>
      </c>
    </row>
    <row r="1756" spans="1:3" x14ac:dyDescent="0.4">
      <c r="A1756">
        <v>92589</v>
      </c>
      <c r="B1756" t="s">
        <v>535</v>
      </c>
      <c r="C1756" t="s">
        <v>584</v>
      </c>
    </row>
    <row r="1757" spans="1:3" x14ac:dyDescent="0.4">
      <c r="A1757">
        <v>92590</v>
      </c>
      <c r="B1757" t="s">
        <v>535</v>
      </c>
      <c r="C1757" t="s">
        <v>583</v>
      </c>
    </row>
    <row r="1758" spans="1:3" x14ac:dyDescent="0.4">
      <c r="A1758">
        <v>92591</v>
      </c>
      <c r="B1758" t="s">
        <v>535</v>
      </c>
      <c r="C1758" t="s">
        <v>582</v>
      </c>
    </row>
    <row r="1759" spans="1:3" x14ac:dyDescent="0.4">
      <c r="A1759">
        <v>92752</v>
      </c>
      <c r="B1759" t="s">
        <v>535</v>
      </c>
      <c r="C1759" t="s">
        <v>581</v>
      </c>
    </row>
    <row r="1760" spans="1:3" x14ac:dyDescent="0.4">
      <c r="A1760">
        <v>92861</v>
      </c>
      <c r="B1760" t="s">
        <v>535</v>
      </c>
      <c r="C1760" t="s">
        <v>580</v>
      </c>
    </row>
    <row r="1761" spans="1:3" x14ac:dyDescent="0.4">
      <c r="A1761">
        <v>92862</v>
      </c>
      <c r="B1761" t="s">
        <v>535</v>
      </c>
      <c r="C1761" t="s">
        <v>579</v>
      </c>
    </row>
    <row r="1762" spans="1:3" x14ac:dyDescent="0.4">
      <c r="A1762">
        <v>92912</v>
      </c>
      <c r="B1762" t="s">
        <v>535</v>
      </c>
      <c r="C1762" t="s">
        <v>578</v>
      </c>
    </row>
    <row r="1763" spans="1:3" x14ac:dyDescent="0.4">
      <c r="A1763">
        <v>92913</v>
      </c>
      <c r="B1763" t="s">
        <v>535</v>
      </c>
      <c r="C1763" t="s">
        <v>577</v>
      </c>
    </row>
    <row r="1764" spans="1:3" x14ac:dyDescent="0.4">
      <c r="A1764">
        <v>92914</v>
      </c>
      <c r="B1764" t="s">
        <v>535</v>
      </c>
      <c r="C1764" t="s">
        <v>576</v>
      </c>
    </row>
    <row r="1765" spans="1:3" x14ac:dyDescent="0.4">
      <c r="A1765">
        <v>92915</v>
      </c>
      <c r="B1765" t="s">
        <v>535</v>
      </c>
      <c r="C1765" t="s">
        <v>575</v>
      </c>
    </row>
    <row r="1766" spans="1:3" x14ac:dyDescent="0.4">
      <c r="A1766">
        <v>92916</v>
      </c>
      <c r="B1766" t="s">
        <v>535</v>
      </c>
      <c r="C1766" t="s">
        <v>574</v>
      </c>
    </row>
    <row r="1767" spans="1:3" x14ac:dyDescent="0.4">
      <c r="A1767">
        <v>92917</v>
      </c>
      <c r="B1767" t="s">
        <v>535</v>
      </c>
      <c r="C1767" t="s">
        <v>573</v>
      </c>
    </row>
    <row r="1768" spans="1:3" x14ac:dyDescent="0.4">
      <c r="A1768">
        <v>92918</v>
      </c>
      <c r="B1768" t="s">
        <v>535</v>
      </c>
      <c r="C1768" t="s">
        <v>572</v>
      </c>
    </row>
    <row r="1769" spans="1:3" x14ac:dyDescent="0.4">
      <c r="A1769">
        <v>92919</v>
      </c>
      <c r="B1769" t="s">
        <v>535</v>
      </c>
      <c r="C1769" t="s">
        <v>571</v>
      </c>
    </row>
    <row r="1770" spans="1:3" x14ac:dyDescent="0.4">
      <c r="A1770">
        <v>92920</v>
      </c>
      <c r="B1770" t="s">
        <v>535</v>
      </c>
      <c r="C1770" t="s">
        <v>570</v>
      </c>
    </row>
    <row r="1771" spans="1:3" x14ac:dyDescent="0.4">
      <c r="A1771">
        <v>92921</v>
      </c>
      <c r="B1771" t="s">
        <v>535</v>
      </c>
      <c r="C1771" t="s">
        <v>569</v>
      </c>
    </row>
    <row r="1772" spans="1:3" x14ac:dyDescent="0.4">
      <c r="A1772">
        <v>94152</v>
      </c>
      <c r="B1772" t="s">
        <v>535</v>
      </c>
      <c r="C1772" t="s">
        <v>568</v>
      </c>
    </row>
    <row r="1773" spans="1:3" x14ac:dyDescent="0.4">
      <c r="A1773">
        <v>94153</v>
      </c>
      <c r="B1773" t="s">
        <v>535</v>
      </c>
      <c r="C1773" t="s">
        <v>567</v>
      </c>
    </row>
    <row r="1774" spans="1:3" x14ac:dyDescent="0.4">
      <c r="A1774">
        <v>94154</v>
      </c>
      <c r="B1774" t="s">
        <v>535</v>
      </c>
      <c r="C1774" t="s">
        <v>566</v>
      </c>
    </row>
    <row r="1775" spans="1:3" x14ac:dyDescent="0.4">
      <c r="A1775">
        <v>94155</v>
      </c>
      <c r="B1775" t="s">
        <v>535</v>
      </c>
      <c r="C1775" t="s">
        <v>565</v>
      </c>
    </row>
    <row r="1776" spans="1:3" x14ac:dyDescent="0.4">
      <c r="A1776">
        <v>94156</v>
      </c>
      <c r="B1776" t="s">
        <v>535</v>
      </c>
      <c r="C1776" t="s">
        <v>564</v>
      </c>
    </row>
    <row r="1777" spans="1:3" x14ac:dyDescent="0.4">
      <c r="A1777">
        <v>94157</v>
      </c>
      <c r="B1777" t="s">
        <v>535</v>
      </c>
      <c r="C1777" t="s">
        <v>563</v>
      </c>
    </row>
    <row r="1778" spans="1:3" x14ac:dyDescent="0.4">
      <c r="A1778">
        <v>94158</v>
      </c>
      <c r="B1778" t="s">
        <v>535</v>
      </c>
      <c r="C1778" t="s">
        <v>562</v>
      </c>
    </row>
    <row r="1779" spans="1:3" x14ac:dyDescent="0.4">
      <c r="A1779">
        <v>94159</v>
      </c>
      <c r="B1779" t="s">
        <v>535</v>
      </c>
      <c r="C1779" t="s">
        <v>561</v>
      </c>
    </row>
    <row r="1780" spans="1:3" x14ac:dyDescent="0.4">
      <c r="A1780">
        <v>94160</v>
      </c>
      <c r="B1780" t="s">
        <v>535</v>
      </c>
      <c r="C1780" t="s">
        <v>560</v>
      </c>
    </row>
    <row r="1781" spans="1:3" x14ac:dyDescent="0.4">
      <c r="A1781">
        <v>94161</v>
      </c>
      <c r="B1781" t="s">
        <v>535</v>
      </c>
      <c r="C1781" t="s">
        <v>559</v>
      </c>
    </row>
    <row r="1782" spans="1:3" x14ac:dyDescent="0.4">
      <c r="A1782">
        <v>94162</v>
      </c>
      <c r="B1782" t="s">
        <v>535</v>
      </c>
      <c r="C1782" t="s">
        <v>558</v>
      </c>
    </row>
    <row r="1783" spans="1:3" x14ac:dyDescent="0.4">
      <c r="A1783">
        <v>94163</v>
      </c>
      <c r="B1783" t="s">
        <v>535</v>
      </c>
      <c r="C1783" t="s">
        <v>557</v>
      </c>
    </row>
    <row r="1784" spans="1:3" x14ac:dyDescent="0.4">
      <c r="A1784">
        <v>95152</v>
      </c>
      <c r="B1784" t="s">
        <v>535</v>
      </c>
      <c r="C1784" t="s">
        <v>556</v>
      </c>
    </row>
    <row r="1785" spans="1:3" x14ac:dyDescent="0.4">
      <c r="A1785">
        <v>95153</v>
      </c>
      <c r="B1785" t="s">
        <v>535</v>
      </c>
      <c r="C1785" t="s">
        <v>555</v>
      </c>
    </row>
    <row r="1786" spans="1:3" x14ac:dyDescent="0.4">
      <c r="A1786">
        <v>95154</v>
      </c>
      <c r="B1786" t="s">
        <v>535</v>
      </c>
      <c r="C1786" t="s">
        <v>554</v>
      </c>
    </row>
    <row r="1787" spans="1:3" x14ac:dyDescent="0.4">
      <c r="A1787">
        <v>95155</v>
      </c>
      <c r="B1787" t="s">
        <v>535</v>
      </c>
      <c r="C1787" t="s">
        <v>553</v>
      </c>
    </row>
    <row r="1788" spans="1:3" x14ac:dyDescent="0.4">
      <c r="A1788">
        <v>95156</v>
      </c>
      <c r="B1788" t="s">
        <v>535</v>
      </c>
      <c r="C1788" t="s">
        <v>552</v>
      </c>
    </row>
    <row r="1789" spans="1:3" x14ac:dyDescent="0.4">
      <c r="A1789">
        <v>95157</v>
      </c>
      <c r="B1789" t="s">
        <v>535</v>
      </c>
      <c r="C1789" t="s">
        <v>551</v>
      </c>
    </row>
    <row r="1790" spans="1:3" x14ac:dyDescent="0.4">
      <c r="A1790">
        <v>95158</v>
      </c>
      <c r="B1790" t="s">
        <v>535</v>
      </c>
      <c r="C1790" t="s">
        <v>550</v>
      </c>
    </row>
    <row r="1791" spans="1:3" x14ac:dyDescent="0.4">
      <c r="A1791">
        <v>95159</v>
      </c>
      <c r="B1791" t="s">
        <v>535</v>
      </c>
      <c r="C1791" t="s">
        <v>549</v>
      </c>
    </row>
    <row r="1792" spans="1:3" x14ac:dyDescent="0.4">
      <c r="A1792">
        <v>95160</v>
      </c>
      <c r="B1792" t="s">
        <v>535</v>
      </c>
      <c r="C1792" t="s">
        <v>548</v>
      </c>
    </row>
    <row r="1793" spans="1:3" x14ac:dyDescent="0.4">
      <c r="A1793">
        <v>95161</v>
      </c>
      <c r="B1793" t="s">
        <v>535</v>
      </c>
      <c r="C1793" t="s">
        <v>547</v>
      </c>
    </row>
    <row r="1794" spans="1:3" x14ac:dyDescent="0.4">
      <c r="A1794">
        <v>95162</v>
      </c>
      <c r="B1794" t="s">
        <v>535</v>
      </c>
      <c r="C1794" t="s">
        <v>546</v>
      </c>
    </row>
    <row r="1795" spans="1:3" x14ac:dyDescent="0.4">
      <c r="A1795">
        <v>95163</v>
      </c>
      <c r="B1795" t="s">
        <v>535</v>
      </c>
      <c r="C1795" t="s">
        <v>545</v>
      </c>
    </row>
    <row r="1796" spans="1:3" x14ac:dyDescent="0.4">
      <c r="A1796">
        <v>97157</v>
      </c>
      <c r="B1796" t="s">
        <v>535</v>
      </c>
      <c r="C1796" t="s">
        <v>544</v>
      </c>
    </row>
    <row r="1797" spans="1:3" x14ac:dyDescent="0.4">
      <c r="A1797">
        <v>98000</v>
      </c>
      <c r="B1797" t="s">
        <v>535</v>
      </c>
      <c r="C1797" t="s">
        <v>543</v>
      </c>
    </row>
    <row r="1798" spans="1:3" x14ac:dyDescent="0.4">
      <c r="A1798">
        <v>98001</v>
      </c>
      <c r="B1798" t="s">
        <v>535</v>
      </c>
      <c r="C1798" t="s">
        <v>542</v>
      </c>
    </row>
    <row r="1799" spans="1:3" x14ac:dyDescent="0.4">
      <c r="A1799">
        <v>98002</v>
      </c>
      <c r="B1799" t="s">
        <v>535</v>
      </c>
      <c r="C1799" t="s">
        <v>541</v>
      </c>
    </row>
    <row r="1800" spans="1:3" x14ac:dyDescent="0.4">
      <c r="A1800">
        <v>98003</v>
      </c>
      <c r="B1800" t="s">
        <v>535</v>
      </c>
      <c r="C1800" t="s">
        <v>540</v>
      </c>
    </row>
    <row r="1801" spans="1:3" x14ac:dyDescent="0.4">
      <c r="A1801">
        <v>98004</v>
      </c>
      <c r="B1801" t="s">
        <v>535</v>
      </c>
      <c r="C1801" t="s">
        <v>539</v>
      </c>
    </row>
    <row r="1802" spans="1:3" x14ac:dyDescent="0.4">
      <c r="A1802">
        <v>98005</v>
      </c>
      <c r="B1802" t="s">
        <v>535</v>
      </c>
      <c r="C1802" t="s">
        <v>538</v>
      </c>
    </row>
    <row r="1803" spans="1:3" x14ac:dyDescent="0.4">
      <c r="A1803">
        <v>98006</v>
      </c>
      <c r="B1803" t="s">
        <v>535</v>
      </c>
      <c r="C1803" t="s">
        <v>537</v>
      </c>
    </row>
    <row r="1804" spans="1:3" x14ac:dyDescent="0.4">
      <c r="A1804">
        <v>98007</v>
      </c>
      <c r="B1804" t="s">
        <v>535</v>
      </c>
      <c r="C1804" t="s">
        <v>536</v>
      </c>
    </row>
    <row r="1805" spans="1:3" x14ac:dyDescent="0.4">
      <c r="A1805">
        <v>98008</v>
      </c>
      <c r="B1805" t="s">
        <v>535</v>
      </c>
      <c r="C1805" t="s">
        <v>534</v>
      </c>
    </row>
    <row r="1806" spans="1:3" x14ac:dyDescent="0.4">
      <c r="A1806">
        <v>100000</v>
      </c>
      <c r="B1806" t="s">
        <v>274</v>
      </c>
      <c r="C1806" t="s">
        <v>533</v>
      </c>
    </row>
    <row r="1807" spans="1:3" x14ac:dyDescent="0.4">
      <c r="A1807">
        <v>100001</v>
      </c>
      <c r="B1807" t="s">
        <v>274</v>
      </c>
      <c r="C1807" t="s">
        <v>532</v>
      </c>
    </row>
    <row r="1808" spans="1:3" x14ac:dyDescent="0.4">
      <c r="A1808">
        <v>100002</v>
      </c>
      <c r="B1808" t="s">
        <v>274</v>
      </c>
      <c r="C1808" t="s">
        <v>531</v>
      </c>
    </row>
    <row r="1809" spans="1:3" x14ac:dyDescent="0.4">
      <c r="A1809">
        <v>100003</v>
      </c>
      <c r="B1809" t="s">
        <v>274</v>
      </c>
      <c r="C1809" t="s">
        <v>530</v>
      </c>
    </row>
    <row r="1810" spans="1:3" x14ac:dyDescent="0.4">
      <c r="A1810">
        <v>100004</v>
      </c>
      <c r="B1810" t="s">
        <v>274</v>
      </c>
      <c r="C1810" t="s">
        <v>529</v>
      </c>
    </row>
    <row r="1811" spans="1:3" x14ac:dyDescent="0.4">
      <c r="A1811">
        <v>100005</v>
      </c>
      <c r="B1811" t="s">
        <v>274</v>
      </c>
      <c r="C1811" t="s">
        <v>528</v>
      </c>
    </row>
    <row r="1812" spans="1:3" x14ac:dyDescent="0.4">
      <c r="A1812">
        <v>100006</v>
      </c>
      <c r="B1812" t="s">
        <v>274</v>
      </c>
      <c r="C1812" t="s">
        <v>527</v>
      </c>
    </row>
    <row r="1813" spans="1:3" x14ac:dyDescent="0.4">
      <c r="A1813">
        <v>100007</v>
      </c>
      <c r="B1813" t="s">
        <v>274</v>
      </c>
      <c r="C1813" t="s">
        <v>526</v>
      </c>
    </row>
    <row r="1814" spans="1:3" x14ac:dyDescent="0.4">
      <c r="A1814">
        <v>100008</v>
      </c>
      <c r="B1814" t="s">
        <v>274</v>
      </c>
      <c r="C1814" t="s">
        <v>525</v>
      </c>
    </row>
    <row r="1815" spans="1:3" x14ac:dyDescent="0.4">
      <c r="A1815">
        <v>100009</v>
      </c>
      <c r="B1815" t="s">
        <v>274</v>
      </c>
      <c r="C1815" t="s">
        <v>524</v>
      </c>
    </row>
    <row r="1816" spans="1:3" x14ac:dyDescent="0.4">
      <c r="A1816">
        <v>100010</v>
      </c>
      <c r="B1816" t="s">
        <v>274</v>
      </c>
      <c r="C1816" t="s">
        <v>523</v>
      </c>
    </row>
    <row r="1817" spans="1:3" x14ac:dyDescent="0.4">
      <c r="A1817">
        <v>100011</v>
      </c>
      <c r="B1817" t="s">
        <v>274</v>
      </c>
      <c r="C1817" t="s">
        <v>522</v>
      </c>
    </row>
    <row r="1818" spans="1:3" x14ac:dyDescent="0.4">
      <c r="A1818">
        <v>100012</v>
      </c>
      <c r="B1818" t="s">
        <v>274</v>
      </c>
      <c r="C1818" t="s">
        <v>521</v>
      </c>
    </row>
    <row r="1819" spans="1:3" x14ac:dyDescent="0.4">
      <c r="A1819">
        <v>100013</v>
      </c>
      <c r="B1819" t="s">
        <v>274</v>
      </c>
      <c r="C1819" t="s">
        <v>520</v>
      </c>
    </row>
    <row r="1820" spans="1:3" x14ac:dyDescent="0.4">
      <c r="A1820">
        <v>100014</v>
      </c>
      <c r="B1820" t="s">
        <v>274</v>
      </c>
      <c r="C1820" t="s">
        <v>519</v>
      </c>
    </row>
    <row r="1821" spans="1:3" x14ac:dyDescent="0.4">
      <c r="A1821">
        <v>100015</v>
      </c>
      <c r="B1821" t="s">
        <v>274</v>
      </c>
      <c r="C1821" t="s">
        <v>518</v>
      </c>
    </row>
    <row r="1822" spans="1:3" x14ac:dyDescent="0.4">
      <c r="A1822">
        <v>100016</v>
      </c>
      <c r="B1822" t="s">
        <v>274</v>
      </c>
      <c r="C1822" t="s">
        <v>517</v>
      </c>
    </row>
    <row r="1823" spans="1:3" x14ac:dyDescent="0.4">
      <c r="A1823">
        <v>100017</v>
      </c>
      <c r="B1823" t="s">
        <v>274</v>
      </c>
      <c r="C1823" t="s">
        <v>516</v>
      </c>
    </row>
    <row r="1824" spans="1:3" x14ac:dyDescent="0.4">
      <c r="A1824">
        <v>100018</v>
      </c>
      <c r="B1824" t="s">
        <v>274</v>
      </c>
      <c r="C1824" t="s">
        <v>515</v>
      </c>
    </row>
    <row r="1825" spans="1:3" x14ac:dyDescent="0.4">
      <c r="A1825">
        <v>100019</v>
      </c>
      <c r="B1825" t="s">
        <v>274</v>
      </c>
      <c r="C1825" t="s">
        <v>514</v>
      </c>
    </row>
    <row r="1826" spans="1:3" x14ac:dyDescent="0.4">
      <c r="A1826">
        <v>100020</v>
      </c>
      <c r="B1826" t="s">
        <v>274</v>
      </c>
      <c r="C1826" t="s">
        <v>513</v>
      </c>
    </row>
    <row r="1827" spans="1:3" x14ac:dyDescent="0.4">
      <c r="A1827">
        <v>100021</v>
      </c>
      <c r="B1827" t="s">
        <v>274</v>
      </c>
      <c r="C1827" t="s">
        <v>512</v>
      </c>
    </row>
    <row r="1828" spans="1:3" x14ac:dyDescent="0.4">
      <c r="A1828">
        <v>100022</v>
      </c>
      <c r="B1828" t="s">
        <v>274</v>
      </c>
      <c r="C1828" t="s">
        <v>511</v>
      </c>
    </row>
    <row r="1829" spans="1:3" x14ac:dyDescent="0.4">
      <c r="A1829">
        <v>100023</v>
      </c>
      <c r="B1829" t="s">
        <v>274</v>
      </c>
      <c r="C1829" t="s">
        <v>510</v>
      </c>
    </row>
    <row r="1830" spans="1:3" x14ac:dyDescent="0.4">
      <c r="A1830">
        <v>100024</v>
      </c>
      <c r="B1830" t="s">
        <v>274</v>
      </c>
      <c r="C1830" t="s">
        <v>509</v>
      </c>
    </row>
    <row r="1831" spans="1:3" x14ac:dyDescent="0.4">
      <c r="A1831">
        <v>100025</v>
      </c>
      <c r="B1831" t="s">
        <v>274</v>
      </c>
      <c r="C1831" t="s">
        <v>508</v>
      </c>
    </row>
    <row r="1832" spans="1:3" x14ac:dyDescent="0.4">
      <c r="A1832">
        <v>101000</v>
      </c>
      <c r="B1832" t="s">
        <v>274</v>
      </c>
      <c r="C1832" t="s">
        <v>507</v>
      </c>
    </row>
    <row r="1833" spans="1:3" x14ac:dyDescent="0.4">
      <c r="A1833">
        <v>101001</v>
      </c>
      <c r="B1833" t="s">
        <v>274</v>
      </c>
      <c r="C1833" t="s">
        <v>506</v>
      </c>
    </row>
    <row r="1834" spans="1:3" x14ac:dyDescent="0.4">
      <c r="A1834">
        <v>101002</v>
      </c>
      <c r="B1834" t="s">
        <v>274</v>
      </c>
      <c r="C1834" t="s">
        <v>505</v>
      </c>
    </row>
    <row r="1835" spans="1:3" x14ac:dyDescent="0.4">
      <c r="A1835">
        <v>101003</v>
      </c>
      <c r="B1835" t="s">
        <v>274</v>
      </c>
      <c r="C1835" t="s">
        <v>504</v>
      </c>
    </row>
    <row r="1836" spans="1:3" x14ac:dyDescent="0.4">
      <c r="A1836">
        <v>101004</v>
      </c>
      <c r="B1836" t="s">
        <v>274</v>
      </c>
      <c r="C1836" t="s">
        <v>503</v>
      </c>
    </row>
    <row r="1837" spans="1:3" x14ac:dyDescent="0.4">
      <c r="A1837">
        <v>101005</v>
      </c>
      <c r="B1837" t="s">
        <v>274</v>
      </c>
      <c r="C1837" t="s">
        <v>502</v>
      </c>
    </row>
    <row r="1838" spans="1:3" x14ac:dyDescent="0.4">
      <c r="A1838">
        <v>101006</v>
      </c>
      <c r="B1838" t="s">
        <v>274</v>
      </c>
      <c r="C1838" t="s">
        <v>501</v>
      </c>
    </row>
    <row r="1839" spans="1:3" x14ac:dyDescent="0.4">
      <c r="A1839">
        <v>101007</v>
      </c>
      <c r="B1839" t="s">
        <v>274</v>
      </c>
      <c r="C1839" t="s">
        <v>500</v>
      </c>
    </row>
    <row r="1840" spans="1:3" x14ac:dyDescent="0.4">
      <c r="A1840">
        <v>101008</v>
      </c>
      <c r="B1840" t="s">
        <v>274</v>
      </c>
      <c r="C1840" t="s">
        <v>499</v>
      </c>
    </row>
    <row r="1841" spans="1:3" x14ac:dyDescent="0.4">
      <c r="A1841">
        <v>101009</v>
      </c>
      <c r="B1841" t="s">
        <v>274</v>
      </c>
      <c r="C1841" t="s">
        <v>498</v>
      </c>
    </row>
    <row r="1842" spans="1:3" x14ac:dyDescent="0.4">
      <c r="A1842">
        <v>101010</v>
      </c>
      <c r="B1842" t="s">
        <v>274</v>
      </c>
      <c r="C1842" t="s">
        <v>497</v>
      </c>
    </row>
    <row r="1843" spans="1:3" x14ac:dyDescent="0.4">
      <c r="A1843">
        <v>101011</v>
      </c>
      <c r="B1843" t="s">
        <v>274</v>
      </c>
      <c r="C1843" t="s">
        <v>496</v>
      </c>
    </row>
    <row r="1844" spans="1:3" x14ac:dyDescent="0.4">
      <c r="A1844">
        <v>101012</v>
      </c>
      <c r="B1844" t="s">
        <v>274</v>
      </c>
      <c r="C1844" t="s">
        <v>495</v>
      </c>
    </row>
    <row r="1845" spans="1:3" x14ac:dyDescent="0.4">
      <c r="A1845">
        <v>101013</v>
      </c>
      <c r="B1845" t="s">
        <v>274</v>
      </c>
      <c r="C1845" t="s">
        <v>494</v>
      </c>
    </row>
    <row r="1846" spans="1:3" x14ac:dyDescent="0.4">
      <c r="A1846">
        <v>101014</v>
      </c>
      <c r="B1846" t="s">
        <v>274</v>
      </c>
      <c r="C1846" t="s">
        <v>493</v>
      </c>
    </row>
    <row r="1847" spans="1:3" x14ac:dyDescent="0.4">
      <c r="A1847">
        <v>101015</v>
      </c>
      <c r="B1847" t="s">
        <v>274</v>
      </c>
      <c r="C1847" t="s">
        <v>492</v>
      </c>
    </row>
    <row r="1848" spans="1:3" x14ac:dyDescent="0.4">
      <c r="A1848">
        <v>101016</v>
      </c>
      <c r="B1848" t="s">
        <v>274</v>
      </c>
      <c r="C1848" t="s">
        <v>491</v>
      </c>
    </row>
    <row r="1849" spans="1:3" x14ac:dyDescent="0.4">
      <c r="A1849">
        <v>101017</v>
      </c>
      <c r="B1849" t="s">
        <v>274</v>
      </c>
      <c r="C1849" t="s">
        <v>490</v>
      </c>
    </row>
    <row r="1850" spans="1:3" x14ac:dyDescent="0.4">
      <c r="A1850">
        <v>101018</v>
      </c>
      <c r="B1850" t="s">
        <v>274</v>
      </c>
      <c r="C1850" t="s">
        <v>489</v>
      </c>
    </row>
    <row r="1851" spans="1:3" x14ac:dyDescent="0.4">
      <c r="A1851">
        <v>101019</v>
      </c>
      <c r="B1851" t="s">
        <v>274</v>
      </c>
      <c r="C1851" t="s">
        <v>488</v>
      </c>
    </row>
    <row r="1852" spans="1:3" x14ac:dyDescent="0.4">
      <c r="A1852">
        <v>101020</v>
      </c>
      <c r="B1852" t="s">
        <v>274</v>
      </c>
      <c r="C1852" t="s">
        <v>487</v>
      </c>
    </row>
    <row r="1853" spans="1:3" x14ac:dyDescent="0.4">
      <c r="A1853">
        <v>101021</v>
      </c>
      <c r="B1853" t="s">
        <v>274</v>
      </c>
      <c r="C1853" t="s">
        <v>486</v>
      </c>
    </row>
    <row r="1854" spans="1:3" x14ac:dyDescent="0.4">
      <c r="A1854">
        <v>101022</v>
      </c>
      <c r="B1854" t="s">
        <v>274</v>
      </c>
      <c r="C1854" t="s">
        <v>485</v>
      </c>
    </row>
    <row r="1855" spans="1:3" x14ac:dyDescent="0.4">
      <c r="A1855">
        <v>101023</v>
      </c>
      <c r="B1855" t="s">
        <v>274</v>
      </c>
      <c r="C1855" t="s">
        <v>484</v>
      </c>
    </row>
    <row r="1856" spans="1:3" x14ac:dyDescent="0.4">
      <c r="A1856">
        <v>101024</v>
      </c>
      <c r="B1856" t="s">
        <v>274</v>
      </c>
      <c r="C1856" t="s">
        <v>483</v>
      </c>
    </row>
    <row r="1857" spans="1:3" x14ac:dyDescent="0.4">
      <c r="A1857">
        <v>101025</v>
      </c>
      <c r="B1857" t="s">
        <v>274</v>
      </c>
      <c r="C1857" t="s">
        <v>482</v>
      </c>
    </row>
    <row r="1858" spans="1:3" x14ac:dyDescent="0.4">
      <c r="A1858">
        <v>102000</v>
      </c>
      <c r="B1858" t="s">
        <v>274</v>
      </c>
      <c r="C1858" t="s">
        <v>481</v>
      </c>
    </row>
    <row r="1859" spans="1:3" x14ac:dyDescent="0.4">
      <c r="A1859">
        <v>102001</v>
      </c>
      <c r="B1859" t="s">
        <v>274</v>
      </c>
      <c r="C1859" t="s">
        <v>480</v>
      </c>
    </row>
    <row r="1860" spans="1:3" x14ac:dyDescent="0.4">
      <c r="A1860">
        <v>102002</v>
      </c>
      <c r="B1860" t="s">
        <v>274</v>
      </c>
      <c r="C1860" t="s">
        <v>479</v>
      </c>
    </row>
    <row r="1861" spans="1:3" x14ac:dyDescent="0.4">
      <c r="A1861">
        <v>102003</v>
      </c>
      <c r="B1861" t="s">
        <v>274</v>
      </c>
      <c r="C1861" t="s">
        <v>478</v>
      </c>
    </row>
    <row r="1862" spans="1:3" x14ac:dyDescent="0.4">
      <c r="A1862">
        <v>102004</v>
      </c>
      <c r="B1862" t="s">
        <v>274</v>
      </c>
      <c r="C1862" t="s">
        <v>477</v>
      </c>
    </row>
    <row r="1863" spans="1:3" x14ac:dyDescent="0.4">
      <c r="A1863">
        <v>102005</v>
      </c>
      <c r="B1863" t="s">
        <v>274</v>
      </c>
      <c r="C1863" t="s">
        <v>476</v>
      </c>
    </row>
    <row r="1864" spans="1:3" x14ac:dyDescent="0.4">
      <c r="A1864">
        <v>102006</v>
      </c>
      <c r="B1864" t="s">
        <v>274</v>
      </c>
      <c r="C1864" t="s">
        <v>475</v>
      </c>
    </row>
    <row r="1865" spans="1:3" x14ac:dyDescent="0.4">
      <c r="A1865">
        <v>102007</v>
      </c>
      <c r="B1865" t="s">
        <v>274</v>
      </c>
      <c r="C1865" t="s">
        <v>474</v>
      </c>
    </row>
    <row r="1866" spans="1:3" x14ac:dyDescent="0.4">
      <c r="A1866">
        <v>102008</v>
      </c>
      <c r="B1866" t="s">
        <v>274</v>
      </c>
      <c r="C1866" t="s">
        <v>473</v>
      </c>
    </row>
    <row r="1867" spans="1:3" x14ac:dyDescent="0.4">
      <c r="A1867">
        <v>102009</v>
      </c>
      <c r="B1867" t="s">
        <v>274</v>
      </c>
      <c r="C1867" t="s">
        <v>472</v>
      </c>
    </row>
    <row r="1868" spans="1:3" x14ac:dyDescent="0.4">
      <c r="A1868">
        <v>102010</v>
      </c>
      <c r="B1868" t="s">
        <v>274</v>
      </c>
      <c r="C1868" t="s">
        <v>471</v>
      </c>
    </row>
    <row r="1869" spans="1:3" x14ac:dyDescent="0.4">
      <c r="A1869">
        <v>102011</v>
      </c>
      <c r="B1869" t="s">
        <v>274</v>
      </c>
      <c r="C1869" t="s">
        <v>470</v>
      </c>
    </row>
    <row r="1870" spans="1:3" x14ac:dyDescent="0.4">
      <c r="A1870">
        <v>102012</v>
      </c>
      <c r="B1870" t="s">
        <v>274</v>
      </c>
      <c r="C1870" t="s">
        <v>469</v>
      </c>
    </row>
    <row r="1871" spans="1:3" x14ac:dyDescent="0.4">
      <c r="A1871">
        <v>102013</v>
      </c>
      <c r="B1871" t="s">
        <v>274</v>
      </c>
      <c r="C1871" t="s">
        <v>468</v>
      </c>
    </row>
    <row r="1872" spans="1:3" x14ac:dyDescent="0.4">
      <c r="A1872">
        <v>102014</v>
      </c>
      <c r="B1872" t="s">
        <v>274</v>
      </c>
      <c r="C1872" t="s">
        <v>467</v>
      </c>
    </row>
    <row r="1873" spans="1:3" x14ac:dyDescent="0.4">
      <c r="A1873">
        <v>102015</v>
      </c>
      <c r="B1873" t="s">
        <v>274</v>
      </c>
      <c r="C1873" t="s">
        <v>466</v>
      </c>
    </row>
    <row r="1874" spans="1:3" x14ac:dyDescent="0.4">
      <c r="A1874">
        <v>102016</v>
      </c>
      <c r="B1874" t="s">
        <v>274</v>
      </c>
      <c r="C1874" t="s">
        <v>465</v>
      </c>
    </row>
    <row r="1875" spans="1:3" x14ac:dyDescent="0.4">
      <c r="A1875">
        <v>102017</v>
      </c>
      <c r="B1875" t="s">
        <v>274</v>
      </c>
      <c r="C1875" t="s">
        <v>464</v>
      </c>
    </row>
    <row r="1876" spans="1:3" x14ac:dyDescent="0.4">
      <c r="A1876">
        <v>102018</v>
      </c>
      <c r="B1876" t="s">
        <v>274</v>
      </c>
      <c r="C1876" t="s">
        <v>463</v>
      </c>
    </row>
    <row r="1877" spans="1:3" x14ac:dyDescent="0.4">
      <c r="A1877">
        <v>102019</v>
      </c>
      <c r="B1877" t="s">
        <v>274</v>
      </c>
      <c r="C1877" t="s">
        <v>462</v>
      </c>
    </row>
    <row r="1878" spans="1:3" x14ac:dyDescent="0.4">
      <c r="A1878">
        <v>102020</v>
      </c>
      <c r="B1878" t="s">
        <v>274</v>
      </c>
      <c r="C1878" t="s">
        <v>461</v>
      </c>
    </row>
    <row r="1879" spans="1:3" x14ac:dyDescent="0.4">
      <c r="A1879">
        <v>102021</v>
      </c>
      <c r="B1879" t="s">
        <v>274</v>
      </c>
      <c r="C1879" t="s">
        <v>460</v>
      </c>
    </row>
    <row r="1880" spans="1:3" x14ac:dyDescent="0.4">
      <c r="A1880">
        <v>102022</v>
      </c>
      <c r="B1880" t="s">
        <v>274</v>
      </c>
      <c r="C1880" t="s">
        <v>459</v>
      </c>
    </row>
    <row r="1881" spans="1:3" x14ac:dyDescent="0.4">
      <c r="A1881">
        <v>102023</v>
      </c>
      <c r="B1881" t="s">
        <v>274</v>
      </c>
      <c r="C1881" t="s">
        <v>458</v>
      </c>
    </row>
    <row r="1882" spans="1:3" x14ac:dyDescent="0.4">
      <c r="A1882">
        <v>102024</v>
      </c>
      <c r="B1882" t="s">
        <v>274</v>
      </c>
      <c r="C1882" t="s">
        <v>457</v>
      </c>
    </row>
    <row r="1883" spans="1:3" x14ac:dyDescent="0.4">
      <c r="A1883">
        <v>102025</v>
      </c>
      <c r="B1883" t="s">
        <v>274</v>
      </c>
      <c r="C1883" t="s">
        <v>456</v>
      </c>
    </row>
    <row r="1884" spans="1:3" x14ac:dyDescent="0.4">
      <c r="A1884">
        <v>103000</v>
      </c>
      <c r="B1884" t="s">
        <v>274</v>
      </c>
      <c r="C1884" t="s">
        <v>455</v>
      </c>
    </row>
    <row r="1885" spans="1:3" x14ac:dyDescent="0.4">
      <c r="A1885">
        <v>103001</v>
      </c>
      <c r="B1885" t="s">
        <v>274</v>
      </c>
      <c r="C1885" t="s">
        <v>454</v>
      </c>
    </row>
    <row r="1886" spans="1:3" x14ac:dyDescent="0.4">
      <c r="A1886">
        <v>103002</v>
      </c>
      <c r="B1886" t="s">
        <v>274</v>
      </c>
      <c r="C1886" t="s">
        <v>453</v>
      </c>
    </row>
    <row r="1887" spans="1:3" x14ac:dyDescent="0.4">
      <c r="A1887">
        <v>103003</v>
      </c>
      <c r="B1887" t="s">
        <v>274</v>
      </c>
      <c r="C1887" t="s">
        <v>452</v>
      </c>
    </row>
    <row r="1888" spans="1:3" x14ac:dyDescent="0.4">
      <c r="A1888">
        <v>103004</v>
      </c>
      <c r="B1888" t="s">
        <v>274</v>
      </c>
      <c r="C1888" t="s">
        <v>451</v>
      </c>
    </row>
    <row r="1889" spans="1:3" x14ac:dyDescent="0.4">
      <c r="A1889">
        <v>103005</v>
      </c>
      <c r="B1889" t="s">
        <v>274</v>
      </c>
      <c r="C1889" t="s">
        <v>450</v>
      </c>
    </row>
    <row r="1890" spans="1:3" x14ac:dyDescent="0.4">
      <c r="A1890">
        <v>103006</v>
      </c>
      <c r="B1890" t="s">
        <v>274</v>
      </c>
      <c r="C1890" t="s">
        <v>449</v>
      </c>
    </row>
    <row r="1891" spans="1:3" x14ac:dyDescent="0.4">
      <c r="A1891">
        <v>103007</v>
      </c>
      <c r="B1891" t="s">
        <v>274</v>
      </c>
      <c r="C1891" t="s">
        <v>448</v>
      </c>
    </row>
    <row r="1892" spans="1:3" x14ac:dyDescent="0.4">
      <c r="A1892">
        <v>103008</v>
      </c>
      <c r="B1892" t="s">
        <v>274</v>
      </c>
      <c r="C1892" t="s">
        <v>447</v>
      </c>
    </row>
    <row r="1893" spans="1:3" x14ac:dyDescent="0.4">
      <c r="A1893">
        <v>103009</v>
      </c>
      <c r="B1893" t="s">
        <v>274</v>
      </c>
      <c r="C1893" t="s">
        <v>446</v>
      </c>
    </row>
    <row r="1894" spans="1:3" x14ac:dyDescent="0.4">
      <c r="A1894">
        <v>103010</v>
      </c>
      <c r="B1894" t="s">
        <v>274</v>
      </c>
      <c r="C1894" t="s">
        <v>445</v>
      </c>
    </row>
    <row r="1895" spans="1:3" x14ac:dyDescent="0.4">
      <c r="A1895">
        <v>103011</v>
      </c>
      <c r="B1895" t="s">
        <v>274</v>
      </c>
      <c r="C1895" t="s">
        <v>444</v>
      </c>
    </row>
    <row r="1896" spans="1:3" x14ac:dyDescent="0.4">
      <c r="A1896">
        <v>103012</v>
      </c>
      <c r="B1896" t="s">
        <v>274</v>
      </c>
      <c r="C1896" t="s">
        <v>443</v>
      </c>
    </row>
    <row r="1897" spans="1:3" x14ac:dyDescent="0.4">
      <c r="A1897">
        <v>103013</v>
      </c>
      <c r="B1897" t="s">
        <v>274</v>
      </c>
      <c r="C1897" t="s">
        <v>442</v>
      </c>
    </row>
    <row r="1898" spans="1:3" x14ac:dyDescent="0.4">
      <c r="A1898">
        <v>103014</v>
      </c>
      <c r="B1898" t="s">
        <v>274</v>
      </c>
      <c r="C1898" t="s">
        <v>441</v>
      </c>
    </row>
    <row r="1899" spans="1:3" x14ac:dyDescent="0.4">
      <c r="A1899">
        <v>103015</v>
      </c>
      <c r="B1899" t="s">
        <v>274</v>
      </c>
      <c r="C1899" t="s">
        <v>440</v>
      </c>
    </row>
    <row r="1900" spans="1:3" x14ac:dyDescent="0.4">
      <c r="A1900">
        <v>103016</v>
      </c>
      <c r="B1900" t="s">
        <v>274</v>
      </c>
      <c r="C1900" t="s">
        <v>439</v>
      </c>
    </row>
    <row r="1901" spans="1:3" x14ac:dyDescent="0.4">
      <c r="A1901">
        <v>103017</v>
      </c>
      <c r="B1901" t="s">
        <v>274</v>
      </c>
      <c r="C1901" t="s">
        <v>438</v>
      </c>
    </row>
    <row r="1902" spans="1:3" x14ac:dyDescent="0.4">
      <c r="A1902">
        <v>103018</v>
      </c>
      <c r="B1902" t="s">
        <v>274</v>
      </c>
      <c r="C1902" t="s">
        <v>437</v>
      </c>
    </row>
    <row r="1903" spans="1:3" x14ac:dyDescent="0.4">
      <c r="A1903">
        <v>103019</v>
      </c>
      <c r="B1903" t="s">
        <v>274</v>
      </c>
      <c r="C1903" t="s">
        <v>436</v>
      </c>
    </row>
    <row r="1904" spans="1:3" x14ac:dyDescent="0.4">
      <c r="A1904">
        <v>103020</v>
      </c>
      <c r="B1904" t="s">
        <v>274</v>
      </c>
      <c r="C1904" t="s">
        <v>435</v>
      </c>
    </row>
    <row r="1905" spans="1:3" x14ac:dyDescent="0.4">
      <c r="A1905">
        <v>103021</v>
      </c>
      <c r="B1905" t="s">
        <v>274</v>
      </c>
      <c r="C1905" t="s">
        <v>434</v>
      </c>
    </row>
    <row r="1906" spans="1:3" x14ac:dyDescent="0.4">
      <c r="A1906">
        <v>103022</v>
      </c>
      <c r="B1906" t="s">
        <v>274</v>
      </c>
      <c r="C1906" t="s">
        <v>433</v>
      </c>
    </row>
    <row r="1907" spans="1:3" x14ac:dyDescent="0.4">
      <c r="A1907">
        <v>103023</v>
      </c>
      <c r="B1907" t="s">
        <v>274</v>
      </c>
      <c r="C1907" t="s">
        <v>432</v>
      </c>
    </row>
    <row r="1908" spans="1:3" x14ac:dyDescent="0.4">
      <c r="A1908">
        <v>103024</v>
      </c>
      <c r="B1908" t="s">
        <v>274</v>
      </c>
      <c r="C1908" t="s">
        <v>431</v>
      </c>
    </row>
    <row r="1909" spans="1:3" x14ac:dyDescent="0.4">
      <c r="A1909">
        <v>103025</v>
      </c>
      <c r="B1909" t="s">
        <v>274</v>
      </c>
      <c r="C1909" t="s">
        <v>430</v>
      </c>
    </row>
    <row r="1910" spans="1:3" x14ac:dyDescent="0.4">
      <c r="A1910">
        <v>104000</v>
      </c>
      <c r="B1910" t="s">
        <v>274</v>
      </c>
      <c r="C1910" t="s">
        <v>429</v>
      </c>
    </row>
    <row r="1911" spans="1:3" x14ac:dyDescent="0.4">
      <c r="A1911">
        <v>104001</v>
      </c>
      <c r="B1911" t="s">
        <v>274</v>
      </c>
      <c r="C1911" t="s">
        <v>428</v>
      </c>
    </row>
    <row r="1912" spans="1:3" x14ac:dyDescent="0.4">
      <c r="A1912">
        <v>104002</v>
      </c>
      <c r="B1912" t="s">
        <v>274</v>
      </c>
      <c r="C1912" t="s">
        <v>427</v>
      </c>
    </row>
    <row r="1913" spans="1:3" x14ac:dyDescent="0.4">
      <c r="A1913">
        <v>104003</v>
      </c>
      <c r="B1913" t="s">
        <v>274</v>
      </c>
      <c r="C1913" t="s">
        <v>426</v>
      </c>
    </row>
    <row r="1914" spans="1:3" x14ac:dyDescent="0.4">
      <c r="A1914">
        <v>104004</v>
      </c>
      <c r="B1914" t="s">
        <v>274</v>
      </c>
      <c r="C1914" t="s">
        <v>425</v>
      </c>
    </row>
    <row r="1915" spans="1:3" x14ac:dyDescent="0.4">
      <c r="A1915">
        <v>104005</v>
      </c>
      <c r="B1915" t="s">
        <v>274</v>
      </c>
      <c r="C1915" t="s">
        <v>424</v>
      </c>
    </row>
    <row r="1916" spans="1:3" x14ac:dyDescent="0.4">
      <c r="A1916">
        <v>104006</v>
      </c>
      <c r="B1916" t="s">
        <v>274</v>
      </c>
      <c r="C1916" t="s">
        <v>423</v>
      </c>
    </row>
    <row r="1917" spans="1:3" x14ac:dyDescent="0.4">
      <c r="A1917">
        <v>104007</v>
      </c>
      <c r="B1917" t="s">
        <v>274</v>
      </c>
      <c r="C1917" t="s">
        <v>422</v>
      </c>
    </row>
    <row r="1918" spans="1:3" x14ac:dyDescent="0.4">
      <c r="A1918">
        <v>104008</v>
      </c>
      <c r="B1918" t="s">
        <v>274</v>
      </c>
      <c r="C1918" t="s">
        <v>421</v>
      </c>
    </row>
    <row r="1919" spans="1:3" x14ac:dyDescent="0.4">
      <c r="A1919">
        <v>104009</v>
      </c>
      <c r="B1919" t="s">
        <v>274</v>
      </c>
      <c r="C1919" t="s">
        <v>420</v>
      </c>
    </row>
    <row r="1920" spans="1:3" x14ac:dyDescent="0.4">
      <c r="A1920">
        <v>104010</v>
      </c>
      <c r="B1920" t="s">
        <v>274</v>
      </c>
      <c r="C1920" t="s">
        <v>419</v>
      </c>
    </row>
    <row r="1921" spans="1:3" x14ac:dyDescent="0.4">
      <c r="A1921">
        <v>104011</v>
      </c>
      <c r="B1921" t="s">
        <v>274</v>
      </c>
      <c r="C1921" t="s">
        <v>418</v>
      </c>
    </row>
    <row r="1922" spans="1:3" x14ac:dyDescent="0.4">
      <c r="A1922">
        <v>104012</v>
      </c>
      <c r="B1922" t="s">
        <v>274</v>
      </c>
      <c r="C1922" t="s">
        <v>417</v>
      </c>
    </row>
    <row r="1923" spans="1:3" x14ac:dyDescent="0.4">
      <c r="A1923">
        <v>104013</v>
      </c>
      <c r="B1923" t="s">
        <v>274</v>
      </c>
      <c r="C1923" t="s">
        <v>416</v>
      </c>
    </row>
    <row r="1924" spans="1:3" x14ac:dyDescent="0.4">
      <c r="A1924">
        <v>104014</v>
      </c>
      <c r="B1924" t="s">
        <v>274</v>
      </c>
      <c r="C1924" t="s">
        <v>415</v>
      </c>
    </row>
    <row r="1925" spans="1:3" x14ac:dyDescent="0.4">
      <c r="A1925">
        <v>104015</v>
      </c>
      <c r="B1925" t="s">
        <v>274</v>
      </c>
      <c r="C1925" t="s">
        <v>414</v>
      </c>
    </row>
    <row r="1926" spans="1:3" x14ac:dyDescent="0.4">
      <c r="A1926">
        <v>104016</v>
      </c>
      <c r="B1926" t="s">
        <v>274</v>
      </c>
      <c r="C1926" t="s">
        <v>413</v>
      </c>
    </row>
    <row r="1927" spans="1:3" x14ac:dyDescent="0.4">
      <c r="A1927">
        <v>104017</v>
      </c>
      <c r="B1927" t="s">
        <v>274</v>
      </c>
      <c r="C1927" t="s">
        <v>412</v>
      </c>
    </row>
    <row r="1928" spans="1:3" x14ac:dyDescent="0.4">
      <c r="A1928">
        <v>104018</v>
      </c>
      <c r="B1928" t="s">
        <v>274</v>
      </c>
      <c r="C1928" t="s">
        <v>411</v>
      </c>
    </row>
    <row r="1929" spans="1:3" x14ac:dyDescent="0.4">
      <c r="A1929">
        <v>104019</v>
      </c>
      <c r="B1929" t="s">
        <v>274</v>
      </c>
      <c r="C1929" t="s">
        <v>410</v>
      </c>
    </row>
    <row r="1930" spans="1:3" x14ac:dyDescent="0.4">
      <c r="A1930">
        <v>104020</v>
      </c>
      <c r="B1930" t="s">
        <v>274</v>
      </c>
      <c r="C1930" t="s">
        <v>409</v>
      </c>
    </row>
    <row r="1931" spans="1:3" x14ac:dyDescent="0.4">
      <c r="A1931">
        <v>104021</v>
      </c>
      <c r="B1931" t="s">
        <v>274</v>
      </c>
      <c r="C1931" t="s">
        <v>408</v>
      </c>
    </row>
    <row r="1932" spans="1:3" x14ac:dyDescent="0.4">
      <c r="A1932">
        <v>104022</v>
      </c>
      <c r="B1932" t="s">
        <v>274</v>
      </c>
      <c r="C1932" t="s">
        <v>407</v>
      </c>
    </row>
    <row r="1933" spans="1:3" x14ac:dyDescent="0.4">
      <c r="A1933">
        <v>104023</v>
      </c>
      <c r="B1933" t="s">
        <v>274</v>
      </c>
      <c r="C1933" t="s">
        <v>406</v>
      </c>
    </row>
    <row r="1934" spans="1:3" x14ac:dyDescent="0.4">
      <c r="A1934">
        <v>104024</v>
      </c>
      <c r="B1934" t="s">
        <v>274</v>
      </c>
      <c r="C1934" t="s">
        <v>405</v>
      </c>
    </row>
    <row r="1935" spans="1:3" x14ac:dyDescent="0.4">
      <c r="A1935">
        <v>104025</v>
      </c>
      <c r="B1935" t="s">
        <v>274</v>
      </c>
      <c r="C1935" t="s">
        <v>404</v>
      </c>
    </row>
    <row r="1936" spans="1:3" x14ac:dyDescent="0.4">
      <c r="A1936">
        <v>105000</v>
      </c>
      <c r="B1936" t="s">
        <v>274</v>
      </c>
      <c r="C1936" t="s">
        <v>403</v>
      </c>
    </row>
    <row r="1937" spans="1:3" x14ac:dyDescent="0.4">
      <c r="A1937">
        <v>105001</v>
      </c>
      <c r="B1937" t="s">
        <v>274</v>
      </c>
      <c r="C1937" t="s">
        <v>402</v>
      </c>
    </row>
    <row r="1938" spans="1:3" x14ac:dyDescent="0.4">
      <c r="A1938">
        <v>105002</v>
      </c>
      <c r="B1938" t="s">
        <v>274</v>
      </c>
      <c r="C1938" t="s">
        <v>401</v>
      </c>
    </row>
    <row r="1939" spans="1:3" x14ac:dyDescent="0.4">
      <c r="A1939">
        <v>105003</v>
      </c>
      <c r="B1939" t="s">
        <v>274</v>
      </c>
      <c r="C1939" t="s">
        <v>400</v>
      </c>
    </row>
    <row r="1940" spans="1:3" x14ac:dyDescent="0.4">
      <c r="A1940">
        <v>105004</v>
      </c>
      <c r="B1940" t="s">
        <v>274</v>
      </c>
      <c r="C1940" t="s">
        <v>399</v>
      </c>
    </row>
    <row r="1941" spans="1:3" x14ac:dyDescent="0.4">
      <c r="A1941">
        <v>105005</v>
      </c>
      <c r="B1941" t="s">
        <v>274</v>
      </c>
      <c r="C1941" t="s">
        <v>398</v>
      </c>
    </row>
    <row r="1942" spans="1:3" x14ac:dyDescent="0.4">
      <c r="A1942">
        <v>105006</v>
      </c>
      <c r="B1942" t="s">
        <v>274</v>
      </c>
      <c r="C1942" t="s">
        <v>397</v>
      </c>
    </row>
    <row r="1943" spans="1:3" x14ac:dyDescent="0.4">
      <c r="A1943">
        <v>105007</v>
      </c>
      <c r="B1943" t="s">
        <v>274</v>
      </c>
      <c r="C1943" t="s">
        <v>396</v>
      </c>
    </row>
    <row r="1944" spans="1:3" x14ac:dyDescent="0.4">
      <c r="A1944">
        <v>105008</v>
      </c>
      <c r="B1944" t="s">
        <v>274</v>
      </c>
      <c r="C1944" t="s">
        <v>395</v>
      </c>
    </row>
    <row r="1945" spans="1:3" x14ac:dyDescent="0.4">
      <c r="A1945">
        <v>105009</v>
      </c>
      <c r="B1945" t="s">
        <v>274</v>
      </c>
      <c r="C1945" t="s">
        <v>394</v>
      </c>
    </row>
    <row r="1946" spans="1:3" x14ac:dyDescent="0.4">
      <c r="A1946">
        <v>105010</v>
      </c>
      <c r="B1946" t="s">
        <v>274</v>
      </c>
      <c r="C1946" t="s">
        <v>393</v>
      </c>
    </row>
    <row r="1947" spans="1:3" x14ac:dyDescent="0.4">
      <c r="A1947">
        <v>105011</v>
      </c>
      <c r="B1947" t="s">
        <v>274</v>
      </c>
      <c r="C1947" t="s">
        <v>392</v>
      </c>
    </row>
    <row r="1948" spans="1:3" x14ac:dyDescent="0.4">
      <c r="A1948">
        <v>105012</v>
      </c>
      <c r="B1948" t="s">
        <v>274</v>
      </c>
      <c r="C1948" t="s">
        <v>391</v>
      </c>
    </row>
    <row r="1949" spans="1:3" x14ac:dyDescent="0.4">
      <c r="A1949">
        <v>105013</v>
      </c>
      <c r="B1949" t="s">
        <v>274</v>
      </c>
      <c r="C1949" t="s">
        <v>390</v>
      </c>
    </row>
    <row r="1950" spans="1:3" x14ac:dyDescent="0.4">
      <c r="A1950">
        <v>105014</v>
      </c>
      <c r="B1950" t="s">
        <v>274</v>
      </c>
      <c r="C1950" t="s">
        <v>389</v>
      </c>
    </row>
    <row r="1951" spans="1:3" x14ac:dyDescent="0.4">
      <c r="A1951">
        <v>105015</v>
      </c>
      <c r="B1951" t="s">
        <v>274</v>
      </c>
      <c r="C1951" t="s">
        <v>388</v>
      </c>
    </row>
    <row r="1952" spans="1:3" x14ac:dyDescent="0.4">
      <c r="A1952">
        <v>105016</v>
      </c>
      <c r="B1952" t="s">
        <v>274</v>
      </c>
      <c r="C1952" t="s">
        <v>387</v>
      </c>
    </row>
    <row r="1953" spans="1:3" x14ac:dyDescent="0.4">
      <c r="A1953">
        <v>105017</v>
      </c>
      <c r="B1953" t="s">
        <v>274</v>
      </c>
      <c r="C1953" t="s">
        <v>386</v>
      </c>
    </row>
    <row r="1954" spans="1:3" x14ac:dyDescent="0.4">
      <c r="A1954">
        <v>105018</v>
      </c>
      <c r="B1954" t="s">
        <v>274</v>
      </c>
      <c r="C1954" t="s">
        <v>385</v>
      </c>
    </row>
    <row r="1955" spans="1:3" x14ac:dyDescent="0.4">
      <c r="A1955">
        <v>105019</v>
      </c>
      <c r="B1955" t="s">
        <v>274</v>
      </c>
      <c r="C1955" t="s">
        <v>384</v>
      </c>
    </row>
    <row r="1956" spans="1:3" x14ac:dyDescent="0.4">
      <c r="A1956">
        <v>105020</v>
      </c>
      <c r="B1956" t="s">
        <v>274</v>
      </c>
      <c r="C1956" t="s">
        <v>383</v>
      </c>
    </row>
    <row r="1957" spans="1:3" x14ac:dyDescent="0.4">
      <c r="A1957">
        <v>105021</v>
      </c>
      <c r="B1957" t="s">
        <v>274</v>
      </c>
      <c r="C1957" t="s">
        <v>382</v>
      </c>
    </row>
    <row r="1958" spans="1:3" x14ac:dyDescent="0.4">
      <c r="A1958">
        <v>105022</v>
      </c>
      <c r="B1958" t="s">
        <v>274</v>
      </c>
      <c r="C1958" t="s">
        <v>381</v>
      </c>
    </row>
    <row r="1959" spans="1:3" x14ac:dyDescent="0.4">
      <c r="A1959">
        <v>105023</v>
      </c>
      <c r="B1959" t="s">
        <v>274</v>
      </c>
      <c r="C1959" t="s">
        <v>380</v>
      </c>
    </row>
    <row r="1960" spans="1:3" x14ac:dyDescent="0.4">
      <c r="A1960">
        <v>105024</v>
      </c>
      <c r="B1960" t="s">
        <v>274</v>
      </c>
      <c r="C1960" t="s">
        <v>379</v>
      </c>
    </row>
    <row r="1961" spans="1:3" x14ac:dyDescent="0.4">
      <c r="A1961">
        <v>105025</v>
      </c>
      <c r="B1961" t="s">
        <v>274</v>
      </c>
      <c r="C1961" t="s">
        <v>378</v>
      </c>
    </row>
    <row r="1962" spans="1:3" x14ac:dyDescent="0.4">
      <c r="A1962">
        <v>106000</v>
      </c>
      <c r="B1962" t="s">
        <v>274</v>
      </c>
      <c r="C1962" t="s">
        <v>377</v>
      </c>
    </row>
    <row r="1963" spans="1:3" x14ac:dyDescent="0.4">
      <c r="A1963">
        <v>106001</v>
      </c>
      <c r="B1963" t="s">
        <v>274</v>
      </c>
      <c r="C1963" t="s">
        <v>376</v>
      </c>
    </row>
    <row r="1964" spans="1:3" x14ac:dyDescent="0.4">
      <c r="A1964">
        <v>106002</v>
      </c>
      <c r="B1964" t="s">
        <v>274</v>
      </c>
      <c r="C1964" t="s">
        <v>375</v>
      </c>
    </row>
    <row r="1965" spans="1:3" x14ac:dyDescent="0.4">
      <c r="A1965">
        <v>106003</v>
      </c>
      <c r="B1965" t="s">
        <v>274</v>
      </c>
      <c r="C1965" t="s">
        <v>374</v>
      </c>
    </row>
    <row r="1966" spans="1:3" x14ac:dyDescent="0.4">
      <c r="A1966">
        <v>106004</v>
      </c>
      <c r="B1966" t="s">
        <v>274</v>
      </c>
      <c r="C1966" t="s">
        <v>373</v>
      </c>
    </row>
    <row r="1967" spans="1:3" x14ac:dyDescent="0.4">
      <c r="A1967">
        <v>106005</v>
      </c>
      <c r="B1967" t="s">
        <v>274</v>
      </c>
      <c r="C1967" t="s">
        <v>372</v>
      </c>
    </row>
    <row r="1968" spans="1:3" x14ac:dyDescent="0.4">
      <c r="A1968">
        <v>106006</v>
      </c>
      <c r="B1968" t="s">
        <v>274</v>
      </c>
      <c r="C1968" t="s">
        <v>371</v>
      </c>
    </row>
    <row r="1969" spans="1:3" x14ac:dyDescent="0.4">
      <c r="A1969">
        <v>106007</v>
      </c>
      <c r="B1969" t="s">
        <v>274</v>
      </c>
      <c r="C1969" t="s">
        <v>370</v>
      </c>
    </row>
    <row r="1970" spans="1:3" x14ac:dyDescent="0.4">
      <c r="A1970">
        <v>106008</v>
      </c>
      <c r="B1970" t="s">
        <v>274</v>
      </c>
      <c r="C1970" t="s">
        <v>369</v>
      </c>
    </row>
    <row r="1971" spans="1:3" x14ac:dyDescent="0.4">
      <c r="A1971">
        <v>106009</v>
      </c>
      <c r="B1971" t="s">
        <v>274</v>
      </c>
      <c r="C1971" t="s">
        <v>368</v>
      </c>
    </row>
    <row r="1972" spans="1:3" x14ac:dyDescent="0.4">
      <c r="A1972">
        <v>106010</v>
      </c>
      <c r="B1972" t="s">
        <v>274</v>
      </c>
      <c r="C1972" t="s">
        <v>367</v>
      </c>
    </row>
    <row r="1973" spans="1:3" x14ac:dyDescent="0.4">
      <c r="A1973">
        <v>106011</v>
      </c>
      <c r="B1973" t="s">
        <v>274</v>
      </c>
      <c r="C1973" t="s">
        <v>366</v>
      </c>
    </row>
    <row r="1974" spans="1:3" x14ac:dyDescent="0.4">
      <c r="A1974">
        <v>106012</v>
      </c>
      <c r="B1974" t="s">
        <v>274</v>
      </c>
      <c r="C1974" t="s">
        <v>365</v>
      </c>
    </row>
    <row r="1975" spans="1:3" x14ac:dyDescent="0.4">
      <c r="A1975">
        <v>106013</v>
      </c>
      <c r="B1975" t="s">
        <v>274</v>
      </c>
      <c r="C1975" t="s">
        <v>364</v>
      </c>
    </row>
    <row r="1976" spans="1:3" x14ac:dyDescent="0.4">
      <c r="A1976">
        <v>106014</v>
      </c>
      <c r="B1976" t="s">
        <v>274</v>
      </c>
      <c r="C1976" t="s">
        <v>363</v>
      </c>
    </row>
    <row r="1977" spans="1:3" x14ac:dyDescent="0.4">
      <c r="A1977">
        <v>106015</v>
      </c>
      <c r="B1977" t="s">
        <v>274</v>
      </c>
      <c r="C1977" t="s">
        <v>362</v>
      </c>
    </row>
    <row r="1978" spans="1:3" x14ac:dyDescent="0.4">
      <c r="A1978">
        <v>106016</v>
      </c>
      <c r="B1978" t="s">
        <v>274</v>
      </c>
      <c r="C1978" t="s">
        <v>361</v>
      </c>
    </row>
    <row r="1979" spans="1:3" x14ac:dyDescent="0.4">
      <c r="A1979">
        <v>106017</v>
      </c>
      <c r="B1979" t="s">
        <v>274</v>
      </c>
      <c r="C1979" t="s">
        <v>360</v>
      </c>
    </row>
    <row r="1980" spans="1:3" x14ac:dyDescent="0.4">
      <c r="A1980">
        <v>106018</v>
      </c>
      <c r="B1980" t="s">
        <v>274</v>
      </c>
      <c r="C1980" t="s">
        <v>359</v>
      </c>
    </row>
    <row r="1981" spans="1:3" x14ac:dyDescent="0.4">
      <c r="A1981">
        <v>106019</v>
      </c>
      <c r="B1981" t="s">
        <v>274</v>
      </c>
      <c r="C1981" t="s">
        <v>358</v>
      </c>
    </row>
    <row r="1982" spans="1:3" x14ac:dyDescent="0.4">
      <c r="A1982">
        <v>106020</v>
      </c>
      <c r="B1982" t="s">
        <v>274</v>
      </c>
      <c r="C1982" t="s">
        <v>357</v>
      </c>
    </row>
    <row r="1983" spans="1:3" x14ac:dyDescent="0.4">
      <c r="A1983">
        <v>106021</v>
      </c>
      <c r="B1983" t="s">
        <v>274</v>
      </c>
      <c r="C1983" t="s">
        <v>356</v>
      </c>
    </row>
    <row r="1984" spans="1:3" x14ac:dyDescent="0.4">
      <c r="A1984">
        <v>106022</v>
      </c>
      <c r="B1984" t="s">
        <v>274</v>
      </c>
      <c r="C1984" t="s">
        <v>355</v>
      </c>
    </row>
    <row r="1985" spans="1:3" x14ac:dyDescent="0.4">
      <c r="A1985">
        <v>106023</v>
      </c>
      <c r="B1985" t="s">
        <v>274</v>
      </c>
      <c r="C1985" t="s">
        <v>354</v>
      </c>
    </row>
    <row r="1986" spans="1:3" x14ac:dyDescent="0.4">
      <c r="A1986">
        <v>106024</v>
      </c>
      <c r="B1986" t="s">
        <v>274</v>
      </c>
      <c r="C1986" t="s">
        <v>353</v>
      </c>
    </row>
    <row r="1987" spans="1:3" x14ac:dyDescent="0.4">
      <c r="A1987">
        <v>106025</v>
      </c>
      <c r="B1987" t="s">
        <v>274</v>
      </c>
      <c r="C1987" t="s">
        <v>352</v>
      </c>
    </row>
    <row r="1988" spans="1:3" x14ac:dyDescent="0.4">
      <c r="A1988">
        <v>107000</v>
      </c>
      <c r="B1988" t="s">
        <v>274</v>
      </c>
      <c r="C1988" t="s">
        <v>351</v>
      </c>
    </row>
    <row r="1989" spans="1:3" x14ac:dyDescent="0.4">
      <c r="A1989">
        <v>107001</v>
      </c>
      <c r="B1989" t="s">
        <v>274</v>
      </c>
      <c r="C1989" t="s">
        <v>350</v>
      </c>
    </row>
    <row r="1990" spans="1:3" x14ac:dyDescent="0.4">
      <c r="A1990">
        <v>107002</v>
      </c>
      <c r="B1990" t="s">
        <v>274</v>
      </c>
      <c r="C1990" t="s">
        <v>349</v>
      </c>
    </row>
    <row r="1991" spans="1:3" x14ac:dyDescent="0.4">
      <c r="A1991">
        <v>107003</v>
      </c>
      <c r="B1991" t="s">
        <v>274</v>
      </c>
      <c r="C1991" t="s">
        <v>348</v>
      </c>
    </row>
    <row r="1992" spans="1:3" x14ac:dyDescent="0.4">
      <c r="A1992">
        <v>107004</v>
      </c>
      <c r="B1992" t="s">
        <v>274</v>
      </c>
      <c r="C1992" t="s">
        <v>347</v>
      </c>
    </row>
    <row r="1993" spans="1:3" x14ac:dyDescent="0.4">
      <c r="A1993">
        <v>107005</v>
      </c>
      <c r="B1993" t="s">
        <v>274</v>
      </c>
      <c r="C1993" t="s">
        <v>346</v>
      </c>
    </row>
    <row r="1994" spans="1:3" x14ac:dyDescent="0.4">
      <c r="A1994">
        <v>107006</v>
      </c>
      <c r="B1994" t="s">
        <v>274</v>
      </c>
      <c r="C1994" t="s">
        <v>345</v>
      </c>
    </row>
    <row r="1995" spans="1:3" x14ac:dyDescent="0.4">
      <c r="A1995">
        <v>107007</v>
      </c>
      <c r="B1995" t="s">
        <v>274</v>
      </c>
      <c r="C1995" t="s">
        <v>344</v>
      </c>
    </row>
    <row r="1996" spans="1:3" x14ac:dyDescent="0.4">
      <c r="A1996">
        <v>107008</v>
      </c>
      <c r="B1996" t="s">
        <v>274</v>
      </c>
      <c r="C1996" t="s">
        <v>343</v>
      </c>
    </row>
    <row r="1997" spans="1:3" x14ac:dyDescent="0.4">
      <c r="A1997">
        <v>107009</v>
      </c>
      <c r="B1997" t="s">
        <v>274</v>
      </c>
      <c r="C1997" t="s">
        <v>342</v>
      </c>
    </row>
    <row r="1998" spans="1:3" x14ac:dyDescent="0.4">
      <c r="A1998">
        <v>107010</v>
      </c>
      <c r="B1998" t="s">
        <v>274</v>
      </c>
      <c r="C1998" t="s">
        <v>341</v>
      </c>
    </row>
    <row r="1999" spans="1:3" x14ac:dyDescent="0.4">
      <c r="A1999">
        <v>107011</v>
      </c>
      <c r="B1999" t="s">
        <v>274</v>
      </c>
      <c r="C1999" t="s">
        <v>340</v>
      </c>
    </row>
    <row r="2000" spans="1:3" x14ac:dyDescent="0.4">
      <c r="A2000">
        <v>107012</v>
      </c>
      <c r="B2000" t="s">
        <v>274</v>
      </c>
      <c r="C2000" t="s">
        <v>339</v>
      </c>
    </row>
    <row r="2001" spans="1:3" x14ac:dyDescent="0.4">
      <c r="A2001">
        <v>107013</v>
      </c>
      <c r="B2001" t="s">
        <v>274</v>
      </c>
      <c r="C2001" t="s">
        <v>338</v>
      </c>
    </row>
    <row r="2002" spans="1:3" x14ac:dyDescent="0.4">
      <c r="A2002">
        <v>107014</v>
      </c>
      <c r="B2002" t="s">
        <v>274</v>
      </c>
      <c r="C2002" t="s">
        <v>337</v>
      </c>
    </row>
    <row r="2003" spans="1:3" x14ac:dyDescent="0.4">
      <c r="A2003">
        <v>107015</v>
      </c>
      <c r="B2003" t="s">
        <v>274</v>
      </c>
      <c r="C2003" t="s">
        <v>336</v>
      </c>
    </row>
    <row r="2004" spans="1:3" x14ac:dyDescent="0.4">
      <c r="A2004">
        <v>107016</v>
      </c>
      <c r="B2004" t="s">
        <v>274</v>
      </c>
      <c r="C2004" t="s">
        <v>335</v>
      </c>
    </row>
    <row r="2005" spans="1:3" x14ac:dyDescent="0.4">
      <c r="A2005">
        <v>107017</v>
      </c>
      <c r="B2005" t="s">
        <v>274</v>
      </c>
      <c r="C2005" t="s">
        <v>334</v>
      </c>
    </row>
    <row r="2006" spans="1:3" x14ac:dyDescent="0.4">
      <c r="A2006">
        <v>107018</v>
      </c>
      <c r="B2006" t="s">
        <v>274</v>
      </c>
      <c r="C2006" t="s">
        <v>333</v>
      </c>
    </row>
    <row r="2007" spans="1:3" x14ac:dyDescent="0.4">
      <c r="A2007">
        <v>107019</v>
      </c>
      <c r="B2007" t="s">
        <v>274</v>
      </c>
      <c r="C2007" t="s">
        <v>332</v>
      </c>
    </row>
    <row r="2008" spans="1:3" x14ac:dyDescent="0.4">
      <c r="A2008">
        <v>107020</v>
      </c>
      <c r="B2008" t="s">
        <v>274</v>
      </c>
      <c r="C2008" t="s">
        <v>331</v>
      </c>
    </row>
    <row r="2009" spans="1:3" x14ac:dyDescent="0.4">
      <c r="A2009">
        <v>107021</v>
      </c>
      <c r="B2009" t="s">
        <v>274</v>
      </c>
      <c r="C2009" t="s">
        <v>330</v>
      </c>
    </row>
    <row r="2010" spans="1:3" x14ac:dyDescent="0.4">
      <c r="A2010">
        <v>107022</v>
      </c>
      <c r="B2010" t="s">
        <v>274</v>
      </c>
      <c r="C2010" t="s">
        <v>329</v>
      </c>
    </row>
    <row r="2011" spans="1:3" x14ac:dyDescent="0.4">
      <c r="A2011">
        <v>107023</v>
      </c>
      <c r="B2011" t="s">
        <v>274</v>
      </c>
      <c r="C2011" t="s">
        <v>328</v>
      </c>
    </row>
    <row r="2012" spans="1:3" x14ac:dyDescent="0.4">
      <c r="A2012">
        <v>107024</v>
      </c>
      <c r="B2012" t="s">
        <v>274</v>
      </c>
      <c r="C2012" t="s">
        <v>327</v>
      </c>
    </row>
    <row r="2013" spans="1:3" x14ac:dyDescent="0.4">
      <c r="A2013">
        <v>107025</v>
      </c>
      <c r="B2013" t="s">
        <v>274</v>
      </c>
      <c r="C2013" t="s">
        <v>326</v>
      </c>
    </row>
    <row r="2014" spans="1:3" x14ac:dyDescent="0.4">
      <c r="A2014">
        <v>108000</v>
      </c>
      <c r="B2014" t="s">
        <v>274</v>
      </c>
      <c r="C2014" t="s">
        <v>325</v>
      </c>
    </row>
    <row r="2015" spans="1:3" x14ac:dyDescent="0.4">
      <c r="A2015">
        <v>108001</v>
      </c>
      <c r="B2015" t="s">
        <v>274</v>
      </c>
      <c r="C2015" t="s">
        <v>324</v>
      </c>
    </row>
    <row r="2016" spans="1:3" x14ac:dyDescent="0.4">
      <c r="A2016">
        <v>108002</v>
      </c>
      <c r="B2016" t="s">
        <v>274</v>
      </c>
      <c r="C2016" t="s">
        <v>323</v>
      </c>
    </row>
    <row r="2017" spans="1:3" x14ac:dyDescent="0.4">
      <c r="A2017">
        <v>108003</v>
      </c>
      <c r="B2017" t="s">
        <v>274</v>
      </c>
      <c r="C2017" t="s">
        <v>322</v>
      </c>
    </row>
    <row r="2018" spans="1:3" x14ac:dyDescent="0.4">
      <c r="A2018">
        <v>108004</v>
      </c>
      <c r="B2018" t="s">
        <v>274</v>
      </c>
      <c r="C2018" t="s">
        <v>321</v>
      </c>
    </row>
    <row r="2019" spans="1:3" x14ac:dyDescent="0.4">
      <c r="A2019">
        <v>108005</v>
      </c>
      <c r="B2019" t="s">
        <v>274</v>
      </c>
      <c r="C2019" t="s">
        <v>320</v>
      </c>
    </row>
    <row r="2020" spans="1:3" x14ac:dyDescent="0.4">
      <c r="A2020">
        <v>108006</v>
      </c>
      <c r="B2020" t="s">
        <v>274</v>
      </c>
      <c r="C2020" t="s">
        <v>319</v>
      </c>
    </row>
    <row r="2021" spans="1:3" x14ac:dyDescent="0.4">
      <c r="A2021">
        <v>108007</v>
      </c>
      <c r="B2021" t="s">
        <v>274</v>
      </c>
      <c r="C2021" t="s">
        <v>318</v>
      </c>
    </row>
    <row r="2022" spans="1:3" x14ac:dyDescent="0.4">
      <c r="A2022">
        <v>108008</v>
      </c>
      <c r="B2022" t="s">
        <v>274</v>
      </c>
      <c r="C2022" t="s">
        <v>317</v>
      </c>
    </row>
    <row r="2023" spans="1:3" x14ac:dyDescent="0.4">
      <c r="A2023">
        <v>108009</v>
      </c>
      <c r="B2023" t="s">
        <v>274</v>
      </c>
      <c r="C2023" t="s">
        <v>316</v>
      </c>
    </row>
    <row r="2024" spans="1:3" x14ac:dyDescent="0.4">
      <c r="A2024">
        <v>108010</v>
      </c>
      <c r="B2024" t="s">
        <v>274</v>
      </c>
      <c r="C2024" t="s">
        <v>315</v>
      </c>
    </row>
    <row r="2025" spans="1:3" x14ac:dyDescent="0.4">
      <c r="A2025">
        <v>108011</v>
      </c>
      <c r="B2025" t="s">
        <v>274</v>
      </c>
      <c r="C2025" t="s">
        <v>314</v>
      </c>
    </row>
    <row r="2026" spans="1:3" x14ac:dyDescent="0.4">
      <c r="A2026">
        <v>108012</v>
      </c>
      <c r="B2026" t="s">
        <v>274</v>
      </c>
      <c r="C2026" t="s">
        <v>313</v>
      </c>
    </row>
    <row r="2027" spans="1:3" x14ac:dyDescent="0.4">
      <c r="A2027">
        <v>108013</v>
      </c>
      <c r="B2027" t="s">
        <v>274</v>
      </c>
      <c r="C2027" t="s">
        <v>312</v>
      </c>
    </row>
    <row r="2028" spans="1:3" x14ac:dyDescent="0.4">
      <c r="A2028">
        <v>108014</v>
      </c>
      <c r="B2028" t="s">
        <v>274</v>
      </c>
      <c r="C2028" t="s">
        <v>311</v>
      </c>
    </row>
    <row r="2029" spans="1:3" x14ac:dyDescent="0.4">
      <c r="A2029">
        <v>108015</v>
      </c>
      <c r="B2029" t="s">
        <v>274</v>
      </c>
      <c r="C2029" t="s">
        <v>310</v>
      </c>
    </row>
    <row r="2030" spans="1:3" x14ac:dyDescent="0.4">
      <c r="A2030">
        <v>108016</v>
      </c>
      <c r="B2030" t="s">
        <v>274</v>
      </c>
      <c r="C2030" t="s">
        <v>309</v>
      </c>
    </row>
    <row r="2031" spans="1:3" x14ac:dyDescent="0.4">
      <c r="A2031">
        <v>108017</v>
      </c>
      <c r="B2031" t="s">
        <v>274</v>
      </c>
      <c r="C2031" t="s">
        <v>308</v>
      </c>
    </row>
    <row r="2032" spans="1:3" x14ac:dyDescent="0.4">
      <c r="A2032">
        <v>108018</v>
      </c>
      <c r="B2032" t="s">
        <v>274</v>
      </c>
      <c r="C2032" t="s">
        <v>307</v>
      </c>
    </row>
    <row r="2033" spans="1:3" x14ac:dyDescent="0.4">
      <c r="A2033">
        <v>108019</v>
      </c>
      <c r="B2033" t="s">
        <v>274</v>
      </c>
      <c r="C2033" t="s">
        <v>306</v>
      </c>
    </row>
    <row r="2034" spans="1:3" x14ac:dyDescent="0.4">
      <c r="A2034">
        <v>108020</v>
      </c>
      <c r="B2034" t="s">
        <v>274</v>
      </c>
      <c r="C2034" t="s">
        <v>305</v>
      </c>
    </row>
    <row r="2035" spans="1:3" x14ac:dyDescent="0.4">
      <c r="A2035">
        <v>108021</v>
      </c>
      <c r="B2035" t="s">
        <v>274</v>
      </c>
      <c r="C2035" t="s">
        <v>304</v>
      </c>
    </row>
    <row r="2036" spans="1:3" x14ac:dyDescent="0.4">
      <c r="A2036">
        <v>108022</v>
      </c>
      <c r="B2036" t="s">
        <v>274</v>
      </c>
      <c r="C2036" t="s">
        <v>303</v>
      </c>
    </row>
    <row r="2037" spans="1:3" x14ac:dyDescent="0.4">
      <c r="A2037">
        <v>108023</v>
      </c>
      <c r="B2037" t="s">
        <v>274</v>
      </c>
      <c r="C2037" t="s">
        <v>302</v>
      </c>
    </row>
    <row r="2038" spans="1:3" x14ac:dyDescent="0.4">
      <c r="A2038">
        <v>108024</v>
      </c>
      <c r="B2038" t="s">
        <v>274</v>
      </c>
      <c r="C2038" t="s">
        <v>301</v>
      </c>
    </row>
    <row r="2039" spans="1:3" x14ac:dyDescent="0.4">
      <c r="A2039">
        <v>108025</v>
      </c>
      <c r="B2039" t="s">
        <v>274</v>
      </c>
      <c r="C2039" t="s">
        <v>300</v>
      </c>
    </row>
    <row r="2040" spans="1:3" x14ac:dyDescent="0.4">
      <c r="A2040">
        <v>109000</v>
      </c>
      <c r="B2040" t="s">
        <v>274</v>
      </c>
      <c r="C2040" t="s">
        <v>299</v>
      </c>
    </row>
    <row r="2041" spans="1:3" x14ac:dyDescent="0.4">
      <c r="A2041">
        <v>109001</v>
      </c>
      <c r="B2041" t="s">
        <v>274</v>
      </c>
      <c r="C2041" t="s">
        <v>298</v>
      </c>
    </row>
    <row r="2042" spans="1:3" x14ac:dyDescent="0.4">
      <c r="A2042">
        <v>109002</v>
      </c>
      <c r="B2042" t="s">
        <v>274</v>
      </c>
      <c r="C2042" t="s">
        <v>297</v>
      </c>
    </row>
    <row r="2043" spans="1:3" x14ac:dyDescent="0.4">
      <c r="A2043">
        <v>109003</v>
      </c>
      <c r="B2043" t="s">
        <v>274</v>
      </c>
      <c r="C2043" t="s">
        <v>296</v>
      </c>
    </row>
    <row r="2044" spans="1:3" x14ac:dyDescent="0.4">
      <c r="A2044">
        <v>109004</v>
      </c>
      <c r="B2044" t="s">
        <v>274</v>
      </c>
      <c r="C2044" t="s">
        <v>295</v>
      </c>
    </row>
    <row r="2045" spans="1:3" x14ac:dyDescent="0.4">
      <c r="A2045">
        <v>109005</v>
      </c>
      <c r="B2045" t="s">
        <v>274</v>
      </c>
      <c r="C2045" t="s">
        <v>294</v>
      </c>
    </row>
    <row r="2046" spans="1:3" x14ac:dyDescent="0.4">
      <c r="A2046">
        <v>109006</v>
      </c>
      <c r="B2046" t="s">
        <v>274</v>
      </c>
      <c r="C2046" t="s">
        <v>293</v>
      </c>
    </row>
    <row r="2047" spans="1:3" x14ac:dyDescent="0.4">
      <c r="A2047">
        <v>109007</v>
      </c>
      <c r="B2047" t="s">
        <v>274</v>
      </c>
      <c r="C2047" t="s">
        <v>292</v>
      </c>
    </row>
    <row r="2048" spans="1:3" x14ac:dyDescent="0.4">
      <c r="A2048">
        <v>109008</v>
      </c>
      <c r="B2048" t="s">
        <v>274</v>
      </c>
      <c r="C2048" t="s">
        <v>291</v>
      </c>
    </row>
    <row r="2049" spans="1:3" x14ac:dyDescent="0.4">
      <c r="A2049">
        <v>109009</v>
      </c>
      <c r="B2049" t="s">
        <v>274</v>
      </c>
      <c r="C2049" t="s">
        <v>290</v>
      </c>
    </row>
    <row r="2050" spans="1:3" x14ac:dyDescent="0.4">
      <c r="A2050">
        <v>109010</v>
      </c>
      <c r="B2050" t="s">
        <v>274</v>
      </c>
      <c r="C2050" t="s">
        <v>289</v>
      </c>
    </row>
    <row r="2051" spans="1:3" x14ac:dyDescent="0.4">
      <c r="A2051">
        <v>109011</v>
      </c>
      <c r="B2051" t="s">
        <v>274</v>
      </c>
      <c r="C2051" t="s">
        <v>288</v>
      </c>
    </row>
    <row r="2052" spans="1:3" x14ac:dyDescent="0.4">
      <c r="A2052">
        <v>109012</v>
      </c>
      <c r="B2052" t="s">
        <v>274</v>
      </c>
      <c r="C2052" t="s">
        <v>287</v>
      </c>
    </row>
    <row r="2053" spans="1:3" x14ac:dyDescent="0.4">
      <c r="A2053">
        <v>109013</v>
      </c>
      <c r="B2053" t="s">
        <v>274</v>
      </c>
      <c r="C2053" t="s">
        <v>286</v>
      </c>
    </row>
    <row r="2054" spans="1:3" x14ac:dyDescent="0.4">
      <c r="A2054">
        <v>109014</v>
      </c>
      <c r="B2054" t="s">
        <v>274</v>
      </c>
      <c r="C2054" t="s">
        <v>285</v>
      </c>
    </row>
    <row r="2055" spans="1:3" x14ac:dyDescent="0.4">
      <c r="A2055">
        <v>109015</v>
      </c>
      <c r="B2055" t="s">
        <v>274</v>
      </c>
      <c r="C2055" t="s">
        <v>284</v>
      </c>
    </row>
    <row r="2056" spans="1:3" x14ac:dyDescent="0.4">
      <c r="A2056">
        <v>109016</v>
      </c>
      <c r="B2056" t="s">
        <v>274</v>
      </c>
      <c r="C2056" t="s">
        <v>283</v>
      </c>
    </row>
    <row r="2057" spans="1:3" x14ac:dyDescent="0.4">
      <c r="A2057">
        <v>109017</v>
      </c>
      <c r="B2057" t="s">
        <v>274</v>
      </c>
      <c r="C2057" t="s">
        <v>282</v>
      </c>
    </row>
    <row r="2058" spans="1:3" x14ac:dyDescent="0.4">
      <c r="A2058">
        <v>109018</v>
      </c>
      <c r="B2058" t="s">
        <v>274</v>
      </c>
      <c r="C2058" t="s">
        <v>281</v>
      </c>
    </row>
    <row r="2059" spans="1:3" x14ac:dyDescent="0.4">
      <c r="A2059">
        <v>109019</v>
      </c>
      <c r="B2059" t="s">
        <v>274</v>
      </c>
      <c r="C2059" t="s">
        <v>280</v>
      </c>
    </row>
    <row r="2060" spans="1:3" x14ac:dyDescent="0.4">
      <c r="A2060">
        <v>109020</v>
      </c>
      <c r="B2060" t="s">
        <v>274</v>
      </c>
      <c r="C2060" t="s">
        <v>279</v>
      </c>
    </row>
    <row r="2061" spans="1:3" x14ac:dyDescent="0.4">
      <c r="A2061">
        <v>109021</v>
      </c>
      <c r="B2061" t="s">
        <v>274</v>
      </c>
      <c r="C2061" t="s">
        <v>278</v>
      </c>
    </row>
    <row r="2062" spans="1:3" x14ac:dyDescent="0.4">
      <c r="A2062">
        <v>109022</v>
      </c>
      <c r="B2062" t="s">
        <v>274</v>
      </c>
      <c r="C2062" t="s">
        <v>277</v>
      </c>
    </row>
    <row r="2063" spans="1:3" x14ac:dyDescent="0.4">
      <c r="A2063">
        <v>109023</v>
      </c>
      <c r="B2063" t="s">
        <v>274</v>
      </c>
      <c r="C2063" t="s">
        <v>276</v>
      </c>
    </row>
    <row r="2064" spans="1:3" x14ac:dyDescent="0.4">
      <c r="A2064">
        <v>109024</v>
      </c>
      <c r="B2064" t="s">
        <v>274</v>
      </c>
      <c r="C2064" t="s">
        <v>275</v>
      </c>
    </row>
    <row r="2065" spans="1:3" x14ac:dyDescent="0.4">
      <c r="A2065">
        <v>109025</v>
      </c>
      <c r="B2065" t="s">
        <v>274</v>
      </c>
      <c r="C2065" t="s">
        <v>273</v>
      </c>
    </row>
    <row r="2066" spans="1:3" x14ac:dyDescent="0.4">
      <c r="A2066">
        <v>110000</v>
      </c>
      <c r="B2066" t="s">
        <v>33</v>
      </c>
      <c r="C2066" t="s">
        <v>272</v>
      </c>
    </row>
    <row r="2067" spans="1:3" x14ac:dyDescent="0.4">
      <c r="A2067">
        <v>110001</v>
      </c>
      <c r="B2067" t="s">
        <v>33</v>
      </c>
      <c r="C2067" t="s">
        <v>271</v>
      </c>
    </row>
    <row r="2068" spans="1:3" x14ac:dyDescent="0.4">
      <c r="A2068">
        <v>110002</v>
      </c>
      <c r="B2068" t="s">
        <v>33</v>
      </c>
      <c r="C2068" t="s">
        <v>270</v>
      </c>
    </row>
    <row r="2069" spans="1:3" x14ac:dyDescent="0.4">
      <c r="A2069">
        <v>110003</v>
      </c>
      <c r="B2069" t="s">
        <v>33</v>
      </c>
      <c r="C2069" t="s">
        <v>269</v>
      </c>
    </row>
    <row r="2070" spans="1:3" x14ac:dyDescent="0.4">
      <c r="A2070">
        <v>110004</v>
      </c>
      <c r="B2070" t="s">
        <v>33</v>
      </c>
      <c r="C2070" t="s">
        <v>268</v>
      </c>
    </row>
    <row r="2071" spans="1:3" x14ac:dyDescent="0.4">
      <c r="A2071">
        <v>110005</v>
      </c>
      <c r="B2071" t="s">
        <v>33</v>
      </c>
      <c r="C2071" t="s">
        <v>267</v>
      </c>
    </row>
    <row r="2072" spans="1:3" x14ac:dyDescent="0.4">
      <c r="A2072">
        <v>110006</v>
      </c>
      <c r="B2072" t="s">
        <v>33</v>
      </c>
      <c r="C2072" t="s">
        <v>266</v>
      </c>
    </row>
    <row r="2073" spans="1:3" x14ac:dyDescent="0.4">
      <c r="A2073">
        <v>110007</v>
      </c>
      <c r="B2073" t="s">
        <v>33</v>
      </c>
      <c r="C2073" t="s">
        <v>265</v>
      </c>
    </row>
    <row r="2074" spans="1:3" x14ac:dyDescent="0.4">
      <c r="A2074">
        <v>110008</v>
      </c>
      <c r="B2074" t="s">
        <v>33</v>
      </c>
      <c r="C2074" t="s">
        <v>264</v>
      </c>
    </row>
    <row r="2075" spans="1:3" x14ac:dyDescent="0.4">
      <c r="A2075">
        <v>110009</v>
      </c>
      <c r="B2075" t="s">
        <v>33</v>
      </c>
      <c r="C2075" t="s">
        <v>263</v>
      </c>
    </row>
    <row r="2076" spans="1:3" x14ac:dyDescent="0.4">
      <c r="A2076">
        <v>110010</v>
      </c>
      <c r="B2076" t="s">
        <v>33</v>
      </c>
      <c r="C2076" t="s">
        <v>262</v>
      </c>
    </row>
    <row r="2077" spans="1:3" x14ac:dyDescent="0.4">
      <c r="A2077">
        <v>110011</v>
      </c>
      <c r="B2077" t="s">
        <v>33</v>
      </c>
      <c r="C2077" t="s">
        <v>261</v>
      </c>
    </row>
    <row r="2078" spans="1:3" x14ac:dyDescent="0.4">
      <c r="A2078">
        <v>110012</v>
      </c>
      <c r="B2078" t="s">
        <v>33</v>
      </c>
      <c r="C2078" t="s">
        <v>260</v>
      </c>
    </row>
    <row r="2079" spans="1:3" x14ac:dyDescent="0.4">
      <c r="A2079">
        <v>110013</v>
      </c>
      <c r="B2079" t="s">
        <v>33</v>
      </c>
      <c r="C2079" t="s">
        <v>259</v>
      </c>
    </row>
    <row r="2080" spans="1:3" x14ac:dyDescent="0.4">
      <c r="A2080">
        <v>110016</v>
      </c>
      <c r="B2080" t="s">
        <v>33</v>
      </c>
      <c r="C2080" t="s">
        <v>258</v>
      </c>
    </row>
    <row r="2081" spans="1:3" x14ac:dyDescent="0.4">
      <c r="A2081">
        <v>110017</v>
      </c>
      <c r="B2081" t="s">
        <v>33</v>
      </c>
      <c r="C2081" t="s">
        <v>257</v>
      </c>
    </row>
    <row r="2082" spans="1:3" x14ac:dyDescent="0.4">
      <c r="A2082">
        <v>110018</v>
      </c>
      <c r="B2082" t="s">
        <v>33</v>
      </c>
      <c r="C2082" t="s">
        <v>256</v>
      </c>
    </row>
    <row r="2083" spans="1:3" x14ac:dyDescent="0.4">
      <c r="A2083">
        <v>110019</v>
      </c>
      <c r="B2083" t="s">
        <v>33</v>
      </c>
      <c r="C2083" t="s">
        <v>255</v>
      </c>
    </row>
    <row r="2084" spans="1:3" x14ac:dyDescent="0.4">
      <c r="A2084">
        <v>110020</v>
      </c>
      <c r="B2084" t="s">
        <v>33</v>
      </c>
      <c r="C2084" t="s">
        <v>254</v>
      </c>
    </row>
    <row r="2085" spans="1:3" x14ac:dyDescent="0.4">
      <c r="A2085">
        <v>110021</v>
      </c>
      <c r="B2085" t="s">
        <v>33</v>
      </c>
      <c r="C2085" t="s">
        <v>253</v>
      </c>
    </row>
    <row r="2086" spans="1:3" x14ac:dyDescent="0.4">
      <c r="A2086">
        <v>110024</v>
      </c>
      <c r="B2086" t="s">
        <v>33</v>
      </c>
      <c r="C2086" t="s">
        <v>252</v>
      </c>
    </row>
    <row r="2087" spans="1:3" x14ac:dyDescent="0.4">
      <c r="A2087">
        <v>110025</v>
      </c>
      <c r="B2087" t="s">
        <v>33</v>
      </c>
      <c r="C2087" t="s">
        <v>251</v>
      </c>
    </row>
    <row r="2088" spans="1:3" x14ac:dyDescent="0.4">
      <c r="A2088">
        <v>110026</v>
      </c>
      <c r="B2088" t="s">
        <v>33</v>
      </c>
      <c r="C2088" t="s">
        <v>250</v>
      </c>
    </row>
    <row r="2089" spans="1:3" x14ac:dyDescent="0.4">
      <c r="A2089">
        <v>110027</v>
      </c>
      <c r="B2089" t="s">
        <v>33</v>
      </c>
      <c r="C2089" t="s">
        <v>249</v>
      </c>
    </row>
    <row r="2090" spans="1:3" x14ac:dyDescent="0.4">
      <c r="A2090">
        <v>110028</v>
      </c>
      <c r="B2090" t="s">
        <v>33</v>
      </c>
      <c r="C2090" t="s">
        <v>248</v>
      </c>
    </row>
    <row r="2091" spans="1:3" x14ac:dyDescent="0.4">
      <c r="A2091">
        <v>110029</v>
      </c>
      <c r="B2091" t="s">
        <v>33</v>
      </c>
      <c r="C2091" t="s">
        <v>247</v>
      </c>
    </row>
    <row r="2092" spans="1:3" x14ac:dyDescent="0.4">
      <c r="A2092">
        <v>110064</v>
      </c>
      <c r="B2092" t="s">
        <v>33</v>
      </c>
      <c r="C2092" t="s">
        <v>246</v>
      </c>
    </row>
    <row r="2093" spans="1:3" x14ac:dyDescent="0.4">
      <c r="A2093">
        <v>110065</v>
      </c>
      <c r="B2093" t="s">
        <v>33</v>
      </c>
      <c r="C2093" t="s">
        <v>245</v>
      </c>
    </row>
    <row r="2094" spans="1:3" x14ac:dyDescent="0.4">
      <c r="A2094">
        <v>110066</v>
      </c>
      <c r="B2094" t="s">
        <v>33</v>
      </c>
      <c r="C2094" t="s">
        <v>244</v>
      </c>
    </row>
    <row r="2095" spans="1:3" x14ac:dyDescent="0.4">
      <c r="A2095">
        <v>110067</v>
      </c>
      <c r="B2095" t="s">
        <v>33</v>
      </c>
      <c r="C2095" t="s">
        <v>243</v>
      </c>
    </row>
    <row r="2096" spans="1:3" x14ac:dyDescent="0.4">
      <c r="A2096">
        <v>110068</v>
      </c>
      <c r="B2096" t="s">
        <v>33</v>
      </c>
      <c r="C2096" t="s">
        <v>242</v>
      </c>
    </row>
    <row r="2097" spans="1:3" x14ac:dyDescent="0.4">
      <c r="A2097">
        <v>110070</v>
      </c>
      <c r="B2097" t="s">
        <v>33</v>
      </c>
      <c r="C2097" t="s">
        <v>241</v>
      </c>
    </row>
    <row r="2098" spans="1:3" x14ac:dyDescent="0.4">
      <c r="A2098">
        <v>110071</v>
      </c>
      <c r="B2098" t="s">
        <v>33</v>
      </c>
      <c r="C2098" t="s">
        <v>240</v>
      </c>
    </row>
    <row r="2099" spans="1:3" x14ac:dyDescent="0.4">
      <c r="A2099">
        <v>110072</v>
      </c>
      <c r="B2099" t="s">
        <v>33</v>
      </c>
      <c r="C2099" t="s">
        <v>239</v>
      </c>
    </row>
    <row r="2100" spans="1:3" x14ac:dyDescent="0.4">
      <c r="A2100">
        <v>110073</v>
      </c>
      <c r="B2100" t="s">
        <v>33</v>
      </c>
      <c r="C2100" t="s">
        <v>238</v>
      </c>
    </row>
    <row r="2101" spans="1:3" x14ac:dyDescent="0.4">
      <c r="A2101">
        <v>110075</v>
      </c>
      <c r="B2101" t="s">
        <v>33</v>
      </c>
      <c r="C2101" t="s">
        <v>237</v>
      </c>
    </row>
    <row r="2102" spans="1:3" x14ac:dyDescent="0.4">
      <c r="A2102">
        <v>110076</v>
      </c>
      <c r="B2102" t="s">
        <v>33</v>
      </c>
      <c r="C2102" t="s">
        <v>236</v>
      </c>
    </row>
    <row r="2103" spans="1:3" x14ac:dyDescent="0.4">
      <c r="A2103">
        <v>110077</v>
      </c>
      <c r="B2103" t="s">
        <v>33</v>
      </c>
      <c r="C2103" t="s">
        <v>235</v>
      </c>
    </row>
    <row r="2104" spans="1:3" x14ac:dyDescent="0.4">
      <c r="A2104">
        <v>110078</v>
      </c>
      <c r="B2104" t="s">
        <v>33</v>
      </c>
      <c r="C2104" t="s">
        <v>234</v>
      </c>
    </row>
    <row r="2105" spans="1:3" x14ac:dyDescent="0.4">
      <c r="A2105">
        <v>110079</v>
      </c>
      <c r="B2105" t="s">
        <v>33</v>
      </c>
      <c r="C2105" t="s">
        <v>233</v>
      </c>
    </row>
    <row r="2106" spans="1:3" x14ac:dyDescent="0.4">
      <c r="A2106">
        <v>110080</v>
      </c>
      <c r="B2106" t="s">
        <v>33</v>
      </c>
      <c r="C2106" t="s">
        <v>232</v>
      </c>
    </row>
    <row r="2107" spans="1:3" x14ac:dyDescent="0.4">
      <c r="A2107">
        <v>110081</v>
      </c>
      <c r="B2107" t="s">
        <v>33</v>
      </c>
      <c r="C2107" t="s">
        <v>231</v>
      </c>
    </row>
    <row r="2108" spans="1:3" x14ac:dyDescent="0.4">
      <c r="A2108">
        <v>110082</v>
      </c>
      <c r="B2108" t="s">
        <v>33</v>
      </c>
      <c r="C2108" t="s">
        <v>230</v>
      </c>
    </row>
    <row r="2109" spans="1:3" x14ac:dyDescent="0.4">
      <c r="A2109">
        <v>110083</v>
      </c>
      <c r="B2109" t="s">
        <v>33</v>
      </c>
      <c r="C2109" t="s">
        <v>229</v>
      </c>
    </row>
    <row r="2110" spans="1:3" x14ac:dyDescent="0.4">
      <c r="A2110">
        <v>110086</v>
      </c>
      <c r="B2110" t="s">
        <v>33</v>
      </c>
      <c r="C2110" t="s">
        <v>228</v>
      </c>
    </row>
    <row r="2111" spans="1:3" x14ac:dyDescent="0.4">
      <c r="A2111">
        <v>110087</v>
      </c>
      <c r="B2111" t="s">
        <v>33</v>
      </c>
      <c r="C2111" t="s">
        <v>227</v>
      </c>
    </row>
    <row r="2112" spans="1:3" x14ac:dyDescent="0.4">
      <c r="A2112">
        <v>110088</v>
      </c>
      <c r="B2112" t="s">
        <v>33</v>
      </c>
      <c r="C2112" t="s">
        <v>226</v>
      </c>
    </row>
    <row r="2113" spans="1:3" x14ac:dyDescent="0.4">
      <c r="A2113">
        <v>110091</v>
      </c>
      <c r="B2113" t="s">
        <v>33</v>
      </c>
      <c r="C2113" t="s">
        <v>225</v>
      </c>
    </row>
    <row r="2114" spans="1:3" x14ac:dyDescent="0.4">
      <c r="A2114">
        <v>110092</v>
      </c>
      <c r="B2114" t="s">
        <v>33</v>
      </c>
      <c r="C2114" t="s">
        <v>224</v>
      </c>
    </row>
    <row r="2115" spans="1:3" x14ac:dyDescent="0.4">
      <c r="A2115">
        <v>110093</v>
      </c>
      <c r="B2115" t="s">
        <v>33</v>
      </c>
      <c r="C2115" t="s">
        <v>223</v>
      </c>
    </row>
    <row r="2116" spans="1:3" x14ac:dyDescent="0.4">
      <c r="A2116">
        <v>110094</v>
      </c>
      <c r="B2116" t="s">
        <v>33</v>
      </c>
      <c r="C2116" t="s">
        <v>222</v>
      </c>
    </row>
    <row r="2117" spans="1:3" x14ac:dyDescent="0.4">
      <c r="A2117">
        <v>110106</v>
      </c>
      <c r="B2117" t="s">
        <v>33</v>
      </c>
      <c r="C2117" t="s">
        <v>221</v>
      </c>
    </row>
    <row r="2118" spans="1:3" x14ac:dyDescent="0.4">
      <c r="A2118">
        <v>110110</v>
      </c>
      <c r="B2118" t="s">
        <v>33</v>
      </c>
      <c r="C2118" t="s">
        <v>220</v>
      </c>
    </row>
    <row r="2119" spans="1:3" x14ac:dyDescent="0.4">
      <c r="A2119">
        <v>110704</v>
      </c>
      <c r="B2119" t="s">
        <v>33</v>
      </c>
      <c r="C2119" t="s">
        <v>219</v>
      </c>
    </row>
    <row r="2120" spans="1:3" x14ac:dyDescent="0.4">
      <c r="A2120">
        <v>110705</v>
      </c>
      <c r="B2120" t="s">
        <v>33</v>
      </c>
      <c r="C2120" t="s">
        <v>218</v>
      </c>
    </row>
    <row r="2121" spans="1:3" x14ac:dyDescent="0.4">
      <c r="A2121">
        <v>110706</v>
      </c>
      <c r="B2121" t="s">
        <v>33</v>
      </c>
      <c r="C2121" t="s">
        <v>217</v>
      </c>
    </row>
    <row r="2122" spans="1:3" x14ac:dyDescent="0.4">
      <c r="A2122">
        <v>110707</v>
      </c>
      <c r="B2122" t="s">
        <v>33</v>
      </c>
      <c r="C2122" t="s">
        <v>216</v>
      </c>
    </row>
    <row r="2123" spans="1:3" x14ac:dyDescent="0.4">
      <c r="A2123">
        <v>110708</v>
      </c>
      <c r="B2123" t="s">
        <v>33</v>
      </c>
      <c r="C2123" t="s">
        <v>215</v>
      </c>
    </row>
    <row r="2124" spans="1:3" x14ac:dyDescent="0.4">
      <c r="A2124">
        <v>110709</v>
      </c>
      <c r="B2124" t="s">
        <v>33</v>
      </c>
      <c r="C2124" t="s">
        <v>214</v>
      </c>
    </row>
    <row r="2125" spans="1:3" x14ac:dyDescent="0.4">
      <c r="A2125">
        <v>110710</v>
      </c>
      <c r="B2125" t="s">
        <v>33</v>
      </c>
      <c r="C2125" t="s">
        <v>213</v>
      </c>
    </row>
    <row r="2126" spans="1:3" x14ac:dyDescent="0.4">
      <c r="A2126">
        <v>110711</v>
      </c>
      <c r="B2126" t="s">
        <v>33</v>
      </c>
      <c r="C2126" t="s">
        <v>212</v>
      </c>
    </row>
    <row r="2127" spans="1:3" x14ac:dyDescent="0.4">
      <c r="A2127">
        <v>110713</v>
      </c>
      <c r="B2127" t="s">
        <v>33</v>
      </c>
      <c r="C2127" t="s">
        <v>211</v>
      </c>
    </row>
    <row r="2128" spans="1:3" x14ac:dyDescent="0.4">
      <c r="A2128">
        <v>110714</v>
      </c>
      <c r="B2128" t="s">
        <v>33</v>
      </c>
      <c r="C2128" t="s">
        <v>210</v>
      </c>
    </row>
    <row r="2129" spans="1:3" x14ac:dyDescent="0.4">
      <c r="A2129">
        <v>110715</v>
      </c>
      <c r="B2129" t="s">
        <v>33</v>
      </c>
      <c r="C2129" t="s">
        <v>209</v>
      </c>
    </row>
    <row r="2130" spans="1:3" x14ac:dyDescent="0.4">
      <c r="A2130">
        <v>110716</v>
      </c>
      <c r="B2130" t="s">
        <v>33</v>
      </c>
      <c r="C2130" t="s">
        <v>208</v>
      </c>
    </row>
    <row r="2131" spans="1:3" x14ac:dyDescent="0.4">
      <c r="A2131">
        <v>110717</v>
      </c>
      <c r="B2131" t="s">
        <v>33</v>
      </c>
      <c r="C2131" t="s">
        <v>207</v>
      </c>
    </row>
    <row r="2132" spans="1:3" x14ac:dyDescent="0.4">
      <c r="A2132">
        <v>110718</v>
      </c>
      <c r="B2132" t="s">
        <v>33</v>
      </c>
      <c r="C2132" t="s">
        <v>206</v>
      </c>
    </row>
    <row r="2133" spans="1:3" x14ac:dyDescent="0.4">
      <c r="A2133">
        <v>110719</v>
      </c>
      <c r="B2133" t="s">
        <v>33</v>
      </c>
      <c r="C2133" t="s">
        <v>205</v>
      </c>
    </row>
    <row r="2134" spans="1:3" x14ac:dyDescent="0.4">
      <c r="A2134">
        <v>110720</v>
      </c>
      <c r="B2134" t="s">
        <v>33</v>
      </c>
      <c r="C2134" t="s">
        <v>204</v>
      </c>
    </row>
    <row r="2135" spans="1:3" x14ac:dyDescent="0.4">
      <c r="A2135">
        <v>110721</v>
      </c>
      <c r="B2135" t="s">
        <v>33</v>
      </c>
      <c r="C2135" t="s">
        <v>203</v>
      </c>
    </row>
    <row r="2136" spans="1:3" x14ac:dyDescent="0.4">
      <c r="A2136">
        <v>110722</v>
      </c>
      <c r="B2136" t="s">
        <v>33</v>
      </c>
      <c r="C2136" t="s">
        <v>202</v>
      </c>
    </row>
    <row r="2137" spans="1:3" x14ac:dyDescent="0.4">
      <c r="A2137">
        <v>110723</v>
      </c>
      <c r="B2137" t="s">
        <v>33</v>
      </c>
      <c r="C2137" t="s">
        <v>201</v>
      </c>
    </row>
    <row r="2138" spans="1:3" x14ac:dyDescent="0.4">
      <c r="A2138">
        <v>110724</v>
      </c>
      <c r="B2138" t="s">
        <v>33</v>
      </c>
      <c r="C2138" t="s">
        <v>200</v>
      </c>
    </row>
    <row r="2139" spans="1:3" x14ac:dyDescent="0.4">
      <c r="A2139">
        <v>110726</v>
      </c>
      <c r="B2139" t="s">
        <v>33</v>
      </c>
      <c r="C2139" t="s">
        <v>199</v>
      </c>
    </row>
    <row r="2140" spans="1:3" x14ac:dyDescent="0.4">
      <c r="A2140">
        <v>110727</v>
      </c>
      <c r="B2140" t="s">
        <v>33</v>
      </c>
      <c r="C2140" t="s">
        <v>198</v>
      </c>
    </row>
    <row r="2141" spans="1:3" x14ac:dyDescent="0.4">
      <c r="A2141">
        <v>110728</v>
      </c>
      <c r="B2141" t="s">
        <v>33</v>
      </c>
      <c r="C2141" t="s">
        <v>197</v>
      </c>
    </row>
    <row r="2142" spans="1:3" x14ac:dyDescent="0.4">
      <c r="A2142">
        <v>110729</v>
      </c>
      <c r="B2142" t="s">
        <v>33</v>
      </c>
      <c r="C2142" t="s">
        <v>196</v>
      </c>
    </row>
    <row r="2143" spans="1:3" x14ac:dyDescent="0.4">
      <c r="A2143">
        <v>110730</v>
      </c>
      <c r="B2143" t="s">
        <v>33</v>
      </c>
      <c r="C2143" t="s">
        <v>195</v>
      </c>
    </row>
    <row r="2144" spans="1:3" x14ac:dyDescent="0.4">
      <c r="A2144">
        <v>110731</v>
      </c>
      <c r="B2144" t="s">
        <v>33</v>
      </c>
      <c r="C2144" t="s">
        <v>194</v>
      </c>
    </row>
    <row r="2145" spans="1:3" x14ac:dyDescent="0.4">
      <c r="A2145">
        <v>110732</v>
      </c>
      <c r="B2145" t="s">
        <v>33</v>
      </c>
      <c r="C2145" t="s">
        <v>193</v>
      </c>
    </row>
    <row r="2146" spans="1:3" x14ac:dyDescent="0.4">
      <c r="A2146">
        <v>110733</v>
      </c>
      <c r="B2146" t="s">
        <v>33</v>
      </c>
      <c r="C2146" t="s">
        <v>192</v>
      </c>
    </row>
    <row r="2147" spans="1:3" x14ac:dyDescent="0.4">
      <c r="A2147">
        <v>110734</v>
      </c>
      <c r="B2147" t="s">
        <v>33</v>
      </c>
      <c r="C2147" t="s">
        <v>191</v>
      </c>
    </row>
    <row r="2148" spans="1:3" x14ac:dyDescent="0.4">
      <c r="A2148">
        <v>110735</v>
      </c>
      <c r="B2148" t="s">
        <v>33</v>
      </c>
      <c r="C2148" t="s">
        <v>190</v>
      </c>
    </row>
    <row r="2149" spans="1:3" x14ac:dyDescent="0.4">
      <c r="A2149">
        <v>110736</v>
      </c>
      <c r="B2149" t="s">
        <v>33</v>
      </c>
      <c r="C2149" t="s">
        <v>189</v>
      </c>
    </row>
    <row r="2150" spans="1:3" x14ac:dyDescent="0.4">
      <c r="A2150">
        <v>110737</v>
      </c>
      <c r="B2150" t="s">
        <v>33</v>
      </c>
      <c r="C2150" t="s">
        <v>188</v>
      </c>
    </row>
    <row r="2151" spans="1:3" x14ac:dyDescent="0.4">
      <c r="A2151">
        <v>110738</v>
      </c>
      <c r="B2151" t="s">
        <v>33</v>
      </c>
      <c r="C2151" t="s">
        <v>187</v>
      </c>
    </row>
    <row r="2152" spans="1:3" x14ac:dyDescent="0.4">
      <c r="A2152">
        <v>110739</v>
      </c>
      <c r="B2152" t="s">
        <v>33</v>
      </c>
      <c r="C2152" t="s">
        <v>186</v>
      </c>
    </row>
    <row r="2153" spans="1:3" x14ac:dyDescent="0.4">
      <c r="A2153">
        <v>110740</v>
      </c>
      <c r="B2153" t="s">
        <v>33</v>
      </c>
      <c r="C2153" t="s">
        <v>185</v>
      </c>
    </row>
    <row r="2154" spans="1:3" x14ac:dyDescent="0.4">
      <c r="A2154">
        <v>110741</v>
      </c>
      <c r="B2154" t="s">
        <v>33</v>
      </c>
      <c r="C2154" t="s">
        <v>184</v>
      </c>
    </row>
    <row r="2155" spans="1:3" x14ac:dyDescent="0.4">
      <c r="A2155">
        <v>110743</v>
      </c>
      <c r="B2155" t="s">
        <v>33</v>
      </c>
      <c r="C2155" t="s">
        <v>183</v>
      </c>
    </row>
    <row r="2156" spans="1:3" x14ac:dyDescent="0.4">
      <c r="A2156">
        <v>110744</v>
      </c>
      <c r="B2156" t="s">
        <v>33</v>
      </c>
      <c r="C2156" t="s">
        <v>182</v>
      </c>
    </row>
    <row r="2157" spans="1:3" x14ac:dyDescent="0.4">
      <c r="A2157">
        <v>110745</v>
      </c>
      <c r="B2157" t="s">
        <v>33</v>
      </c>
      <c r="C2157" t="s">
        <v>181</v>
      </c>
    </row>
    <row r="2158" spans="1:3" x14ac:dyDescent="0.4">
      <c r="A2158">
        <v>110746</v>
      </c>
      <c r="B2158" t="s">
        <v>33</v>
      </c>
      <c r="C2158" t="s">
        <v>180</v>
      </c>
    </row>
    <row r="2159" spans="1:3" x14ac:dyDescent="0.4">
      <c r="A2159">
        <v>110747</v>
      </c>
      <c r="B2159" t="s">
        <v>33</v>
      </c>
      <c r="C2159" t="s">
        <v>179</v>
      </c>
    </row>
    <row r="2160" spans="1:3" x14ac:dyDescent="0.4">
      <c r="A2160">
        <v>110748</v>
      </c>
      <c r="B2160" t="s">
        <v>33</v>
      </c>
      <c r="C2160" t="s">
        <v>178</v>
      </c>
    </row>
    <row r="2161" spans="1:3" x14ac:dyDescent="0.4">
      <c r="A2161">
        <v>110750</v>
      </c>
      <c r="B2161" t="s">
        <v>33</v>
      </c>
      <c r="C2161" t="s">
        <v>177</v>
      </c>
    </row>
    <row r="2162" spans="1:3" x14ac:dyDescent="0.4">
      <c r="A2162">
        <v>110753</v>
      </c>
      <c r="B2162" t="s">
        <v>33</v>
      </c>
      <c r="C2162" t="s">
        <v>176</v>
      </c>
    </row>
    <row r="2163" spans="1:3" x14ac:dyDescent="0.4">
      <c r="A2163">
        <v>110754</v>
      </c>
      <c r="B2163" t="s">
        <v>33</v>
      </c>
      <c r="C2163" t="s">
        <v>175</v>
      </c>
    </row>
    <row r="2164" spans="1:3" x14ac:dyDescent="0.4">
      <c r="A2164">
        <v>110757</v>
      </c>
      <c r="B2164" t="s">
        <v>33</v>
      </c>
      <c r="C2164" t="s">
        <v>174</v>
      </c>
    </row>
    <row r="2165" spans="1:3" x14ac:dyDescent="0.4">
      <c r="A2165">
        <v>110758</v>
      </c>
      <c r="B2165" t="s">
        <v>33</v>
      </c>
      <c r="C2165" t="s">
        <v>173</v>
      </c>
    </row>
    <row r="2166" spans="1:3" x14ac:dyDescent="0.4">
      <c r="A2166">
        <v>110759</v>
      </c>
      <c r="B2166" t="s">
        <v>33</v>
      </c>
      <c r="C2166" t="s">
        <v>172</v>
      </c>
    </row>
    <row r="2167" spans="1:3" x14ac:dyDescent="0.4">
      <c r="A2167">
        <v>110760</v>
      </c>
      <c r="B2167" t="s">
        <v>33</v>
      </c>
      <c r="C2167" t="s">
        <v>171</v>
      </c>
    </row>
    <row r="2168" spans="1:3" x14ac:dyDescent="0.4">
      <c r="A2168">
        <v>110761</v>
      </c>
      <c r="B2168" t="s">
        <v>33</v>
      </c>
      <c r="C2168" t="s">
        <v>170</v>
      </c>
    </row>
    <row r="2169" spans="1:3" x14ac:dyDescent="0.4">
      <c r="A2169">
        <v>110762</v>
      </c>
      <c r="B2169" t="s">
        <v>33</v>
      </c>
      <c r="C2169" t="s">
        <v>169</v>
      </c>
    </row>
    <row r="2170" spans="1:3" x14ac:dyDescent="0.4">
      <c r="A2170">
        <v>110763</v>
      </c>
      <c r="B2170" t="s">
        <v>33</v>
      </c>
      <c r="C2170" t="s">
        <v>168</v>
      </c>
    </row>
    <row r="2171" spans="1:3" x14ac:dyDescent="0.4">
      <c r="A2171">
        <v>112000</v>
      </c>
      <c r="B2171" t="s">
        <v>33</v>
      </c>
      <c r="C2171" t="s">
        <v>167</v>
      </c>
    </row>
    <row r="2172" spans="1:3" x14ac:dyDescent="0.4">
      <c r="A2172">
        <v>112001</v>
      </c>
      <c r="B2172" t="s">
        <v>33</v>
      </c>
      <c r="C2172" t="s">
        <v>166</v>
      </c>
    </row>
    <row r="2173" spans="1:3" x14ac:dyDescent="0.4">
      <c r="A2173">
        <v>112002</v>
      </c>
      <c r="B2173" t="s">
        <v>33</v>
      </c>
      <c r="C2173" t="s">
        <v>165</v>
      </c>
    </row>
    <row r="2174" spans="1:3" x14ac:dyDescent="0.4">
      <c r="A2174">
        <v>112003</v>
      </c>
      <c r="B2174" t="s">
        <v>33</v>
      </c>
      <c r="C2174" t="s">
        <v>164</v>
      </c>
    </row>
    <row r="2175" spans="1:3" x14ac:dyDescent="0.4">
      <c r="A2175">
        <v>112004</v>
      </c>
      <c r="B2175" t="s">
        <v>33</v>
      </c>
      <c r="C2175" t="s">
        <v>163</v>
      </c>
    </row>
    <row r="2176" spans="1:3" x14ac:dyDescent="0.4">
      <c r="A2176">
        <v>112005</v>
      </c>
      <c r="B2176" t="s">
        <v>33</v>
      </c>
      <c r="C2176" t="s">
        <v>162</v>
      </c>
    </row>
    <row r="2177" spans="1:3" x14ac:dyDescent="0.4">
      <c r="A2177">
        <v>112006</v>
      </c>
      <c r="B2177" t="s">
        <v>33</v>
      </c>
      <c r="C2177" t="s">
        <v>161</v>
      </c>
    </row>
    <row r="2178" spans="1:3" x14ac:dyDescent="0.4">
      <c r="A2178">
        <v>112007</v>
      </c>
      <c r="B2178" t="s">
        <v>33</v>
      </c>
      <c r="C2178" t="s">
        <v>160</v>
      </c>
    </row>
    <row r="2179" spans="1:3" x14ac:dyDescent="0.4">
      <c r="A2179">
        <v>112008</v>
      </c>
      <c r="B2179" t="s">
        <v>33</v>
      </c>
      <c r="C2179" t="s">
        <v>159</v>
      </c>
    </row>
    <row r="2180" spans="1:3" x14ac:dyDescent="0.4">
      <c r="A2180">
        <v>112009</v>
      </c>
      <c r="B2180" t="s">
        <v>33</v>
      </c>
      <c r="C2180" t="s">
        <v>158</v>
      </c>
    </row>
    <row r="2181" spans="1:3" x14ac:dyDescent="0.4">
      <c r="A2181">
        <v>112010</v>
      </c>
      <c r="B2181" t="s">
        <v>33</v>
      </c>
      <c r="C2181" t="s">
        <v>157</v>
      </c>
    </row>
    <row r="2182" spans="1:3" x14ac:dyDescent="0.4">
      <c r="A2182">
        <v>112011</v>
      </c>
      <c r="B2182" t="s">
        <v>33</v>
      </c>
      <c r="C2182" t="s">
        <v>156</v>
      </c>
    </row>
    <row r="2183" spans="1:3" x14ac:dyDescent="0.4">
      <c r="A2183">
        <v>112012</v>
      </c>
      <c r="B2183" t="s">
        <v>33</v>
      </c>
      <c r="C2183" t="s">
        <v>155</v>
      </c>
    </row>
    <row r="2184" spans="1:3" x14ac:dyDescent="0.4">
      <c r="A2184">
        <v>112013</v>
      </c>
      <c r="B2184" t="s">
        <v>33</v>
      </c>
      <c r="C2184" t="s">
        <v>154</v>
      </c>
    </row>
    <row r="2185" spans="1:3" x14ac:dyDescent="0.4">
      <c r="A2185">
        <v>112016</v>
      </c>
      <c r="B2185" t="s">
        <v>33</v>
      </c>
      <c r="C2185" t="s">
        <v>153</v>
      </c>
    </row>
    <row r="2186" spans="1:3" x14ac:dyDescent="0.4">
      <c r="A2186">
        <v>112017</v>
      </c>
      <c r="B2186" t="s">
        <v>33</v>
      </c>
      <c r="C2186" t="s">
        <v>152</v>
      </c>
    </row>
    <row r="2187" spans="1:3" x14ac:dyDescent="0.4">
      <c r="A2187">
        <v>112018</v>
      </c>
      <c r="B2187" t="s">
        <v>33</v>
      </c>
      <c r="C2187" t="s">
        <v>151</v>
      </c>
    </row>
    <row r="2188" spans="1:3" x14ac:dyDescent="0.4">
      <c r="A2188">
        <v>112019</v>
      </c>
      <c r="B2188" t="s">
        <v>33</v>
      </c>
      <c r="C2188" t="s">
        <v>150</v>
      </c>
    </row>
    <row r="2189" spans="1:3" x14ac:dyDescent="0.4">
      <c r="A2189">
        <v>112020</v>
      </c>
      <c r="B2189" t="s">
        <v>33</v>
      </c>
      <c r="C2189" t="s">
        <v>149</v>
      </c>
    </row>
    <row r="2190" spans="1:3" x14ac:dyDescent="0.4">
      <c r="A2190">
        <v>112021</v>
      </c>
      <c r="B2190" t="s">
        <v>33</v>
      </c>
      <c r="C2190" t="s">
        <v>148</v>
      </c>
    </row>
    <row r="2191" spans="1:3" x14ac:dyDescent="0.4">
      <c r="A2191">
        <v>112024</v>
      </c>
      <c r="B2191" t="s">
        <v>33</v>
      </c>
      <c r="C2191" t="s">
        <v>147</v>
      </c>
    </row>
    <row r="2192" spans="1:3" x14ac:dyDescent="0.4">
      <c r="A2192">
        <v>112025</v>
      </c>
      <c r="B2192" t="s">
        <v>33</v>
      </c>
      <c r="C2192" t="s">
        <v>146</v>
      </c>
    </row>
    <row r="2193" spans="1:3" x14ac:dyDescent="0.4">
      <c r="A2193">
        <v>112026</v>
      </c>
      <c r="B2193" t="s">
        <v>33</v>
      </c>
      <c r="C2193" t="s">
        <v>145</v>
      </c>
    </row>
    <row r="2194" spans="1:3" x14ac:dyDescent="0.4">
      <c r="A2194">
        <v>112027</v>
      </c>
      <c r="B2194" t="s">
        <v>33</v>
      </c>
      <c r="C2194" t="s">
        <v>144</v>
      </c>
    </row>
    <row r="2195" spans="1:3" x14ac:dyDescent="0.4">
      <c r="A2195">
        <v>112028</v>
      </c>
      <c r="B2195" t="s">
        <v>33</v>
      </c>
      <c r="C2195" t="s">
        <v>143</v>
      </c>
    </row>
    <row r="2196" spans="1:3" x14ac:dyDescent="0.4">
      <c r="A2196">
        <v>112029</v>
      </c>
      <c r="B2196" t="s">
        <v>33</v>
      </c>
      <c r="C2196" t="s">
        <v>142</v>
      </c>
    </row>
    <row r="2197" spans="1:3" x14ac:dyDescent="0.4">
      <c r="A2197">
        <v>112064</v>
      </c>
      <c r="B2197" t="s">
        <v>33</v>
      </c>
      <c r="C2197" t="s">
        <v>141</v>
      </c>
    </row>
    <row r="2198" spans="1:3" x14ac:dyDescent="0.4">
      <c r="A2198">
        <v>112065</v>
      </c>
      <c r="B2198" t="s">
        <v>33</v>
      </c>
      <c r="C2198" t="s">
        <v>140</v>
      </c>
    </row>
    <row r="2199" spans="1:3" x14ac:dyDescent="0.4">
      <c r="A2199">
        <v>112066</v>
      </c>
      <c r="B2199" t="s">
        <v>33</v>
      </c>
      <c r="C2199" t="s">
        <v>139</v>
      </c>
    </row>
    <row r="2200" spans="1:3" x14ac:dyDescent="0.4">
      <c r="A2200">
        <v>112067</v>
      </c>
      <c r="B2200" t="s">
        <v>33</v>
      </c>
      <c r="C2200" t="s">
        <v>138</v>
      </c>
    </row>
    <row r="2201" spans="1:3" x14ac:dyDescent="0.4">
      <c r="A2201">
        <v>112068</v>
      </c>
      <c r="B2201" t="s">
        <v>33</v>
      </c>
      <c r="C2201" t="s">
        <v>137</v>
      </c>
    </row>
    <row r="2202" spans="1:3" x14ac:dyDescent="0.4">
      <c r="A2202">
        <v>112070</v>
      </c>
      <c r="B2202" t="s">
        <v>33</v>
      </c>
      <c r="C2202" t="s">
        <v>136</v>
      </c>
    </row>
    <row r="2203" spans="1:3" x14ac:dyDescent="0.4">
      <c r="A2203">
        <v>112071</v>
      </c>
      <c r="B2203" t="s">
        <v>33</v>
      </c>
      <c r="C2203" t="s">
        <v>135</v>
      </c>
    </row>
    <row r="2204" spans="1:3" x14ac:dyDescent="0.4">
      <c r="A2204">
        <v>112072</v>
      </c>
      <c r="B2204" t="s">
        <v>33</v>
      </c>
      <c r="C2204" t="s">
        <v>134</v>
      </c>
    </row>
    <row r="2205" spans="1:3" x14ac:dyDescent="0.4">
      <c r="A2205">
        <v>112073</v>
      </c>
      <c r="B2205" t="s">
        <v>33</v>
      </c>
      <c r="C2205" t="s">
        <v>133</v>
      </c>
    </row>
    <row r="2206" spans="1:3" x14ac:dyDescent="0.4">
      <c r="A2206">
        <v>112075</v>
      </c>
      <c r="B2206" t="s">
        <v>33</v>
      </c>
      <c r="C2206" t="s">
        <v>132</v>
      </c>
    </row>
    <row r="2207" spans="1:3" x14ac:dyDescent="0.4">
      <c r="A2207">
        <v>112076</v>
      </c>
      <c r="B2207" t="s">
        <v>33</v>
      </c>
      <c r="C2207" t="s">
        <v>131</v>
      </c>
    </row>
    <row r="2208" spans="1:3" x14ac:dyDescent="0.4">
      <c r="A2208">
        <v>112077</v>
      </c>
      <c r="B2208" t="s">
        <v>33</v>
      </c>
      <c r="C2208" t="s">
        <v>130</v>
      </c>
    </row>
    <row r="2209" spans="1:3" x14ac:dyDescent="0.4">
      <c r="A2209">
        <v>112078</v>
      </c>
      <c r="B2209" t="s">
        <v>33</v>
      </c>
      <c r="C2209" t="s">
        <v>129</v>
      </c>
    </row>
    <row r="2210" spans="1:3" x14ac:dyDescent="0.4">
      <c r="A2210">
        <v>112079</v>
      </c>
      <c r="B2210" t="s">
        <v>33</v>
      </c>
      <c r="C2210" t="s">
        <v>128</v>
      </c>
    </row>
    <row r="2211" spans="1:3" x14ac:dyDescent="0.4">
      <c r="A2211">
        <v>112080</v>
      </c>
      <c r="B2211" t="s">
        <v>33</v>
      </c>
      <c r="C2211" t="s">
        <v>127</v>
      </c>
    </row>
    <row r="2212" spans="1:3" x14ac:dyDescent="0.4">
      <c r="A2212">
        <v>112081</v>
      </c>
      <c r="B2212" t="s">
        <v>33</v>
      </c>
      <c r="C2212" t="s">
        <v>126</v>
      </c>
    </row>
    <row r="2213" spans="1:3" x14ac:dyDescent="0.4">
      <c r="A2213">
        <v>112082</v>
      </c>
      <c r="B2213" t="s">
        <v>33</v>
      </c>
      <c r="C2213" t="s">
        <v>125</v>
      </c>
    </row>
    <row r="2214" spans="1:3" x14ac:dyDescent="0.4">
      <c r="A2214">
        <v>112083</v>
      </c>
      <c r="B2214" t="s">
        <v>33</v>
      </c>
      <c r="C2214" t="s">
        <v>124</v>
      </c>
    </row>
    <row r="2215" spans="1:3" x14ac:dyDescent="0.4">
      <c r="A2215">
        <v>112086</v>
      </c>
      <c r="B2215" t="s">
        <v>33</v>
      </c>
      <c r="C2215" t="s">
        <v>123</v>
      </c>
    </row>
    <row r="2216" spans="1:3" x14ac:dyDescent="0.4">
      <c r="A2216">
        <v>112087</v>
      </c>
      <c r="B2216" t="s">
        <v>33</v>
      </c>
      <c r="C2216" t="s">
        <v>122</v>
      </c>
    </row>
    <row r="2217" spans="1:3" x14ac:dyDescent="0.4">
      <c r="A2217">
        <v>112088</v>
      </c>
      <c r="B2217" t="s">
        <v>33</v>
      </c>
      <c r="C2217" t="s">
        <v>121</v>
      </c>
    </row>
    <row r="2218" spans="1:3" x14ac:dyDescent="0.4">
      <c r="A2218">
        <v>112091</v>
      </c>
      <c r="B2218" t="s">
        <v>33</v>
      </c>
      <c r="C2218" t="s">
        <v>120</v>
      </c>
    </row>
    <row r="2219" spans="1:3" x14ac:dyDescent="0.4">
      <c r="A2219">
        <v>112092</v>
      </c>
      <c r="B2219" t="s">
        <v>33</v>
      </c>
      <c r="C2219" t="s">
        <v>119</v>
      </c>
    </row>
    <row r="2220" spans="1:3" x14ac:dyDescent="0.4">
      <c r="A2220">
        <v>112093</v>
      </c>
      <c r="B2220" t="s">
        <v>33</v>
      </c>
      <c r="C2220" t="s">
        <v>118</v>
      </c>
    </row>
    <row r="2221" spans="1:3" x14ac:dyDescent="0.4">
      <c r="A2221">
        <v>112094</v>
      </c>
      <c r="B2221" t="s">
        <v>33</v>
      </c>
      <c r="C2221" t="s">
        <v>117</v>
      </c>
    </row>
    <row r="2222" spans="1:3" x14ac:dyDescent="0.4">
      <c r="A2222">
        <v>112106</v>
      </c>
      <c r="B2222" t="s">
        <v>33</v>
      </c>
      <c r="C2222" t="s">
        <v>116</v>
      </c>
    </row>
    <row r="2223" spans="1:3" x14ac:dyDescent="0.4">
      <c r="A2223">
        <v>112110</v>
      </c>
      <c r="B2223" t="s">
        <v>33</v>
      </c>
      <c r="C2223" t="s">
        <v>115</v>
      </c>
    </row>
    <row r="2224" spans="1:3" x14ac:dyDescent="0.4">
      <c r="A2224">
        <v>112704</v>
      </c>
      <c r="B2224" t="s">
        <v>33</v>
      </c>
      <c r="C2224" t="s">
        <v>114</v>
      </c>
    </row>
    <row r="2225" spans="1:3" x14ac:dyDescent="0.4">
      <c r="A2225">
        <v>112705</v>
      </c>
      <c r="B2225" t="s">
        <v>33</v>
      </c>
      <c r="C2225" t="s">
        <v>113</v>
      </c>
    </row>
    <row r="2226" spans="1:3" x14ac:dyDescent="0.4">
      <c r="A2226">
        <v>112706</v>
      </c>
      <c r="B2226" t="s">
        <v>33</v>
      </c>
      <c r="C2226" t="s">
        <v>112</v>
      </c>
    </row>
    <row r="2227" spans="1:3" x14ac:dyDescent="0.4">
      <c r="A2227">
        <v>112707</v>
      </c>
      <c r="B2227" t="s">
        <v>33</v>
      </c>
      <c r="C2227" t="s">
        <v>111</v>
      </c>
    </row>
    <row r="2228" spans="1:3" x14ac:dyDescent="0.4">
      <c r="A2228">
        <v>112708</v>
      </c>
      <c r="B2228" t="s">
        <v>33</v>
      </c>
      <c r="C2228" t="s">
        <v>110</v>
      </c>
    </row>
    <row r="2229" spans="1:3" x14ac:dyDescent="0.4">
      <c r="A2229">
        <v>112709</v>
      </c>
      <c r="B2229" t="s">
        <v>33</v>
      </c>
      <c r="C2229" t="s">
        <v>109</v>
      </c>
    </row>
    <row r="2230" spans="1:3" x14ac:dyDescent="0.4">
      <c r="A2230">
        <v>112710</v>
      </c>
      <c r="B2230" t="s">
        <v>33</v>
      </c>
      <c r="C2230" t="s">
        <v>108</v>
      </c>
    </row>
    <row r="2231" spans="1:3" x14ac:dyDescent="0.4">
      <c r="A2231">
        <v>112711</v>
      </c>
      <c r="B2231" t="s">
        <v>33</v>
      </c>
      <c r="C2231" t="s">
        <v>107</v>
      </c>
    </row>
    <row r="2232" spans="1:3" x14ac:dyDescent="0.4">
      <c r="A2232">
        <v>112713</v>
      </c>
      <c r="B2232" t="s">
        <v>33</v>
      </c>
      <c r="C2232" t="s">
        <v>106</v>
      </c>
    </row>
    <row r="2233" spans="1:3" x14ac:dyDescent="0.4">
      <c r="A2233">
        <v>112714</v>
      </c>
      <c r="B2233" t="s">
        <v>33</v>
      </c>
      <c r="C2233" t="s">
        <v>105</v>
      </c>
    </row>
    <row r="2234" spans="1:3" x14ac:dyDescent="0.4">
      <c r="A2234">
        <v>112715</v>
      </c>
      <c r="B2234" t="s">
        <v>33</v>
      </c>
      <c r="C2234" t="s">
        <v>104</v>
      </c>
    </row>
    <row r="2235" spans="1:3" x14ac:dyDescent="0.4">
      <c r="A2235">
        <v>112716</v>
      </c>
      <c r="B2235" t="s">
        <v>33</v>
      </c>
      <c r="C2235" t="s">
        <v>103</v>
      </c>
    </row>
    <row r="2236" spans="1:3" x14ac:dyDescent="0.4">
      <c r="A2236">
        <v>112717</v>
      </c>
      <c r="B2236" t="s">
        <v>33</v>
      </c>
      <c r="C2236" t="s">
        <v>102</v>
      </c>
    </row>
    <row r="2237" spans="1:3" x14ac:dyDescent="0.4">
      <c r="A2237">
        <v>112718</v>
      </c>
      <c r="B2237" t="s">
        <v>33</v>
      </c>
      <c r="C2237" t="s">
        <v>101</v>
      </c>
    </row>
    <row r="2238" spans="1:3" x14ac:dyDescent="0.4">
      <c r="A2238">
        <v>112719</v>
      </c>
      <c r="B2238" t="s">
        <v>33</v>
      </c>
      <c r="C2238" t="s">
        <v>100</v>
      </c>
    </row>
    <row r="2239" spans="1:3" x14ac:dyDescent="0.4">
      <c r="A2239">
        <v>112720</v>
      </c>
      <c r="B2239" t="s">
        <v>33</v>
      </c>
      <c r="C2239" t="s">
        <v>99</v>
      </c>
    </row>
    <row r="2240" spans="1:3" x14ac:dyDescent="0.4">
      <c r="A2240">
        <v>112721</v>
      </c>
      <c r="B2240" t="s">
        <v>33</v>
      </c>
      <c r="C2240" t="s">
        <v>98</v>
      </c>
    </row>
    <row r="2241" spans="1:3" x14ac:dyDescent="0.4">
      <c r="A2241">
        <v>112722</v>
      </c>
      <c r="B2241" t="s">
        <v>33</v>
      </c>
      <c r="C2241" t="s">
        <v>97</v>
      </c>
    </row>
    <row r="2242" spans="1:3" x14ac:dyDescent="0.4">
      <c r="A2242">
        <v>112723</v>
      </c>
      <c r="B2242" t="s">
        <v>33</v>
      </c>
      <c r="C2242" t="s">
        <v>96</v>
      </c>
    </row>
    <row r="2243" spans="1:3" x14ac:dyDescent="0.4">
      <c r="A2243">
        <v>112724</v>
      </c>
      <c r="B2243" t="s">
        <v>33</v>
      </c>
      <c r="C2243" t="s">
        <v>95</v>
      </c>
    </row>
    <row r="2244" spans="1:3" x14ac:dyDescent="0.4">
      <c r="A2244">
        <v>112726</v>
      </c>
      <c r="B2244" t="s">
        <v>33</v>
      </c>
      <c r="C2244" t="s">
        <v>94</v>
      </c>
    </row>
    <row r="2245" spans="1:3" x14ac:dyDescent="0.4">
      <c r="A2245">
        <v>112727</v>
      </c>
      <c r="B2245" t="s">
        <v>33</v>
      </c>
      <c r="C2245" t="s">
        <v>93</v>
      </c>
    </row>
    <row r="2246" spans="1:3" x14ac:dyDescent="0.4">
      <c r="A2246">
        <v>112728</v>
      </c>
      <c r="B2246" t="s">
        <v>33</v>
      </c>
      <c r="C2246" t="s">
        <v>92</v>
      </c>
    </row>
    <row r="2247" spans="1:3" x14ac:dyDescent="0.4">
      <c r="A2247">
        <v>112729</v>
      </c>
      <c r="B2247" t="s">
        <v>33</v>
      </c>
      <c r="C2247" t="s">
        <v>91</v>
      </c>
    </row>
    <row r="2248" spans="1:3" x14ac:dyDescent="0.4">
      <c r="A2248">
        <v>112730</v>
      </c>
      <c r="B2248" t="s">
        <v>33</v>
      </c>
      <c r="C2248" t="s">
        <v>90</v>
      </c>
    </row>
    <row r="2249" spans="1:3" x14ac:dyDescent="0.4">
      <c r="A2249">
        <v>112731</v>
      </c>
      <c r="B2249" t="s">
        <v>33</v>
      </c>
      <c r="C2249" t="s">
        <v>89</v>
      </c>
    </row>
    <row r="2250" spans="1:3" x14ac:dyDescent="0.4">
      <c r="A2250">
        <v>112732</v>
      </c>
      <c r="B2250" t="s">
        <v>33</v>
      </c>
      <c r="C2250" t="s">
        <v>88</v>
      </c>
    </row>
    <row r="2251" spans="1:3" x14ac:dyDescent="0.4">
      <c r="A2251">
        <v>112733</v>
      </c>
      <c r="B2251" t="s">
        <v>33</v>
      </c>
      <c r="C2251" t="s">
        <v>87</v>
      </c>
    </row>
    <row r="2252" spans="1:3" x14ac:dyDescent="0.4">
      <c r="A2252">
        <v>112734</v>
      </c>
      <c r="B2252" t="s">
        <v>33</v>
      </c>
      <c r="C2252" t="s">
        <v>86</v>
      </c>
    </row>
    <row r="2253" spans="1:3" x14ac:dyDescent="0.4">
      <c r="A2253">
        <v>112735</v>
      </c>
      <c r="B2253" t="s">
        <v>33</v>
      </c>
      <c r="C2253" t="s">
        <v>85</v>
      </c>
    </row>
    <row r="2254" spans="1:3" x14ac:dyDescent="0.4">
      <c r="A2254">
        <v>112736</v>
      </c>
      <c r="B2254" t="s">
        <v>33</v>
      </c>
      <c r="C2254" t="s">
        <v>84</v>
      </c>
    </row>
    <row r="2255" spans="1:3" x14ac:dyDescent="0.4">
      <c r="A2255">
        <v>112737</v>
      </c>
      <c r="B2255" t="s">
        <v>33</v>
      </c>
      <c r="C2255" t="s">
        <v>83</v>
      </c>
    </row>
    <row r="2256" spans="1:3" x14ac:dyDescent="0.4">
      <c r="A2256">
        <v>112738</v>
      </c>
      <c r="B2256" t="s">
        <v>33</v>
      </c>
      <c r="C2256" t="s">
        <v>82</v>
      </c>
    </row>
    <row r="2257" spans="1:3" x14ac:dyDescent="0.4">
      <c r="A2257">
        <v>112739</v>
      </c>
      <c r="B2257" t="s">
        <v>33</v>
      </c>
      <c r="C2257" t="s">
        <v>81</v>
      </c>
    </row>
    <row r="2258" spans="1:3" x14ac:dyDescent="0.4">
      <c r="A2258">
        <v>112740</v>
      </c>
      <c r="B2258" t="s">
        <v>33</v>
      </c>
      <c r="C2258" t="s">
        <v>80</v>
      </c>
    </row>
    <row r="2259" spans="1:3" x14ac:dyDescent="0.4">
      <c r="A2259">
        <v>112741</v>
      </c>
      <c r="B2259" t="s">
        <v>33</v>
      </c>
      <c r="C2259" t="s">
        <v>79</v>
      </c>
    </row>
    <row r="2260" spans="1:3" x14ac:dyDescent="0.4">
      <c r="A2260">
        <v>112743</v>
      </c>
      <c r="B2260" t="s">
        <v>33</v>
      </c>
      <c r="C2260" t="s">
        <v>78</v>
      </c>
    </row>
    <row r="2261" spans="1:3" x14ac:dyDescent="0.4">
      <c r="A2261">
        <v>112744</v>
      </c>
      <c r="B2261" t="s">
        <v>33</v>
      </c>
      <c r="C2261" t="s">
        <v>77</v>
      </c>
    </row>
    <row r="2262" spans="1:3" x14ac:dyDescent="0.4">
      <c r="A2262">
        <v>112745</v>
      </c>
      <c r="B2262" t="s">
        <v>33</v>
      </c>
      <c r="C2262" t="s">
        <v>76</v>
      </c>
    </row>
    <row r="2263" spans="1:3" x14ac:dyDescent="0.4">
      <c r="A2263">
        <v>112746</v>
      </c>
      <c r="B2263" t="s">
        <v>33</v>
      </c>
      <c r="C2263" t="s">
        <v>75</v>
      </c>
    </row>
    <row r="2264" spans="1:3" x14ac:dyDescent="0.4">
      <c r="A2264">
        <v>112747</v>
      </c>
      <c r="B2264" t="s">
        <v>33</v>
      </c>
      <c r="C2264" t="s">
        <v>74</v>
      </c>
    </row>
    <row r="2265" spans="1:3" x14ac:dyDescent="0.4">
      <c r="A2265">
        <v>112748</v>
      </c>
      <c r="B2265" t="s">
        <v>33</v>
      </c>
      <c r="C2265" t="s">
        <v>73</v>
      </c>
    </row>
    <row r="2266" spans="1:3" x14ac:dyDescent="0.4">
      <c r="A2266">
        <v>112750</v>
      </c>
      <c r="B2266" t="s">
        <v>33</v>
      </c>
      <c r="C2266" t="s">
        <v>72</v>
      </c>
    </row>
    <row r="2267" spans="1:3" x14ac:dyDescent="0.4">
      <c r="A2267">
        <v>112753</v>
      </c>
      <c r="B2267" t="s">
        <v>33</v>
      </c>
      <c r="C2267" t="s">
        <v>71</v>
      </c>
    </row>
    <row r="2268" spans="1:3" x14ac:dyDescent="0.4">
      <c r="A2268">
        <v>112754</v>
      </c>
      <c r="B2268" t="s">
        <v>33</v>
      </c>
      <c r="C2268" t="s">
        <v>70</v>
      </c>
    </row>
    <row r="2269" spans="1:3" x14ac:dyDescent="0.4">
      <c r="A2269">
        <v>112757</v>
      </c>
      <c r="B2269" t="s">
        <v>33</v>
      </c>
      <c r="C2269" t="s">
        <v>69</v>
      </c>
    </row>
    <row r="2270" spans="1:3" x14ac:dyDescent="0.4">
      <c r="A2270">
        <v>112758</v>
      </c>
      <c r="B2270" t="s">
        <v>33</v>
      </c>
      <c r="C2270" t="s">
        <v>68</v>
      </c>
    </row>
    <row r="2271" spans="1:3" x14ac:dyDescent="0.4">
      <c r="A2271">
        <v>112759</v>
      </c>
      <c r="B2271" t="s">
        <v>33</v>
      </c>
      <c r="C2271" t="s">
        <v>67</v>
      </c>
    </row>
    <row r="2272" spans="1:3" x14ac:dyDescent="0.4">
      <c r="A2272">
        <v>112760</v>
      </c>
      <c r="B2272" t="s">
        <v>33</v>
      </c>
      <c r="C2272" t="s">
        <v>66</v>
      </c>
    </row>
    <row r="2273" spans="1:3" x14ac:dyDescent="0.4">
      <c r="A2273">
        <v>112761</v>
      </c>
      <c r="B2273" t="s">
        <v>33</v>
      </c>
      <c r="C2273" t="s">
        <v>65</v>
      </c>
    </row>
    <row r="2274" spans="1:3" x14ac:dyDescent="0.4">
      <c r="A2274">
        <v>112762</v>
      </c>
      <c r="B2274" t="s">
        <v>33</v>
      </c>
      <c r="C2274" t="s">
        <v>64</v>
      </c>
    </row>
    <row r="2275" spans="1:3" x14ac:dyDescent="0.4">
      <c r="A2275">
        <v>112763</v>
      </c>
      <c r="B2275" t="s">
        <v>33</v>
      </c>
      <c r="C2275" t="s">
        <v>63</v>
      </c>
    </row>
    <row r="2276" spans="1:3" x14ac:dyDescent="0.4">
      <c r="A2276">
        <v>118000</v>
      </c>
      <c r="B2276" t="s">
        <v>33</v>
      </c>
      <c r="C2276" t="s">
        <v>62</v>
      </c>
    </row>
    <row r="2277" spans="1:3" x14ac:dyDescent="0.4">
      <c r="A2277">
        <v>118001</v>
      </c>
      <c r="B2277" t="s">
        <v>33</v>
      </c>
      <c r="C2277" t="s">
        <v>61</v>
      </c>
    </row>
    <row r="2278" spans="1:3" x14ac:dyDescent="0.4">
      <c r="A2278">
        <v>118002</v>
      </c>
      <c r="B2278" t="s">
        <v>33</v>
      </c>
      <c r="C2278" t="s">
        <v>60</v>
      </c>
    </row>
    <row r="2279" spans="1:3" x14ac:dyDescent="0.4">
      <c r="A2279">
        <v>118003</v>
      </c>
      <c r="B2279" t="s">
        <v>33</v>
      </c>
      <c r="C2279" t="s">
        <v>59</v>
      </c>
    </row>
    <row r="2280" spans="1:3" x14ac:dyDescent="0.4">
      <c r="A2280">
        <v>118004</v>
      </c>
      <c r="B2280" t="s">
        <v>33</v>
      </c>
      <c r="C2280" t="s">
        <v>58</v>
      </c>
    </row>
    <row r="2281" spans="1:3" x14ac:dyDescent="0.4">
      <c r="A2281">
        <v>118005</v>
      </c>
      <c r="B2281" t="s">
        <v>33</v>
      </c>
      <c r="C2281" t="s">
        <v>57</v>
      </c>
    </row>
    <row r="2282" spans="1:3" x14ac:dyDescent="0.4">
      <c r="A2282">
        <v>118006</v>
      </c>
      <c r="B2282" t="s">
        <v>33</v>
      </c>
      <c r="C2282" t="s">
        <v>56</v>
      </c>
    </row>
    <row r="2283" spans="1:3" x14ac:dyDescent="0.4">
      <c r="A2283">
        <v>118007</v>
      </c>
      <c r="B2283" t="s">
        <v>33</v>
      </c>
      <c r="C2283" t="s">
        <v>55</v>
      </c>
    </row>
    <row r="2284" spans="1:3" x14ac:dyDescent="0.4">
      <c r="A2284">
        <v>118008</v>
      </c>
      <c r="B2284" t="s">
        <v>33</v>
      </c>
      <c r="C2284" t="s">
        <v>54</v>
      </c>
    </row>
    <row r="2285" spans="1:3" x14ac:dyDescent="0.4">
      <c r="A2285">
        <v>118009</v>
      </c>
      <c r="B2285" t="s">
        <v>33</v>
      </c>
      <c r="C2285" t="s">
        <v>53</v>
      </c>
    </row>
    <row r="2286" spans="1:3" x14ac:dyDescent="0.4">
      <c r="A2286">
        <v>118010</v>
      </c>
      <c r="B2286" t="s">
        <v>33</v>
      </c>
      <c r="C2286" t="s">
        <v>52</v>
      </c>
    </row>
    <row r="2287" spans="1:3" x14ac:dyDescent="0.4">
      <c r="A2287">
        <v>118011</v>
      </c>
      <c r="B2287" t="s">
        <v>33</v>
      </c>
      <c r="C2287" t="s">
        <v>51</v>
      </c>
    </row>
    <row r="2288" spans="1:3" x14ac:dyDescent="0.4">
      <c r="A2288">
        <v>118012</v>
      </c>
      <c r="B2288" t="s">
        <v>33</v>
      </c>
      <c r="C2288" t="s">
        <v>50</v>
      </c>
    </row>
    <row r="2289" spans="1:3" x14ac:dyDescent="0.4">
      <c r="A2289">
        <v>118013</v>
      </c>
      <c r="B2289" t="s">
        <v>33</v>
      </c>
      <c r="C2289" t="s">
        <v>49</v>
      </c>
    </row>
    <row r="2290" spans="1:3" x14ac:dyDescent="0.4">
      <c r="A2290">
        <v>118014</v>
      </c>
      <c r="B2290" t="s">
        <v>33</v>
      </c>
      <c r="C2290" t="s">
        <v>48</v>
      </c>
    </row>
    <row r="2291" spans="1:3" x14ac:dyDescent="0.4">
      <c r="A2291">
        <v>118015</v>
      </c>
      <c r="B2291" t="s">
        <v>33</v>
      </c>
      <c r="C2291" t="s">
        <v>47</v>
      </c>
    </row>
    <row r="2292" spans="1:3" x14ac:dyDescent="0.4">
      <c r="A2292">
        <v>118016</v>
      </c>
      <c r="B2292" t="s">
        <v>33</v>
      </c>
      <c r="C2292" t="s">
        <v>46</v>
      </c>
    </row>
    <row r="2293" spans="1:3" x14ac:dyDescent="0.4">
      <c r="A2293">
        <v>118017</v>
      </c>
      <c r="B2293" t="s">
        <v>33</v>
      </c>
      <c r="C2293" t="s">
        <v>45</v>
      </c>
    </row>
    <row r="2294" spans="1:3" x14ac:dyDescent="0.4">
      <c r="A2294">
        <v>118018</v>
      </c>
      <c r="B2294" t="s">
        <v>33</v>
      </c>
      <c r="C2294" t="s">
        <v>44</v>
      </c>
    </row>
    <row r="2295" spans="1:3" x14ac:dyDescent="0.4">
      <c r="A2295">
        <v>118020</v>
      </c>
      <c r="B2295" t="s">
        <v>33</v>
      </c>
      <c r="C2295" t="s">
        <v>43</v>
      </c>
    </row>
    <row r="2296" spans="1:3" x14ac:dyDescent="0.4">
      <c r="A2296">
        <v>118021</v>
      </c>
      <c r="B2296" t="s">
        <v>33</v>
      </c>
      <c r="C2296" t="s">
        <v>42</v>
      </c>
    </row>
    <row r="2297" spans="1:3" x14ac:dyDescent="0.4">
      <c r="A2297">
        <v>118022</v>
      </c>
      <c r="B2297" t="s">
        <v>33</v>
      </c>
      <c r="C2297" t="s">
        <v>41</v>
      </c>
    </row>
    <row r="2298" spans="1:3" x14ac:dyDescent="0.4">
      <c r="A2298">
        <v>118023</v>
      </c>
      <c r="B2298" t="s">
        <v>33</v>
      </c>
      <c r="C2298" t="s">
        <v>40</v>
      </c>
    </row>
    <row r="2299" spans="1:3" x14ac:dyDescent="0.4">
      <c r="A2299">
        <v>118024</v>
      </c>
      <c r="B2299" t="s">
        <v>33</v>
      </c>
      <c r="C2299" t="s">
        <v>39</v>
      </c>
    </row>
    <row r="2300" spans="1:3" x14ac:dyDescent="0.4">
      <c r="A2300">
        <v>118025</v>
      </c>
      <c r="B2300" t="s">
        <v>33</v>
      </c>
      <c r="C2300" t="s">
        <v>38</v>
      </c>
    </row>
    <row r="2301" spans="1:3" x14ac:dyDescent="0.4">
      <c r="A2301">
        <v>118026</v>
      </c>
      <c r="B2301" t="s">
        <v>33</v>
      </c>
      <c r="C2301" t="s">
        <v>37</v>
      </c>
    </row>
    <row r="2302" spans="1:3" x14ac:dyDescent="0.4">
      <c r="A2302">
        <v>118027</v>
      </c>
      <c r="B2302" t="s">
        <v>33</v>
      </c>
      <c r="C2302" t="s">
        <v>36</v>
      </c>
    </row>
    <row r="2303" spans="1:3" x14ac:dyDescent="0.4">
      <c r="A2303">
        <v>118028</v>
      </c>
      <c r="B2303" t="s">
        <v>33</v>
      </c>
      <c r="C2303" t="s">
        <v>35</v>
      </c>
    </row>
    <row r="2304" spans="1:3" x14ac:dyDescent="0.4">
      <c r="A2304">
        <v>118029</v>
      </c>
      <c r="B2304" t="s">
        <v>33</v>
      </c>
      <c r="C2304" t="s">
        <v>34</v>
      </c>
    </row>
    <row r="2305" spans="1:3" x14ac:dyDescent="0.4">
      <c r="A2305">
        <v>118030</v>
      </c>
      <c r="B2305" t="s">
        <v>33</v>
      </c>
      <c r="C2305" t="s">
        <v>32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99E269DB1F77D438A7FFF2986553B39" ma:contentTypeVersion="4" ma:contentTypeDescription="새 문서를 만듭니다." ma:contentTypeScope="" ma:versionID="e49274d6d532f71f5342d556eeec1150">
  <xsd:schema xmlns:xsd="http://www.w3.org/2001/XMLSchema" xmlns:xs="http://www.w3.org/2001/XMLSchema" xmlns:p="http://schemas.microsoft.com/office/2006/metadata/properties" xmlns:ns3="7be90025-75f8-43d9-8a8b-6e0e00d7d670" targetNamespace="http://schemas.microsoft.com/office/2006/metadata/properties" ma:root="true" ma:fieldsID="679888bf398b4d6aa10c074321466f34" ns3:_="">
    <xsd:import namespace="7be90025-75f8-43d9-8a8b-6e0e00d7d6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90025-75f8-43d9-8a8b-6e0e00d7d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3FB1A4-10EA-4A75-9E93-4B262DA17704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7be90025-75f8-43d9-8a8b-6e0e00d7d670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FFFD25E-6347-4ED9-AAB9-825538D7B6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2FA48E-BB0C-46EE-B91E-A89996966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90025-75f8-43d9-8a8b-6e0e00d7d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#SLH1</vt:lpstr>
      <vt:lpstr>ErrorList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건희 조</dc:creator>
  <cp:lastModifiedBy>김 범규</cp:lastModifiedBy>
  <dcterms:created xsi:type="dcterms:W3CDTF">2025-10-10T00:24:13Z</dcterms:created>
  <dcterms:modified xsi:type="dcterms:W3CDTF">2026-06-01T09:09:52Z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0x010100299E269DB1F77D438A7FFF2986553B39</vt:lpwstr>
  </property>
</Properties>
</file>